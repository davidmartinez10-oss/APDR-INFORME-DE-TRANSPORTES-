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azdelriocolombia-my.sharepoint.com/personal/practicante_abastecimiento_pazdelrio_com_co/Documents/CALIZA_MIO/"/>
    </mc:Choice>
  </mc:AlternateContent>
  <xr:revisionPtr revIDLastSave="198" documentId="14_{33CD6E98-98DF-4F75-9A19-75FA62D731B4}" xr6:coauthVersionLast="47" xr6:coauthVersionMax="47" xr10:uidLastSave="{1F4ADEB4-0002-46A4-8415-3E015D929925}"/>
  <bookViews>
    <workbookView xWindow="-110" yWindow="-110" windowWidth="19420" windowHeight="10300" activeTab="1" xr2:uid="{D52B90AB-1443-47B2-8E2D-EE7B5A20BB6B}"/>
  </bookViews>
  <sheets>
    <sheet name="Calidades_Proveedores" sheetId="1" r:id="rId1"/>
    <sheet name="Hoja2" sheetId="4" r:id="rId2"/>
    <sheet name="PARAMETROS" sheetId="2" r:id="rId3"/>
  </sheets>
  <externalReferences>
    <externalReference r:id="rId4"/>
  </externalReferences>
  <definedNames>
    <definedName name="_xlnm._FilterDatabase" localSheetId="0" hidden="1">Calidades_Proveedores!$K$8:$K$125</definedName>
    <definedName name="_xlchart.v1.0" hidden="1">Hoja2!$E$1</definedName>
    <definedName name="_xlchart.v1.1" hidden="1">Hoja2!$E$2:$E$1251</definedName>
  </definedNames>
  <calcPr calcId="191029" concurrentManualCount="12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J4" i="4"/>
  <c r="J5" i="4"/>
  <c r="D1263" i="4"/>
  <c r="F1263" i="4"/>
  <c r="I3599" i="1" l="1"/>
  <c r="I3600" i="1"/>
  <c r="I3601" i="1"/>
  <c r="I3602" i="1"/>
  <c r="I3603" i="1"/>
  <c r="I3604" i="1"/>
  <c r="I3605" i="1"/>
  <c r="I3606" i="1"/>
  <c r="I360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41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72" i="1"/>
  <c r="D3373" i="1"/>
  <c r="D3374" i="1"/>
  <c r="D3375" i="1"/>
  <c r="D3376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10" i="1"/>
  <c r="D3411" i="1"/>
  <c r="D3412" i="1"/>
  <c r="D3413" i="1"/>
  <c r="D3414" i="1"/>
  <c r="D3415" i="1"/>
  <c r="D3416" i="1"/>
  <c r="D3417" i="1"/>
  <c r="D3418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G3389" i="1"/>
  <c r="F3389" i="1"/>
  <c r="G3380" i="1"/>
  <c r="F3380" i="1"/>
  <c r="G3268" i="1"/>
  <c r="F3268" i="1"/>
  <c r="G3237" i="1"/>
  <c r="F3237" i="1"/>
  <c r="M2" i="4" l="1"/>
  <c r="N2" i="4" s="1"/>
  <c r="J3" i="4"/>
  <c r="J1" i="4"/>
  <c r="J2" i="4" s="1" a="1"/>
  <c r="J2" i="4" s="1"/>
  <c r="L3" i="4" l="1"/>
  <c r="O2" i="4"/>
  <c r="P2" i="4" s="1"/>
  <c r="Q2" i="4" s="1"/>
  <c r="M3" i="4" l="1"/>
  <c r="L4" i="4" s="1"/>
  <c r="N3" i="4" l="1"/>
  <c r="M4" i="4"/>
  <c r="L5" i="4" s="1"/>
  <c r="O3" i="4"/>
  <c r="P3" i="4" s="1"/>
  <c r="Q3" i="4" s="1"/>
  <c r="N4" i="4" l="1"/>
  <c r="O4" i="4"/>
  <c r="P4" i="4" s="1"/>
  <c r="Q4" i="4" s="1"/>
  <c r="M5" i="4"/>
  <c r="L6" i="4" s="1"/>
  <c r="N5" i="4" l="1"/>
  <c r="O5" i="4"/>
  <c r="P5" i="4" s="1"/>
  <c r="Q5" i="4" s="1"/>
  <c r="M6" i="4"/>
  <c r="L7" i="4" s="1"/>
  <c r="N6" i="4" l="1"/>
  <c r="O6" i="4"/>
  <c r="P6" i="4" s="1"/>
  <c r="Q6" i="4" s="1"/>
  <c r="M7" i="4"/>
  <c r="L8" i="4" s="1"/>
  <c r="N7" i="4" l="1"/>
  <c r="O7" i="4"/>
  <c r="P7" i="4" s="1"/>
  <c r="Q7" i="4" s="1"/>
  <c r="M8" i="4"/>
  <c r="L9" i="4" s="1"/>
  <c r="N8" i="4" l="1"/>
  <c r="O8" i="4"/>
  <c r="P8" i="4" s="1"/>
  <c r="Q8" i="4" s="1"/>
  <c r="M9" i="4"/>
  <c r="L10" i="4" s="1"/>
  <c r="O9" i="4" l="1"/>
  <c r="P9" i="4" s="1"/>
  <c r="Q9" i="4" s="1"/>
  <c r="N9" i="4"/>
  <c r="N10" i="4"/>
  <c r="M10" i="4"/>
  <c r="L11" i="4" s="1"/>
  <c r="O10" i="4"/>
  <c r="P10" i="4" s="1"/>
  <c r="Q10" i="4" l="1"/>
  <c r="M11" i="4"/>
  <c r="L12" i="4" s="1"/>
  <c r="N11" i="4" l="1"/>
  <c r="O11" i="4"/>
  <c r="P11" i="4" s="1"/>
  <c r="Q11" i="4" s="1"/>
  <c r="M12" i="4"/>
  <c r="L13" i="4" s="1"/>
  <c r="N12" i="4" l="1"/>
  <c r="O12" i="4"/>
  <c r="P12" i="4" s="1"/>
  <c r="Q12" i="4" s="1"/>
  <c r="M13" i="4"/>
  <c r="L14" i="4" s="1"/>
  <c r="N13" i="4" l="1"/>
  <c r="M14" i="4"/>
  <c r="L15" i="4" s="1"/>
  <c r="O13" i="4"/>
  <c r="P13" i="4" s="1"/>
  <c r="Q13" i="4" s="1"/>
  <c r="O15" i="4" l="1"/>
  <c r="P15" i="4" s="1"/>
  <c r="N15" i="4"/>
  <c r="N14" i="4"/>
  <c r="O14" i="4"/>
  <c r="P14" i="4" s="1"/>
  <c r="Q14" i="4" s="1"/>
  <c r="Q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<sst xmlns="http://schemas.openxmlformats.org/spreadsheetml/2006/main" count="6153" uniqueCount="51">
  <si>
    <t>Fecha</t>
  </si>
  <si>
    <t>Proveedor</t>
  </si>
  <si>
    <t>Carbopar</t>
  </si>
  <si>
    <t>Gustavo Quesada</t>
  </si>
  <si>
    <t>Leonidas Rodriguez</t>
  </si>
  <si>
    <t>Malaga</t>
  </si>
  <si>
    <t>Caribbean</t>
  </si>
  <si>
    <t>Lisandro Rojas</t>
  </si>
  <si>
    <t>Caliza Propia</t>
  </si>
  <si>
    <t>Calizas &amp; Granitos</t>
  </si>
  <si>
    <t>Minsa</t>
  </si>
  <si>
    <t>I&amp;M INGENIERIA</t>
  </si>
  <si>
    <t>Volador Zona Norte</t>
  </si>
  <si>
    <t>Recuperacióin Ambiental</t>
  </si>
  <si>
    <t xml:space="preserve">MARMOLES &amp; CALIZAS </t>
  </si>
  <si>
    <t>CALIZAS TIBASOSA</t>
  </si>
  <si>
    <t>Afloramiento 1</t>
  </si>
  <si>
    <t>Malsitio</t>
  </si>
  <si>
    <t>Afloramiento 1 Sur</t>
  </si>
  <si>
    <t xml:space="preserve">Afloramiento 1 </t>
  </si>
  <si>
    <t xml:space="preserve">Malsitio </t>
  </si>
  <si>
    <t>Afloramiento 1 sur</t>
  </si>
  <si>
    <t>Volador</t>
  </si>
  <si>
    <t>TONC</t>
  </si>
  <si>
    <t>%SiO2</t>
  </si>
  <si>
    <t>%CaO2</t>
  </si>
  <si>
    <t>COMPRADA</t>
  </si>
  <si>
    <t>PROPIA</t>
  </si>
  <si>
    <t>FUENTE</t>
  </si>
  <si>
    <t>NA</t>
  </si>
  <si>
    <t>Tipo</t>
  </si>
  <si>
    <t>Total</t>
  </si>
  <si>
    <t>Etiquetas de fila</t>
  </si>
  <si>
    <t>T1</t>
  </si>
  <si>
    <t>T2</t>
  </si>
  <si>
    <t>T3</t>
  </si>
  <si>
    <t>T4</t>
  </si>
  <si>
    <t>Total general</t>
  </si>
  <si>
    <t>Suma de TONC</t>
  </si>
  <si>
    <t>Suma de TONC2</t>
  </si>
  <si>
    <t>Promedio Ponderado</t>
  </si>
  <si>
    <t>Desviacion Ponderada</t>
  </si>
  <si>
    <t>K</t>
  </si>
  <si>
    <t>h</t>
  </si>
  <si>
    <t>%</t>
  </si>
  <si>
    <t>LI</t>
  </si>
  <si>
    <t>LS</t>
  </si>
  <si>
    <t>TON</t>
  </si>
  <si>
    <t>%Acumulado</t>
  </si>
  <si>
    <t>TON totales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</si>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</sst>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90">
    <xf numFmtId="0" fontId="0" fillId="0" borderId="0" xfId="0"/>
    <xf numFmtId="2" fontId="0" fillId="0" borderId="0" xfId="0" applyNumberFormat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2" fontId="3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4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Alignment="1">
      <alignment horizontal="center"/>
    </xf>
    <xf numFmtId="14" fontId="3" fillId="0" borderId="0" xfId="0" applyNumberFormat="1" applyFont="1" applyAlignment="1" applyProtection="1">
      <alignment horizontal="center" vertical="center" wrapText="1"/>
      <protection locked="0"/>
    </xf>
    <xf numFmtId="2" fontId="6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43" fontId="0" fillId="0" borderId="0" xfId="0" applyNumberFormat="1"/>
    <xf numFmtId="0" fontId="0" fillId="4" borderId="2" xfId="0" applyFill="1" applyBorder="1" applyAlignment="1">
      <alignment horizontal="center"/>
    </xf>
    <xf numFmtId="43" fontId="0" fillId="4" borderId="2" xfId="0" applyNumberForma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/>
    </xf>
    <xf numFmtId="43" fontId="0" fillId="0" borderId="2" xfId="0" applyNumberFormat="1" applyBorder="1" applyAlignment="1">
      <alignment horizontal="center"/>
    </xf>
    <xf numFmtId="2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2" fontId="6" fillId="4" borderId="2" xfId="0" applyNumberFormat="1" applyFont="1" applyFill="1" applyBorder="1" applyAlignment="1">
      <alignment horizontal="right" vertical="center"/>
    </xf>
    <xf numFmtId="2" fontId="6" fillId="0" borderId="2" xfId="0" applyNumberFormat="1" applyFont="1" applyBorder="1" applyAlignment="1">
      <alignment horizontal="right" vertical="center"/>
    </xf>
    <xf numFmtId="3" fontId="0" fillId="4" borderId="2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2" fontId="3" fillId="4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4" borderId="2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indent="1"/>
    </xf>
    <xf numFmtId="14" fontId="0" fillId="4" borderId="2" xfId="0" applyNumberFormat="1" applyFill="1" applyBorder="1" applyAlignment="1">
      <alignment horizontal="center" indent="1"/>
    </xf>
    <xf numFmtId="164" fontId="4" fillId="4" borderId="2" xfId="0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43" fontId="0" fillId="4" borderId="4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0" borderId="0" xfId="0" applyFont="1"/>
    <xf numFmtId="165" fontId="0" fillId="0" borderId="0" xfId="1" applyNumberFormat="1" applyFont="1" applyBorder="1"/>
    <xf numFmtId="9" fontId="0" fillId="0" borderId="0" xfId="2" applyFont="1" applyBorder="1"/>
    <xf numFmtId="1" fontId="0" fillId="0" borderId="0" xfId="0" applyNumberFormat="1"/>
    <xf numFmtId="43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0" fillId="0" borderId="8" xfId="0" applyBorder="1"/>
    <xf numFmtId="2" fontId="0" fillId="0" borderId="0" xfId="0" applyNumberFormat="1"/>
    <xf numFmtId="10" fontId="0" fillId="0" borderId="0" xfId="2" applyNumberFormat="1" applyFont="1" applyBorder="1"/>
    <xf numFmtId="166" fontId="0" fillId="0" borderId="9" xfId="0" applyNumberFormat="1" applyBorder="1"/>
    <xf numFmtId="2" fontId="0" fillId="0" borderId="8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165" fontId="0" fillId="0" borderId="11" xfId="1" applyNumberFormat="1" applyFont="1" applyBorder="1"/>
    <xf numFmtId="10" fontId="0" fillId="0" borderId="11" xfId="2" applyNumberFormat="1" applyFont="1" applyBorder="1"/>
    <xf numFmtId="9" fontId="0" fillId="0" borderId="12" xfId="0" applyNumberFormat="1" applyBorder="1"/>
  </cellXfs>
  <cellStyles count="3">
    <cellStyle name="Millares" xfId="1" builtinId="3"/>
    <cellStyle name="Normal" xfId="0" builtinId="0"/>
    <cellStyle name="Porcentaje" xfId="2" builtinId="5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alignment horizontal="center" textRotation="0" wrapText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shrinkToFit="0" readingOrder="0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numFmt numFmtId="167" formatCode="d/mm/yyyy"/>
      <fill>
        <patternFill patternType="none">
          <fgColor indexed="64"/>
          <bgColor auto="1"/>
        </patternFill>
      </fill>
      <alignment horizontal="center" vertical="bottom" textRotation="0" wrapText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shrinkToFit="0" readingOrder="0"/>
    </dxf>
    <dxf>
      <font>
        <b/>
        <i val="0"/>
        <strike val="0"/>
        <u val="none"/>
        <sz val="11"/>
        <color theme="0"/>
        <name val="Calibri"/>
        <family val="2"/>
      </font>
      <fill>
        <patternFill patternType="none"/>
      </fill>
      <alignment horizontal="center" vertical="bottom" textRotation="0" wrapText="0" shrinkToFit="0" readingOrder="0"/>
      <border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5" formatCode="_-* #,##0.00_-;\-* #,##0.00_-;_-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3" formatCode="0%"/>
    </dxf>
    <dxf>
      <numFmt numFmtId="14" formatCode="0.00%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% SI</a:t>
            </a:r>
            <a:r>
              <a:rPr lang="es-CO" sz="1600" b="1" baseline="0"/>
              <a:t>O2  </a:t>
            </a:r>
            <a:endParaRPr lang="es-CO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[1]Calidades_Proveedores!$Q$8</c:f>
              <c:strCache>
                <c:ptCount val="1"/>
                <c:pt idx="0">
                  <c:v>Proveedor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[1]Calidades_Proveedores!$Q$9:$R$83</c:f>
              <c:multiLvlStrCache>
                <c:ptCount val="75"/>
                <c:lvl>
                  <c:pt idx="0">
                    <c:v>1-ago</c:v>
                  </c:pt>
                  <c:pt idx="1">
                    <c:v>8-ago</c:v>
                  </c:pt>
                  <c:pt idx="2">
                    <c:v>9-ago</c:v>
                  </c:pt>
                  <c:pt idx="3">
                    <c:v>12-ago</c:v>
                  </c:pt>
                  <c:pt idx="19">
                    <c:v>1-ago</c:v>
                  </c:pt>
                  <c:pt idx="20">
                    <c:v>2-ago</c:v>
                  </c:pt>
                  <c:pt idx="21">
                    <c:v>8-ago</c:v>
                  </c:pt>
                  <c:pt idx="22">
                    <c:v>9-ago</c:v>
                  </c:pt>
                  <c:pt idx="23">
                    <c:v>11-ago</c:v>
                  </c:pt>
                  <c:pt idx="24">
                    <c:v>12-ago</c:v>
                  </c:pt>
                  <c:pt idx="43">
                    <c:v>1-ago</c:v>
                  </c:pt>
                  <c:pt idx="44">
                    <c:v>8-ago</c:v>
                  </c:pt>
                  <c:pt idx="45">
                    <c:v>9-ago</c:v>
                  </c:pt>
                  <c:pt idx="46">
                    <c:v>12-ago</c:v>
                  </c:pt>
                  <c:pt idx="56">
                    <c:v>8-ago</c:v>
                  </c:pt>
                  <c:pt idx="57">
                    <c:v>9-ago</c:v>
                  </c:pt>
                  <c:pt idx="58">
                    <c:v>11-ago</c:v>
                  </c:pt>
                  <c:pt idx="59">
                    <c:v>12-ago</c:v>
                  </c:pt>
                </c:lvl>
                <c:lvl>
                  <c:pt idx="0">
                    <c:v>Málaga</c:v>
                  </c:pt>
                  <c:pt idx="19">
                    <c:v>Carbopar</c:v>
                  </c:pt>
                  <c:pt idx="43">
                    <c:v>Leonidas Rodriguez</c:v>
                  </c:pt>
                  <c:pt idx="56">
                    <c:v>Gustavo Quesada</c:v>
                  </c:pt>
                </c:lvl>
              </c:multiLvlStrCache>
            </c:multiLvlStrRef>
          </c:cat>
          <c:val>
            <c:numRef>
              <c:f>[1]Calidades_Proveedores!$S$9:$S$68</c:f>
              <c:numCache>
                <c:formatCode>General</c:formatCode>
                <c:ptCount val="60"/>
                <c:pt idx="0">
                  <c:v>1.15025</c:v>
                </c:pt>
                <c:pt idx="1">
                  <c:v>0.54</c:v>
                </c:pt>
                <c:pt idx="2">
                  <c:v>0</c:v>
                </c:pt>
                <c:pt idx="3">
                  <c:v>0.17</c:v>
                </c:pt>
                <c:pt idx="19">
                  <c:v>0.57780000000000009</c:v>
                </c:pt>
                <c:pt idx="20">
                  <c:v>0.98</c:v>
                </c:pt>
                <c:pt idx="21">
                  <c:v>0.35</c:v>
                </c:pt>
                <c:pt idx="22">
                  <c:v>2.0499999999999998</c:v>
                </c:pt>
                <c:pt idx="23">
                  <c:v>0.08</c:v>
                </c:pt>
                <c:pt idx="24">
                  <c:v>0.97</c:v>
                </c:pt>
                <c:pt idx="43">
                  <c:v>1.15025</c:v>
                </c:pt>
                <c:pt idx="44">
                  <c:v>0.54</c:v>
                </c:pt>
                <c:pt idx="45">
                  <c:v>0</c:v>
                </c:pt>
                <c:pt idx="46">
                  <c:v>0.17</c:v>
                </c:pt>
                <c:pt idx="56">
                  <c:v>3.49</c:v>
                </c:pt>
                <c:pt idx="57">
                  <c:v>3.9800000000000004</c:v>
                </c:pt>
                <c:pt idx="58">
                  <c:v>1.1100000000000001</c:v>
                </c:pt>
                <c:pt idx="59">
                  <c:v>1.1100000000000001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64-4E62-BDF2-C1007F17A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281359"/>
        <c:axId val="767449247"/>
      </c:lineChart>
      <c:scatterChart>
        <c:scatterStyle val="smoothMarker"/>
        <c:varyColors val="0"/>
        <c:ser>
          <c:idx val="1"/>
          <c:order val="1"/>
          <c:tx>
            <c:strRef>
              <c:f>[1]Calidades_Proveedores!$S$8</c:f>
              <c:strCache>
                <c:ptCount val="1"/>
                <c:pt idx="0">
                  <c:v>Ponderado - %SIO2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[1]Calidades_Proveedores!$T$9:$T$68</c:f>
              <c:numCache>
                <c:formatCode>General</c:formatCode>
                <c:ptCount val="60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  <c:pt idx="27">
                  <c:v>2.8</c:v>
                </c:pt>
                <c:pt idx="28">
                  <c:v>2.8</c:v>
                </c:pt>
                <c:pt idx="29">
                  <c:v>2.8</c:v>
                </c:pt>
                <c:pt idx="30">
                  <c:v>2.8</c:v>
                </c:pt>
                <c:pt idx="31">
                  <c:v>2.8</c:v>
                </c:pt>
                <c:pt idx="32">
                  <c:v>2.8</c:v>
                </c:pt>
                <c:pt idx="33">
                  <c:v>2.8</c:v>
                </c:pt>
                <c:pt idx="34">
                  <c:v>2.8</c:v>
                </c:pt>
                <c:pt idx="35">
                  <c:v>2.8</c:v>
                </c:pt>
                <c:pt idx="36">
                  <c:v>2.8</c:v>
                </c:pt>
                <c:pt idx="37">
                  <c:v>2.8</c:v>
                </c:pt>
                <c:pt idx="38">
                  <c:v>2.8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2.8</c:v>
                </c:pt>
                <c:pt idx="47">
                  <c:v>2.8</c:v>
                </c:pt>
                <c:pt idx="48">
                  <c:v>2.8</c:v>
                </c:pt>
                <c:pt idx="49">
                  <c:v>2.8</c:v>
                </c:pt>
                <c:pt idx="50">
                  <c:v>2.8</c:v>
                </c:pt>
                <c:pt idx="51">
                  <c:v>2.8</c:v>
                </c:pt>
                <c:pt idx="52">
                  <c:v>2.8</c:v>
                </c:pt>
                <c:pt idx="53">
                  <c:v>2.8</c:v>
                </c:pt>
                <c:pt idx="54">
                  <c:v>2.8</c:v>
                </c:pt>
                <c:pt idx="55">
                  <c:v>2.8</c:v>
                </c:pt>
                <c:pt idx="56">
                  <c:v>2.8</c:v>
                </c:pt>
                <c:pt idx="57">
                  <c:v>2.8</c:v>
                </c:pt>
                <c:pt idx="58">
                  <c:v>2.8</c:v>
                </c:pt>
                <c:pt idx="59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64-4E62-BDF2-C1007F17A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281359"/>
        <c:axId val="767449247"/>
      </c:scatterChart>
      <c:catAx>
        <c:axId val="72428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7449247"/>
        <c:crosses val="autoZero"/>
        <c:auto val="1"/>
        <c:lblAlgn val="ctr"/>
        <c:lblOffset val="100"/>
        <c:noMultiLvlLbl val="0"/>
      </c:catAx>
      <c:valAx>
        <c:axId val="76744924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% SI02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428135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Histograna</a:t>
            </a:r>
            <a:r>
              <a:rPr lang="en-US" baseline="0"/>
              <a:t> Ponderado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Hoja2!$O$1</c:f>
              <c:strCache>
                <c:ptCount val="1"/>
                <c:pt idx="0">
                  <c:v>TON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Hoja2!$N$2:$N$15</c:f>
              <c:strCache>
                <c:ptCount val="14"/>
                <c:pt idx="0">
                  <c:v>0-0,81</c:v>
                </c:pt>
                <c:pt idx="1">
                  <c:v>0,81-1,62</c:v>
                </c:pt>
                <c:pt idx="2">
                  <c:v>1,62-2,43</c:v>
                </c:pt>
                <c:pt idx="3">
                  <c:v>2,43-3,24</c:v>
                </c:pt>
                <c:pt idx="4">
                  <c:v>3,24-4,05</c:v>
                </c:pt>
                <c:pt idx="5">
                  <c:v>4,05-4,86</c:v>
                </c:pt>
                <c:pt idx="6">
                  <c:v>4,86-5,67</c:v>
                </c:pt>
                <c:pt idx="7">
                  <c:v>5,67-6,48</c:v>
                </c:pt>
                <c:pt idx="8">
                  <c:v>6,48-7,29</c:v>
                </c:pt>
                <c:pt idx="9">
                  <c:v>7,29-8,1</c:v>
                </c:pt>
                <c:pt idx="10">
                  <c:v>8,1-8,91</c:v>
                </c:pt>
                <c:pt idx="11">
                  <c:v>8,91-9,72</c:v>
                </c:pt>
                <c:pt idx="12">
                  <c:v>9,72-10,53</c:v>
                </c:pt>
                <c:pt idx="13">
                  <c:v>10,53-100</c:v>
                </c:pt>
              </c:strCache>
            </c:strRef>
          </c:cat>
          <c:val>
            <c:numRef>
              <c:f>Hoja2!$O$2:$O$15</c:f>
              <c:numCache>
                <c:formatCode>_-* #,##0_-;\-* #,##0_-;_-* "-"??_-;_-@_-</c:formatCode>
                <c:ptCount val="14"/>
                <c:pt idx="0">
                  <c:v>64585.701333333331</c:v>
                </c:pt>
                <c:pt idx="1">
                  <c:v>59560.701333333367</c:v>
                </c:pt>
                <c:pt idx="2">
                  <c:v>59396.086333333355</c:v>
                </c:pt>
                <c:pt idx="3">
                  <c:v>32800.031000000003</c:v>
                </c:pt>
                <c:pt idx="4">
                  <c:v>19502.747000000003</c:v>
                </c:pt>
                <c:pt idx="5">
                  <c:v>9075.3299999999981</c:v>
                </c:pt>
                <c:pt idx="6">
                  <c:v>4218.232</c:v>
                </c:pt>
                <c:pt idx="7">
                  <c:v>3148.1210000000005</c:v>
                </c:pt>
                <c:pt idx="8">
                  <c:v>1287.5700000000002</c:v>
                </c:pt>
                <c:pt idx="9">
                  <c:v>537.59</c:v>
                </c:pt>
                <c:pt idx="10">
                  <c:v>1391.973</c:v>
                </c:pt>
                <c:pt idx="11">
                  <c:v>387.28199999999998</c:v>
                </c:pt>
                <c:pt idx="12">
                  <c:v>147.92000000000002</c:v>
                </c:pt>
                <c:pt idx="13">
                  <c:v>2818.6519999999996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0-4323-8334-46FF785F9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190800"/>
        <c:axId val="440193200"/>
      </c:barChart>
      <c:catAx>
        <c:axId val="44019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193200"/>
        <c:crosses val="autoZero"/>
        <c:auto val="1"/>
        <c:lblAlgn val="ctr"/>
        <c:lblOffset val="100"/>
        <c:noMultiLvlLbl val="0"/>
      </c:catAx>
      <c:valAx>
        <c:axId val="4401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19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[SEGUIMIENTO PROVEEDORES CALIZA PRESENTACIÓN.xlsx]Hoja2!TablaDinámica1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Hoja2!$M$20</c:f>
              <c:strCache>
                <c:ptCount val="1"/>
                <c:pt idx="0">
                  <c:v>Suma de TONC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Hoja2!$L$21:$L$25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Hoja2!$M$21:$M$25</c:f>
              <c:numCache>
                <c:formatCode>_-* #,##0_-;\-* #,##0_-;_-* "-"??_-;_-@_-</c:formatCode>
                <c:ptCount val="4"/>
                <c:pt idx="0">
                  <c:v>124146.40266666662</c:v>
                </c:pt>
                <c:pt idx="1">
                  <c:v>59396.086333333355</c:v>
                </c:pt>
                <c:pt idx="2">
                  <c:v>33050.251000000004</c:v>
                </c:pt>
                <c:pt idx="3">
                  <c:v>42265.197000000007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C-4EA1-BA5C-8135C6197E34}"/>
            </c:ext>
          </c:extLst>
        </c:ser>
        <c:ser>
          <c:idx val="1"/>
          <c:order val="1"/>
          <c:tx>
            <c:strRef>
              <c:f>Hoja2!$N$20</c:f>
              <c:strCache>
                <c:ptCount val="1"/>
                <c:pt idx="0">
                  <c:v>Suma de TONC2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Hoja2!$L$21:$L$25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Hoja2!$N$21:$N$25</c:f>
              <c:numCache>
                <c:formatCode>General</c:formatCode>
                <c:ptCount val="4"/>
                <c:pt idx="0">
                  <c:v>0.47959279945380473</c:v>
                </c:pt>
                <c:pt idx="1">
                  <c:v>0.22945437571548502</c:v>
                </c:pt>
                <c:pt idx="2">
                  <c:v>0.12767717838993672</c:v>
                </c:pt>
                <c:pt idx="3">
                  <c:v>0.16327564644077344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C-4EA1-BA5C-8135C6197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433311"/>
        <c:axId val="1738433791"/>
      </c:barChart>
      <c:catAx>
        <c:axId val="173843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433791"/>
        <c:crosses val="autoZero"/>
        <c:auto val="1"/>
        <c:lblAlgn val="ctr"/>
        <c:lblOffset val="100"/>
        <c:noMultiLvlLbl val="0"/>
      </c:catAx>
      <c:valAx>
        <c:axId val="173843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43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[SEGUIMIENTO PROVEEDORES CALIZA PRESENTACIÓN.xlsx]Hoja2!TablaDinámica1</c:name>
    <c:fmtId val="3"/>
  </c:pivotSource>
  <c:chart>
    <c:title>
      <c:layout>
        <c:manualLayout>
          <c:xMode val="edge"/>
          <c:yMode val="edge"/>
          <c:x val="0.39236224605782544"/>
          <c:y val="3.168811215671213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Hoja2!$M$20</c:f>
              <c:strCache>
                <c:ptCount val="1"/>
                <c:pt idx="0">
                  <c:v>Suma de TONC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CA-4C75-A22A-E7B957D6CA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CA-4C75-A22A-E7B957D6CA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CA-4C75-A22A-E7B957D6CA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CA-4C75-A22A-E7B957D6CA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Hoja2!$L$21:$L$25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Hoja2!$M$21:$M$25</c:f>
              <c:numCache>
                <c:formatCode>_-* #,##0_-;\-* #,##0_-;_-* "-"??_-;_-@_-</c:formatCode>
                <c:ptCount val="4"/>
                <c:pt idx="0">
                  <c:v>124146.40266666662</c:v>
                </c:pt>
                <c:pt idx="1">
                  <c:v>59396.086333333355</c:v>
                </c:pt>
                <c:pt idx="2">
                  <c:v>33050.251000000004</c:v>
                </c:pt>
                <c:pt idx="3">
                  <c:v>42265.197000000007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F-43F2-A907-FE609F44AEF4}"/>
            </c:ext>
          </c:extLst>
        </c:ser>
        <c:ser>
          <c:idx val="1"/>
          <c:order val="1"/>
          <c:tx>
            <c:strRef>
              <c:f>Hoja2!$N$20</c:f>
              <c:strCache>
                <c:ptCount val="1"/>
                <c:pt idx="0">
                  <c:v>Suma de TONC2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CA-4C75-A22A-E7B957D6CA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CA-4C75-A22A-E7B957D6CA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1CA-4C75-A22A-E7B957D6CA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CA-4C75-A22A-E7B957D6CA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Hoja2!$L$21:$L$25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Hoja2!$N$21:$N$25</c:f>
              <c:numCache>
                <c:formatCode>General</c:formatCode>
                <c:ptCount val="4"/>
                <c:pt idx="0">
                  <c:v>0.47959279945380473</c:v>
                </c:pt>
                <c:pt idx="1">
                  <c:v>0.22945437571548502</c:v>
                </c:pt>
                <c:pt idx="2">
                  <c:v>0.12767717838993672</c:v>
                </c:pt>
                <c:pt idx="3">
                  <c:v>0.16327564644077344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F-43F2-A907-FE609F44AE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Histograma SiO2 Convencional</a:t>
            </a:r>
          </a:p>
          <a:p>
            <a:pPr algn="ctr" rtl="0">
              <a:defRPr/>
            </a:pP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E728D6C6-98E7-4487-960A-031741E44DE9}" formatIdx="0">
          <cx:tx>
            <cx:txData>
              <cx:f>_xlchart.v1.0</cx:f>
              <cx:v>%SiO2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159</xdr:row>
      <xdr:rowOff>146539</xdr:rowOff>
    </xdr:from>
    <xdr:to>
      <xdr:col>18</xdr:col>
      <xdr:colOff>1039090</xdr:colOff>
      <xdr:row>194</xdr:row>
      <xdr:rowOff>108858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8E70F5-9FB0-45DD-9AA1-D6ECF81CB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660320</xdr:colOff>
      <xdr:row>172</xdr:row>
      <xdr:rowOff>160197</xdr:rowOff>
    </xdr:from>
    <xdr:to>
      <xdr:col>12</xdr:col>
      <xdr:colOff>0</xdr:colOff>
      <xdr:row>174</xdr:row>
      <xdr:rowOff>50120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B44002D-C96B-43D1-8BC9-AA81F7736FF8}"/>
            </a:ext>
          </a:extLst>
        </xdr:cNvPr>
        <xdr:cNvSpPr/>
      </xdr:nvSpPr>
      <xdr:spPr>
        <a:xfrm>
          <a:off x="43224370" y="368300"/>
          <a:ext cx="1759856" cy="0"/>
        </a:xfrm>
        <a:prstGeom prst="rect">
          <a:avLst/>
        </a:prstGeom>
        <a:solidFill>
          <a:schemeClr val="accent2">
            <a:lumMod val="20000"/>
            <a:lumOff val="80000"/>
            <a:alpha val="50000"/>
          </a:schemeClr>
        </a:solidFill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200" b="1">
              <a:solidFill>
                <a:srgbClr val="FF0000"/>
              </a:solidFill>
            </a:rPr>
            <a:t>%SIO2</a:t>
          </a:r>
          <a:r>
            <a:rPr lang="es-CO" sz="1200" b="1" baseline="0">
              <a:solidFill>
                <a:srgbClr val="FF0000"/>
              </a:solidFill>
            </a:rPr>
            <a:t> &lt; 2,8%</a:t>
          </a:r>
          <a:endParaRPr lang="es-CO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1412632</xdr:colOff>
      <xdr:row>52</xdr:row>
      <xdr:rowOff>35170</xdr:rowOff>
    </xdr:from>
    <xdr:to>
      <xdr:col>12</xdr:col>
      <xdr:colOff>1414498</xdr:colOff>
      <xdr:row>146</xdr:row>
      <xdr:rowOff>165460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5AB15F9-E8ED-47E2-8D00-64BFA17B5C14}"/>
            </a:ext>
          </a:extLst>
        </xdr:cNvPr>
        <xdr:cNvCxnSpPr/>
      </xdr:nvCxnSpPr>
      <xdr:spPr>
        <a:xfrm flipH="1" flipV="1">
          <a:off x="52238032" y="368300"/>
          <a:ext cx="1866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187570</xdr:colOff>
      <xdr:row>51</xdr:row>
      <xdr:rowOff>158262</xdr:rowOff>
    </xdr:from>
    <xdr:to>
      <xdr:col>16</xdr:col>
      <xdr:colOff>189436</xdr:colOff>
      <xdr:row>146</xdr:row>
      <xdr:rowOff>112706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0B1BF09-3A77-49A3-A3E6-0CE31886249E}"/>
            </a:ext>
          </a:extLst>
        </xdr:cNvPr>
        <xdr:cNvCxnSpPr/>
      </xdr:nvCxnSpPr>
      <xdr:spPr>
        <a:xfrm flipH="1" flipV="1">
          <a:off x="56080270" y="368300"/>
          <a:ext cx="1866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1418493</xdr:colOff>
      <xdr:row>162</xdr:row>
      <xdr:rowOff>55685</xdr:rowOff>
    </xdr:from>
    <xdr:to>
      <xdr:col>12</xdr:col>
      <xdr:colOff>1420359</xdr:colOff>
      <xdr:row>191</xdr:row>
      <xdr:rowOff>10129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78818902-02F1-4F88-B99B-4DE5CDE7DF9E}"/>
            </a:ext>
          </a:extLst>
        </xdr:cNvPr>
        <xdr:cNvCxnSpPr/>
      </xdr:nvCxnSpPr>
      <xdr:spPr>
        <a:xfrm flipH="1" flipV="1">
          <a:off x="52243893" y="368300"/>
          <a:ext cx="1866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222738</xdr:colOff>
      <xdr:row>162</xdr:row>
      <xdr:rowOff>46893</xdr:rowOff>
    </xdr:from>
    <xdr:to>
      <xdr:col>16</xdr:col>
      <xdr:colOff>224604</xdr:colOff>
      <xdr:row>191</xdr:row>
      <xdr:rowOff>1337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E58BE6-995D-48F0-9A0C-6893BB516D0F}"/>
            </a:ext>
          </a:extLst>
        </xdr:cNvPr>
        <xdr:cNvCxnSpPr/>
      </xdr:nvCxnSpPr>
      <xdr:spPr>
        <a:xfrm flipH="1" flipV="1">
          <a:off x="56115438" y="368300"/>
          <a:ext cx="1866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5</xdr:row>
      <xdr:rowOff>101166</xdr:rowOff>
    </xdr:from>
    <xdr:to>
      <xdr:col>10</xdr:col>
      <xdr:colOff>387350</xdr:colOff>
      <xdr:row>13</xdr:row>
      <xdr:rowOff>148248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035CB4-68B8-15D6-3CB1-3941EAA6A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8850" y="1021916"/>
          <a:ext cx="3073400" cy="1520282"/>
        </a:xfrm>
        <a:prstGeom prst="rect">
          <a:avLst/>
        </a:prstGeom>
      </xdr:spPr>
    </xdr:pic>
    <xdr:clientData/>
  </xdr:twoCellAnchor>
  <xdr:twoCellAnchor editAs="oneCell">
    <xdr:from>
      <xdr:col>7</xdr:col>
      <xdr:colOff>165101</xdr:colOff>
      <xdr:row>14</xdr:row>
      <xdr:rowOff>48620</xdr:rowOff>
    </xdr:from>
    <xdr:to>
      <xdr:col>10</xdr:col>
      <xdr:colOff>590550</xdr:colOff>
      <xdr:row>18</xdr:row>
      <xdr:rowOff>133350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F8574EF-C530-443A-3D44-820D5DC4B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0551" y="2626720"/>
          <a:ext cx="3644899" cy="827680"/>
        </a:xfrm>
        <a:prstGeom prst="rect">
          <a:avLst/>
        </a:prstGeom>
      </xdr:spPr>
    </xdr:pic>
    <xdr:clientData/>
  </xdr:twoCellAnchor>
  <xdr:twoCellAnchor>
    <xdr:from>
      <xdr:col>17</xdr:col>
      <xdr:colOff>234950</xdr:colOff>
      <xdr:row>0</xdr:row>
      <xdr:rowOff>31750</xdr:rowOff>
    </xdr:from>
    <xdr:to>
      <xdr:col>21</xdr:col>
      <xdr:colOff>82550</xdr:colOff>
      <xdr:row>15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BDC8D045-5396-4B35-ABCC-F362006F94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28900" y="31750"/>
              <a:ext cx="3498850" cy="2749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327025</xdr:colOff>
      <xdr:row>0</xdr:row>
      <xdr:rowOff>76199</xdr:rowOff>
    </xdr:from>
    <xdr:to>
      <xdr:col>26</xdr:col>
      <xdr:colOff>412750</xdr:colOff>
      <xdr:row>14</xdr:row>
      <xdr:rowOff>152400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2EA0A6F-1AB6-9D82-88A2-810A0E807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815975</xdr:colOff>
      <xdr:row>26</xdr:row>
      <xdr:rowOff>0</xdr:rowOff>
    </xdr:from>
    <xdr:to>
      <xdr:col>15</xdr:col>
      <xdr:colOff>733425</xdr:colOff>
      <xdr:row>40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1AF860-E119-D856-B9F8-991E8CCB2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434974</xdr:colOff>
      <xdr:row>26</xdr:row>
      <xdr:rowOff>139700</xdr:rowOff>
    </xdr:from>
    <xdr:to>
      <xdr:col>23</xdr:col>
      <xdr:colOff>165099</xdr:colOff>
      <xdr:row>39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E0274C-29B4-1E5B-B23F-F01F4E9AF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rianadpmc\Desktop\CALIZA\Seguimiento%20Inventarios%20Agost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c_2024"/>
      <sheetName val="Diciembre_2025"/>
      <sheetName val="PMC"/>
      <sheetName val="Informe (2)"/>
      <sheetName val="Stock"/>
      <sheetName val="Inventario Sept"/>
      <sheetName val="Inventario Nov"/>
      <sheetName val="Inventario Dic"/>
      <sheetName val="Inventario Ener_26"/>
      <sheetName val="Inventario Feb_26"/>
      <sheetName val="ingresos"/>
      <sheetName val="Calidades_Proveedores (2)"/>
      <sheetName val="Calidades_Proveedores"/>
      <sheetName val="60-90"/>
      <sheetName val="90-120"/>
      <sheetName val="6-30"/>
      <sheetName val="12-30"/>
      <sheetName val="30-50"/>
      <sheetName val="CAL Maerz."/>
      <sheetName val="CAL Priest"/>
      <sheetName val="CAL Molida"/>
      <sheetName val="Consumo Caliza"/>
      <sheetName val="Sabana Consumos Caliza"/>
      <sheetName val="Hoja4"/>
      <sheetName val="Stock_Caliza"/>
      <sheetName val="Sabana Ingresos"/>
      <sheetName val="Costo Flete"/>
      <sheetName val="FCST Feb_2026"/>
      <sheetName val="FCST Dic_2025  (2)"/>
      <sheetName val="FCST Ener_2026"/>
      <sheetName val="FCST Oct_2025 2"/>
      <sheetName val="Hoja1"/>
      <sheetName val="Hoja3"/>
      <sheetName val="Hoja2"/>
      <sheetName val="Minuta_2026"/>
      <sheetName val="Estimados"/>
      <sheetName val="Codigo FBL1N"/>
      <sheetName val="Sabana Pagos"/>
      <sheetName val="Hoja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Q8" t="str">
            <v>Proveedor</v>
          </cell>
          <cell r="S8" t="str">
            <v xml:space="preserve">Ponderado - %SIO2 </v>
          </cell>
        </row>
        <row r="9">
          <cell r="Q9" t="str">
            <v>Málaga</v>
          </cell>
          <cell r="R9" t="str">
            <v>1-ago</v>
          </cell>
          <cell r="S9">
            <v>1.15025</v>
          </cell>
          <cell r="T9">
            <v>2.8</v>
          </cell>
        </row>
        <row r="10">
          <cell r="R10" t="str">
            <v>8-ago</v>
          </cell>
          <cell r="S10">
            <v>0.54</v>
          </cell>
          <cell r="T10">
            <v>2.8</v>
          </cell>
        </row>
        <row r="11">
          <cell r="R11" t="str">
            <v>9-ago</v>
          </cell>
          <cell r="S11">
            <v>0</v>
          </cell>
          <cell r="T11">
            <v>2.8</v>
          </cell>
        </row>
        <row r="12">
          <cell r="R12" t="str">
            <v>12-ago</v>
          </cell>
          <cell r="S12">
            <v>0.17</v>
          </cell>
          <cell r="T12">
            <v>2.8</v>
          </cell>
        </row>
        <row r="13">
          <cell r="T13">
            <v>2.8</v>
          </cell>
        </row>
        <row r="14">
          <cell r="T14">
            <v>2.8</v>
          </cell>
        </row>
        <row r="15">
          <cell r="T15">
            <v>2.8</v>
          </cell>
        </row>
        <row r="16">
          <cell r="T16">
            <v>2.8</v>
          </cell>
        </row>
        <row r="17">
          <cell r="T17">
            <v>2.8</v>
          </cell>
        </row>
        <row r="18">
          <cell r="T18">
            <v>2.8</v>
          </cell>
        </row>
        <row r="19">
          <cell r="T19">
            <v>2.8</v>
          </cell>
        </row>
        <row r="20">
          <cell r="T20">
            <v>2.8</v>
          </cell>
        </row>
        <row r="21">
          <cell r="T21">
            <v>2.8</v>
          </cell>
        </row>
        <row r="22">
          <cell r="T22">
            <v>2.8</v>
          </cell>
        </row>
        <row r="23">
          <cell r="T23">
            <v>2.8</v>
          </cell>
        </row>
        <row r="24">
          <cell r="T24">
            <v>2.8</v>
          </cell>
        </row>
        <row r="25">
          <cell r="T25">
            <v>2.8</v>
          </cell>
        </row>
        <row r="26">
          <cell r="T26">
            <v>2.8</v>
          </cell>
        </row>
        <row r="27">
          <cell r="T27">
            <v>2.8</v>
          </cell>
        </row>
        <row r="28">
          <cell r="Q28" t="str">
            <v>Carbopar</v>
          </cell>
          <cell r="R28" t="str">
            <v>1-ago</v>
          </cell>
          <cell r="S28">
            <v>0.57780000000000009</v>
          </cell>
          <cell r="T28">
            <v>2.8</v>
          </cell>
        </row>
        <row r="29">
          <cell r="R29" t="str">
            <v>2-ago</v>
          </cell>
          <cell r="S29">
            <v>0.98</v>
          </cell>
          <cell r="T29">
            <v>2.8</v>
          </cell>
        </row>
        <row r="30">
          <cell r="R30" t="str">
            <v>8-ago</v>
          </cell>
          <cell r="S30">
            <v>0.35</v>
          </cell>
          <cell r="T30">
            <v>2.8</v>
          </cell>
        </row>
        <row r="31">
          <cell r="R31" t="str">
            <v>9-ago</v>
          </cell>
          <cell r="S31">
            <v>2.0499999999999998</v>
          </cell>
          <cell r="T31">
            <v>2.8</v>
          </cell>
        </row>
        <row r="32">
          <cell r="R32" t="str">
            <v>11-ago</v>
          </cell>
          <cell r="S32">
            <v>0.08</v>
          </cell>
          <cell r="T32">
            <v>2.8</v>
          </cell>
        </row>
        <row r="33">
          <cell r="R33" t="str">
            <v>12-ago</v>
          </cell>
          <cell r="S33">
            <v>0.97</v>
          </cell>
          <cell r="T33">
            <v>2.8</v>
          </cell>
        </row>
        <row r="34">
          <cell r="T34">
            <v>2.8</v>
          </cell>
        </row>
        <row r="35">
          <cell r="T35">
            <v>2.8</v>
          </cell>
        </row>
        <row r="36">
          <cell r="T36">
            <v>2.8</v>
          </cell>
        </row>
        <row r="37">
          <cell r="T37">
            <v>2.8</v>
          </cell>
        </row>
        <row r="38">
          <cell r="T38">
            <v>2.8</v>
          </cell>
        </row>
        <row r="39">
          <cell r="T39">
            <v>2.8</v>
          </cell>
        </row>
        <row r="40">
          <cell r="T40">
            <v>2.8</v>
          </cell>
        </row>
        <row r="41">
          <cell r="T41">
            <v>2.8</v>
          </cell>
        </row>
        <row r="42">
          <cell r="T42">
            <v>2.8</v>
          </cell>
        </row>
        <row r="43">
          <cell r="T43">
            <v>2.8</v>
          </cell>
        </row>
        <row r="44">
          <cell r="T44">
            <v>2.8</v>
          </cell>
        </row>
        <row r="45">
          <cell r="T45">
            <v>2.8</v>
          </cell>
        </row>
        <row r="46">
          <cell r="T46">
            <v>2.8</v>
          </cell>
        </row>
        <row r="47">
          <cell r="T47">
            <v>2.8</v>
          </cell>
        </row>
        <row r="48">
          <cell r="T48">
            <v>2.8</v>
          </cell>
        </row>
        <row r="49">
          <cell r="T49">
            <v>2.8</v>
          </cell>
        </row>
        <row r="50">
          <cell r="T50">
            <v>2.8</v>
          </cell>
        </row>
        <row r="51">
          <cell r="T51">
            <v>2.8</v>
          </cell>
        </row>
        <row r="52">
          <cell r="Q52" t="str">
            <v>Leonidas Rodriguez</v>
          </cell>
          <cell r="R52" t="str">
            <v>1-ago</v>
          </cell>
          <cell r="S52">
            <v>1.15025</v>
          </cell>
          <cell r="T52">
            <v>2.8</v>
          </cell>
        </row>
        <row r="53">
          <cell r="R53" t="str">
            <v>8-ago</v>
          </cell>
          <cell r="S53">
            <v>0.54</v>
          </cell>
          <cell r="T53">
            <v>2.8</v>
          </cell>
        </row>
        <row r="54">
          <cell r="R54" t="str">
            <v>9-ago</v>
          </cell>
          <cell r="S54">
            <v>0</v>
          </cell>
          <cell r="T54">
            <v>2.8</v>
          </cell>
        </row>
        <row r="55">
          <cell r="R55" t="str">
            <v>12-ago</v>
          </cell>
          <cell r="S55">
            <v>0.17</v>
          </cell>
          <cell r="T55">
            <v>2.8</v>
          </cell>
        </row>
        <row r="56">
          <cell r="T56">
            <v>2.8</v>
          </cell>
        </row>
        <row r="57">
          <cell r="T57">
            <v>2.8</v>
          </cell>
        </row>
        <row r="58">
          <cell r="T58">
            <v>2.8</v>
          </cell>
        </row>
        <row r="59">
          <cell r="T59">
            <v>2.8</v>
          </cell>
        </row>
        <row r="60">
          <cell r="T60">
            <v>2.8</v>
          </cell>
        </row>
        <row r="61">
          <cell r="T61">
            <v>2.8</v>
          </cell>
        </row>
        <row r="62">
          <cell r="T62">
            <v>2.8</v>
          </cell>
        </row>
        <row r="63">
          <cell r="T63">
            <v>2.8</v>
          </cell>
        </row>
        <row r="64">
          <cell r="T64">
            <v>2.8</v>
          </cell>
        </row>
        <row r="65">
          <cell r="Q65" t="str">
            <v>Gustavo Quesada</v>
          </cell>
          <cell r="R65" t="str">
            <v>8-ago</v>
          </cell>
          <cell r="S65">
            <v>3.49</v>
          </cell>
          <cell r="T65">
            <v>2.8</v>
          </cell>
        </row>
        <row r="66">
          <cell r="R66" t="str">
            <v>9-ago</v>
          </cell>
          <cell r="S66">
            <v>3.9800000000000004</v>
          </cell>
          <cell r="T66">
            <v>2.8</v>
          </cell>
        </row>
        <row r="67">
          <cell r="R67" t="str">
            <v>11-ago</v>
          </cell>
          <cell r="S67">
            <v>1.1100000000000001</v>
          </cell>
          <cell r="T67">
            <v>2.8</v>
          </cell>
        </row>
        <row r="68">
          <cell r="R68" t="str">
            <v>12-ago</v>
          </cell>
          <cell r="S68">
            <v>1.1100000000000001</v>
          </cell>
          <cell r="T68">
            <v>2.8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Nuñez" refreshedDate="46098.573728587966" createdVersion="6" refreshedVersion="8" minRefreshableVersion="3" recordCount="1261" xr:uid="{208564C2-1AAD-4C6F-A625-70BA7769D491}">
  <cacheSource type="worksheet">
    <worksheetSource name="VERIF"/>
  </cacheSource>
  <cacheFields count="7">
    <cacheField name="Fecha" numFmtId="14">
      <sharedItems containsSemiMixedTypes="0" containsNonDate="0" containsDate="1" containsString="0" minDate="2025-01-03T00:00:00" maxDate="2026-02-17T00:00:00"/>
    </cacheField>
    <cacheField name="Proveedor" numFmtId="0">
      <sharedItems containsBlank="1"/>
    </cacheField>
    <cacheField name="FUENTE" numFmtId="0">
      <sharedItems/>
    </cacheField>
    <cacheField name="TONC" numFmtId="43">
      <sharedItems containsSemiMixedTypes="0" containsString="0" containsNumber="1" minValue="0" maxValue="1259.973"/>
    </cacheField>
    <cacheField name="%SiO2" numFmtId="0">
      <sharedItems containsSemiMixedTypes="0" containsString="0" containsNumber="1" minValue="0" maxValue="23.56"/>
    </cacheField>
    <cacheField name="%CaO2" numFmtId="0">
      <sharedItems containsString="0" containsBlank="1" containsNumber="1" minValue="37.853916283716273" maxValue="55.225545047287213"/>
    </cacheField>
    <cacheField name="Tipo" numFmtId="0">
      <sharedItems count="4">
        <s v="T1"/>
        <s v="T2"/>
        <s v="T3"/>
        <s v="T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1">
  <r>
    <d v="2025-06-16T00:00:00"/>
    <s v="Malaga"/>
    <s v="COMPRADA"/>
    <n v="35.130000000000003"/>
    <n v="0"/>
    <n v="54.554254193868275"/>
    <x v="0"/>
  </r>
  <r>
    <d v="2025-07-24T00:00:00"/>
    <s v="Carbopar"/>
    <s v="COMPRADA"/>
    <n v="384.35"/>
    <n v="0"/>
    <n v="54.970316121336054"/>
    <x v="0"/>
  </r>
  <r>
    <d v="2025-08-09T00:00:00"/>
    <s v="Malaga"/>
    <s v="COMPRADA"/>
    <n v="34.380000000000003"/>
    <n v="0"/>
    <n v="54.816079346557764"/>
    <x v="0"/>
  </r>
  <r>
    <d v="2025-08-15T00:00:00"/>
    <s v="Carbopar"/>
    <s v="COMPRADA"/>
    <n v="375.43"/>
    <n v="0.01"/>
    <n v="54.449209713761164"/>
    <x v="0"/>
  </r>
  <r>
    <d v="2025-09-30T00:00:00"/>
    <s v="Carbopar"/>
    <s v="COMPRADA"/>
    <n v="397.1"/>
    <n v="0.01"/>
    <n v="54.1"/>
    <x v="0"/>
  </r>
  <r>
    <d v="2025-10-11T00:00:00"/>
    <s v="Malaga"/>
    <s v="COMPRADA"/>
    <n v="33.130000000000003"/>
    <n v="0.01"/>
    <n v="55.142962687184578"/>
    <x v="0"/>
  </r>
  <r>
    <d v="2025-10-14T00:00:00"/>
    <s v="Malaga"/>
    <s v="COMPRADA"/>
    <n v="34.15"/>
    <n v="0.01"/>
    <n v="55.142962687184578"/>
    <x v="0"/>
  </r>
  <r>
    <d v="2025-11-14T00:00:00"/>
    <s v="Carbopar"/>
    <s v="COMPRADA"/>
    <n v="390.41"/>
    <n v="0.03"/>
    <n v="54.090764265221544"/>
    <x v="0"/>
  </r>
  <r>
    <d v="2025-12-10T00:00:00"/>
    <s v="Carbopar"/>
    <s v="COMPRADA"/>
    <n v="544.54"/>
    <n v="0.03"/>
    <n v="55"/>
    <x v="0"/>
  </r>
  <r>
    <d v="2025-06-20T00:00:00"/>
    <s v="Carbopar"/>
    <s v="COMPRADA"/>
    <n v="898.45"/>
    <n v="0.04"/>
    <n v="55.201063776781268"/>
    <x v="0"/>
  </r>
  <r>
    <d v="2025-07-10T00:00:00"/>
    <s v="Carbopar"/>
    <s v="COMPRADA"/>
    <n v="334.71"/>
    <n v="0.04"/>
    <n v="54.726379121280793"/>
    <x v="0"/>
  </r>
  <r>
    <d v="2025-11-05T00:00:00"/>
    <s v="Malaga"/>
    <s v="COMPRADA"/>
    <n v="192.46"/>
    <n v="0.04"/>
    <n v="54.878670886075945"/>
    <x v="0"/>
  </r>
  <r>
    <d v="2025-10-07T00:00:00"/>
    <s v="Malaga"/>
    <s v="COMPRADA"/>
    <n v="175.65"/>
    <n v="0.05"/>
    <n v="54.945697131420943"/>
    <x v="0"/>
  </r>
  <r>
    <d v="2025-10-17T00:00:00"/>
    <s v="Carbopar"/>
    <s v="COMPRADA"/>
    <n v="428.63"/>
    <n v="0.05"/>
    <n v="54.9"/>
    <x v="0"/>
  </r>
  <r>
    <d v="2025-12-11T00:00:00"/>
    <s v="Carbopar"/>
    <s v="COMPRADA"/>
    <n v="439.52"/>
    <n v="0.05"/>
    <n v="55.1"/>
    <x v="0"/>
  </r>
  <r>
    <d v="2025-07-15T00:00:00"/>
    <s v="Carbopar"/>
    <s v="COMPRADA"/>
    <n v="285.3"/>
    <n v="0.06"/>
    <n v="53.251388980534472"/>
    <x v="0"/>
  </r>
  <r>
    <d v="2025-06-13T00:00:00"/>
    <s v="Malaga"/>
    <s v="COMPRADA"/>
    <n v="108.51"/>
    <n v="7.0000000000000007E-2"/>
    <n v="53.952069305304647"/>
    <x v="0"/>
  </r>
  <r>
    <d v="2025-11-07T00:00:00"/>
    <s v="Carbopar"/>
    <s v="COMPRADA"/>
    <n v="95.19"/>
    <n v="7.0000000000000007E-2"/>
    <n v="54.8"/>
    <x v="0"/>
  </r>
  <r>
    <d v="2025-06-20T00:00:00"/>
    <s v="Malaga"/>
    <s v="COMPRADA"/>
    <n v="109.56"/>
    <n v="0.08"/>
    <n v="54.581739130434784"/>
    <x v="0"/>
  </r>
  <r>
    <d v="2025-06-24T00:00:00"/>
    <s v="Malaga"/>
    <s v="COMPRADA"/>
    <n v="138.52000000000001"/>
    <n v="0.08"/>
    <n v="53.253333333333337"/>
    <x v="0"/>
  </r>
  <r>
    <d v="2025-08-11T00:00:00"/>
    <s v="Carbopar"/>
    <s v="COMPRADA"/>
    <n v="271.04000000000002"/>
    <n v="0.08"/>
    <n v="54.192832138689781"/>
    <x v="0"/>
  </r>
  <r>
    <d v="2025-11-12T00:00:00"/>
    <s v="Malaga"/>
    <s v="COMPRADA"/>
    <n v="140.30000000000001"/>
    <n v="8.5000000000000006E-2"/>
    <n v="54.6"/>
    <x v="0"/>
  </r>
  <r>
    <d v="2025-06-16T00:00:00"/>
    <s v="Carbopar"/>
    <s v="COMPRADA"/>
    <n v="166.62"/>
    <n v="0.09"/>
    <n v="54.637475360121307"/>
    <x v="0"/>
  </r>
  <r>
    <d v="2026-01-10T00:00:00"/>
    <s v="Carbopar"/>
    <s v="COMPRADA"/>
    <n v="331.22"/>
    <n v="9.0950000000000017E-2"/>
    <n v="54.962196018115016"/>
    <x v="0"/>
  </r>
  <r>
    <d v="2025-05-31T00:00:00"/>
    <s v="Malaga"/>
    <s v="COMPRADA"/>
    <n v="103.22"/>
    <n v="0.1"/>
    <n v="54.896581466988593"/>
    <x v="0"/>
  </r>
  <r>
    <d v="2025-12-13T00:00:00"/>
    <s v="Gustavo Quesada"/>
    <s v="COMPRADA"/>
    <n v="45.26"/>
    <n v="0.1"/>
    <n v="53.9"/>
    <x v="0"/>
  </r>
  <r>
    <d v="2025-05-05T00:00:00"/>
    <s v="Carbopar"/>
    <s v="COMPRADA"/>
    <n v="30.66"/>
    <n v="0.10700000000000001"/>
    <n v="54.535226706527155"/>
    <x v="0"/>
  </r>
  <r>
    <d v="2025-06-24T00:00:00"/>
    <s v="Carbopar"/>
    <s v="COMPRADA"/>
    <n v="101.89"/>
    <n v="0.11"/>
    <n v="55.175304557953503"/>
    <x v="0"/>
  </r>
  <r>
    <d v="2025-07-11T00:00:00"/>
    <s v="Carbopar"/>
    <s v="COMPRADA"/>
    <n v="367.16"/>
    <n v="0.11"/>
    <n v="53.351881554065663"/>
    <x v="0"/>
  </r>
  <r>
    <d v="2025-10-22T00:00:00"/>
    <s v="Malaga"/>
    <s v="COMPRADA"/>
    <n v="95.35"/>
    <n v="0.11"/>
    <n v="55.1"/>
    <x v="0"/>
  </r>
  <r>
    <d v="2025-10-24T00:00:00"/>
    <s v="Afloramiento 1"/>
    <s v="PROPIA"/>
    <n v="44.78"/>
    <n v="0.11"/>
    <n v="54.8"/>
    <x v="0"/>
  </r>
  <r>
    <d v="2025-12-09T00:00:00"/>
    <s v="Carbopar"/>
    <s v="COMPRADA"/>
    <n v="344.33"/>
    <n v="0.11"/>
    <n v="54.9"/>
    <x v="0"/>
  </r>
  <r>
    <d v="2025-06-21T00:00:00"/>
    <s v="Carbopar"/>
    <s v="COMPRADA"/>
    <n v="488.99"/>
    <n v="0.12"/>
    <n v="53.822968828138023"/>
    <x v="0"/>
  </r>
  <r>
    <d v="2025-09-12T00:00:00"/>
    <s v="Malaga"/>
    <s v="COMPRADA"/>
    <n v="99.32"/>
    <n v="0.12"/>
    <n v="54.565055805430617"/>
    <x v="0"/>
  </r>
  <r>
    <d v="2025-02-20T00:00:00"/>
    <s v="Carbopar"/>
    <s v="COMPRADA"/>
    <n v="522.36"/>
    <n v="0.13642500000000002"/>
    <n v="53.979747841766418"/>
    <x v="0"/>
  </r>
  <r>
    <d v="2025-12-06T00:00:00"/>
    <s v="Carbopar"/>
    <s v="COMPRADA"/>
    <n v="36.68"/>
    <n v="0.14000000000000001"/>
    <n v="53.4"/>
    <x v="0"/>
  </r>
  <r>
    <d v="2025-06-04T00:00:00"/>
    <s v="Carbopar"/>
    <s v="COMPRADA"/>
    <n v="0.5"/>
    <n v="0.15"/>
    <n v="54.696145833333325"/>
    <x v="0"/>
  </r>
  <r>
    <d v="2025-10-21T00:00:00"/>
    <s v="Malaga"/>
    <s v="COMPRADA"/>
    <n v="96.35"/>
    <n v="0.15"/>
    <n v="54.6"/>
    <x v="0"/>
  </r>
  <r>
    <d v="2025-11-15T00:00:00"/>
    <s v="Carbopar"/>
    <s v="COMPRADA"/>
    <n v="460.78"/>
    <n v="0.15"/>
    <n v="55.225545047287213"/>
    <x v="0"/>
  </r>
  <r>
    <d v="2025-06-12T00:00:00"/>
    <s v="Carbopar"/>
    <s v="COMPRADA"/>
    <n v="609.96"/>
    <n v="0.16"/>
    <n v="54.012965686274505"/>
    <x v="0"/>
  </r>
  <r>
    <d v="2025-06-18T00:00:00"/>
    <s v="Carbopar"/>
    <s v="COMPRADA"/>
    <n v="441.73"/>
    <n v="0.16"/>
    <n v="53.827075565912111"/>
    <x v="0"/>
  </r>
  <r>
    <d v="2026-02-16T00:00:00"/>
    <s v="Carbopar"/>
    <s v="COMPRADA"/>
    <n v="186.58"/>
    <n v="0.16"/>
    <n v="54.6"/>
    <x v="0"/>
  </r>
  <r>
    <d v="2025-08-12T00:00:00"/>
    <s v="Malaga"/>
    <s v="COMPRADA"/>
    <n v="66.88"/>
    <n v="0.17"/>
    <n v="54.576011320126511"/>
    <x v="0"/>
  </r>
  <r>
    <d v="2025-06-04T00:00:00"/>
    <s v="Malaga"/>
    <s v="COMPRADA"/>
    <n v="33.01"/>
    <n v="0.18"/>
    <n v="54.178645031783205"/>
    <x v="0"/>
  </r>
  <r>
    <d v="2026-01-07T00:00:00"/>
    <s v="Carbopar"/>
    <s v="COMPRADA"/>
    <n v="387.26"/>
    <n v="0.18"/>
    <n v="53.8"/>
    <x v="0"/>
  </r>
  <r>
    <d v="2025-05-12T00:00:00"/>
    <s v="Carbopar"/>
    <s v="COMPRADA"/>
    <n v="521.71"/>
    <n v="0.18725"/>
    <n v="53.980605060506043"/>
    <x v="0"/>
  </r>
  <r>
    <d v="2025-07-17T00:00:00"/>
    <s v="Carbopar"/>
    <s v="COMPRADA"/>
    <n v="377.69"/>
    <n v="0.19"/>
    <n v="54.804604178806294"/>
    <x v="0"/>
  </r>
  <r>
    <d v="2025-12-03T00:00:00"/>
    <s v="Carbopar"/>
    <s v="COMPRADA"/>
    <n v="429.93"/>
    <n v="0.19"/>
    <n v="54.1"/>
    <x v="0"/>
  </r>
  <r>
    <d v="2025-07-12T00:00:00"/>
    <s v="Carbopar"/>
    <s v="COMPRADA"/>
    <n v="322.68"/>
    <n v="0.2"/>
    <n v="53.467494976557269"/>
    <x v="0"/>
  </r>
  <r>
    <d v="2025-12-15T00:00:00"/>
    <s v="Carbopar"/>
    <s v="COMPRADA"/>
    <n v="600.48"/>
    <n v="0.2"/>
    <n v="54.865797417407343"/>
    <x v="0"/>
  </r>
  <r>
    <d v="2025-04-14T00:00:00"/>
    <s v="Carbopar"/>
    <s v="COMPRADA"/>
    <n v="397.14"/>
    <n v="0.20865000000000003"/>
    <n v="54.420255000000004"/>
    <x v="0"/>
  </r>
  <r>
    <d v="2025-09-25T00:00:00"/>
    <s v="Carbopar"/>
    <s v="COMPRADA"/>
    <n v="253.66"/>
    <n v="0.21"/>
    <n v="52.2"/>
    <x v="0"/>
  </r>
  <r>
    <d v="2025-11-13T00:00:00"/>
    <s v="Carbopar"/>
    <s v="COMPRADA"/>
    <n v="551.39"/>
    <n v="0.21"/>
    <n v="54.192387096774191"/>
    <x v="0"/>
  </r>
  <r>
    <d v="2025-04-16T00:00:00"/>
    <s v="Carbopar"/>
    <s v="COMPRADA"/>
    <n v="322.04000000000002"/>
    <n v="0.21132500000000001"/>
    <n v="53.749851072001611"/>
    <x v="0"/>
  </r>
  <r>
    <d v="2025-06-07T00:00:00"/>
    <s v="Carbopar"/>
    <s v="COMPRADA"/>
    <n v="0.47799999999999998"/>
    <n v="0.22"/>
    <n v="53.151685082872923"/>
    <x v="0"/>
  </r>
  <r>
    <d v="2025-09-04T00:00:00"/>
    <s v="Carbopar"/>
    <s v="COMPRADA"/>
    <n v="190.98"/>
    <n v="0.22"/>
    <n v="53.345711431188079"/>
    <x v="0"/>
  </r>
  <r>
    <d v="2025-09-05T00:00:00"/>
    <s v="Carbopar"/>
    <s v="COMPRADA"/>
    <n v="225.61"/>
    <n v="0.22"/>
    <n v="53.345711431188079"/>
    <x v="0"/>
  </r>
  <r>
    <d v="2025-09-18T00:00:00"/>
    <s v="Carbopar"/>
    <s v="COMPRADA"/>
    <n v="632.09"/>
    <n v="0.22"/>
    <n v="55.058100184514458"/>
    <x v="0"/>
  </r>
  <r>
    <d v="2025-12-22T00:00:00"/>
    <s v="Carbopar"/>
    <s v="COMPRADA"/>
    <n v="100.93"/>
    <n v="0.22"/>
    <n v="54.445607895173332"/>
    <x v="0"/>
  </r>
  <r>
    <d v="2025-02-24T00:00:00"/>
    <s v="Carbopar"/>
    <s v="COMPRADA"/>
    <n v="271.92"/>
    <n v="0.22470000000000001"/>
    <n v="55.024323432343238"/>
    <x v="0"/>
  </r>
  <r>
    <d v="2026-01-19T00:00:00"/>
    <s v="Carbopar"/>
    <s v="COMPRADA"/>
    <n v="367.28"/>
    <n v="0.23540000000000003"/>
    <n v="53.389059977983607"/>
    <x v="0"/>
  </r>
  <r>
    <d v="2025-06-09T00:00:00"/>
    <s v="Lisandro Rojas"/>
    <s v="COMPRADA"/>
    <n v="102.93"/>
    <n v="0.24"/>
    <n v="54.787068936738436"/>
    <x v="0"/>
  </r>
  <r>
    <d v="2025-08-19T00:00:00"/>
    <s v="Carbopar"/>
    <s v="COMPRADA"/>
    <n v="70.58"/>
    <n v="0.24"/>
    <n v="55.066270518713068"/>
    <x v="0"/>
  </r>
  <r>
    <d v="2025-09-12T00:00:00"/>
    <s v="Lisandro Rojas"/>
    <s v="COMPRADA"/>
    <n v="24.57"/>
    <n v="0.24"/>
    <n v="54.239797533744373"/>
    <x v="0"/>
  </r>
  <r>
    <d v="2025-05-29T00:00:00"/>
    <s v="Carbopar"/>
    <s v="COMPRADA"/>
    <n v="562.78"/>
    <n v="0.24877500000000002"/>
    <n v="53.134490921857754"/>
    <x v="0"/>
  </r>
  <r>
    <d v="2025-06-05T00:00:00"/>
    <s v="Carbopar"/>
    <s v="COMPRADA"/>
    <n v="553.1"/>
    <n v="0.25"/>
    <n v="54.700057394776245"/>
    <x v="0"/>
  </r>
  <r>
    <d v="2025-09-19T00:00:00"/>
    <s v="Carbopar"/>
    <s v="COMPRADA"/>
    <n v="297.93"/>
    <n v="0.25"/>
    <n v="54.241586924902393"/>
    <x v="0"/>
  </r>
  <r>
    <d v="2025-01-09T00:00:00"/>
    <s v="Carbopar"/>
    <s v="COMPRADA"/>
    <n v="375.54"/>
    <n v="0.25412499999999999"/>
    <n v="54.761644564999003"/>
    <x v="0"/>
  </r>
  <r>
    <d v="2025-01-31T00:00:00"/>
    <s v="Malaga"/>
    <s v="COMPRADA"/>
    <n v="37.479999999999997"/>
    <n v="0.25680000000000003"/>
    <n v="55.036020234398478"/>
    <x v="0"/>
  </r>
  <r>
    <d v="2025-08-13T00:00:00"/>
    <s v="Malaga"/>
    <s v="COMPRADA"/>
    <n v="170.22"/>
    <n v="0.26"/>
    <n v="54.185726210350587"/>
    <x v="0"/>
  </r>
  <r>
    <d v="2025-01-03T00:00:00"/>
    <s v="Carbopar"/>
    <s v="COMPRADA"/>
    <n v="129.80000000000001"/>
    <n v="0.28000000000000003"/>
    <n v="54.23707032220657"/>
    <x v="0"/>
  </r>
  <r>
    <d v="2025-11-29T00:00:00"/>
    <s v="Malaga"/>
    <s v="COMPRADA"/>
    <n v="266.7"/>
    <n v="0.28000000000000003"/>
    <n v="53.4"/>
    <x v="0"/>
  </r>
  <r>
    <d v="2026-02-01T00:00:00"/>
    <s v="Carbopar"/>
    <s v="COMPRADA"/>
    <n v="390.35"/>
    <n v="0.28000000000000003"/>
    <n v="54.6"/>
    <x v="0"/>
  </r>
  <r>
    <d v="2026-02-02T00:00:00"/>
    <s v="Carbopar"/>
    <s v="COMPRADA"/>
    <n v="390.35"/>
    <n v="0.28000000000000003"/>
    <n v="54.6"/>
    <x v="0"/>
  </r>
  <r>
    <d v="2025-05-02T00:00:00"/>
    <s v="Malaga"/>
    <s v="COMPRADA"/>
    <n v="33.020000000000003"/>
    <n v="0.28087500000000004"/>
    <n v="54.646213835218738"/>
    <x v="0"/>
  </r>
  <r>
    <d v="2025-07-25T00:00:00"/>
    <s v="Carbopar"/>
    <s v="COMPRADA"/>
    <n v="267.54000000000002"/>
    <n v="0.28999999999999998"/>
    <n v="54.528969385370416"/>
    <x v="0"/>
  </r>
  <r>
    <d v="2025-09-09T00:00:00"/>
    <s v="Gustavo Quesada"/>
    <s v="COMPRADA"/>
    <n v="20.54"/>
    <n v="0.28999999999999998"/>
    <n v="54.837766624843162"/>
    <x v="0"/>
  </r>
  <r>
    <d v="2025-09-30T00:00:00"/>
    <s v="Malaga"/>
    <s v="COMPRADA"/>
    <n v="138.87"/>
    <n v="0.28999999999999998"/>
    <n v="55.2"/>
    <x v="0"/>
  </r>
  <r>
    <d v="2025-06-10T00:00:00"/>
    <s v="Carbopar"/>
    <s v="COMPRADA"/>
    <n v="484.47"/>
    <n v="0.3"/>
    <n v="53.326309281577707"/>
    <x v="0"/>
  </r>
  <r>
    <d v="2025-09-22T00:00:00"/>
    <s v="Malaga"/>
    <s v="COMPRADA"/>
    <n v="34.94"/>
    <n v="0.3"/>
    <n v="53.623724598119502"/>
    <x v="0"/>
  </r>
  <r>
    <d v="2025-11-10T00:00:00"/>
    <s v="Carbopar"/>
    <s v="COMPRADA"/>
    <n v="70.83"/>
    <n v="0.3"/>
    <n v="54.1"/>
    <x v="0"/>
  </r>
  <r>
    <d v="2025-12-12T00:00:00"/>
    <s v="Carbopar"/>
    <s v="COMPRADA"/>
    <n v="52.31"/>
    <n v="0.3"/>
    <n v="54.8"/>
    <x v="0"/>
  </r>
  <r>
    <d v="2025-01-31T00:00:00"/>
    <s v="Carbopar"/>
    <s v="COMPRADA"/>
    <n v="919.24"/>
    <n v="0.30495"/>
    <n v="54.632354838066767"/>
    <x v="0"/>
  </r>
  <r>
    <d v="2025-09-11T00:00:00"/>
    <s v="Malaga"/>
    <s v="COMPRADA"/>
    <n v="105.98"/>
    <n v="0.31"/>
    <n v="54.396047024246876"/>
    <x v="0"/>
  </r>
  <r>
    <d v="2026-01-14T00:00:00"/>
    <s v="Carbopar"/>
    <s v="COMPRADA"/>
    <n v="236.77"/>
    <n v="0.31"/>
    <n v="54.3"/>
    <x v="0"/>
  </r>
  <r>
    <d v="2025-03-06T00:00:00"/>
    <s v="Carbopar"/>
    <s v="COMPRADA"/>
    <n v="367.46"/>
    <n v="0.31564999999999999"/>
    <n v="54.093566573370651"/>
    <x v="0"/>
  </r>
  <r>
    <d v="2025-07-14T00:00:00"/>
    <s v="Malaga"/>
    <s v="COMPRADA"/>
    <n v="69.900000000000006"/>
    <n v="0.32"/>
    <n v="53.374711274060495"/>
    <x v="0"/>
  </r>
  <r>
    <d v="2025-08-14T00:00:00"/>
    <s v="Carbopar"/>
    <s v="COMPRADA"/>
    <n v="556.08000000000004"/>
    <n v="0.32"/>
    <n v="53.094493091393375"/>
    <x v="0"/>
  </r>
  <r>
    <d v="2025-08-20T00:00:00"/>
    <s v="Carbopar"/>
    <s v="COMPRADA"/>
    <n v="224"/>
    <n v="0.32"/>
    <n v="54.602646206842557"/>
    <x v="0"/>
  </r>
  <r>
    <d v="2025-12-02T00:00:00"/>
    <s v="Carbopar"/>
    <s v="COMPRADA"/>
    <n v="195.78"/>
    <n v="0.32"/>
    <n v="53.9"/>
    <x v="0"/>
  </r>
  <r>
    <d v="2025-04-04T00:00:00"/>
    <s v="Malaga"/>
    <s v="COMPRADA"/>
    <n v="169.93"/>
    <n v="0.32100000000000001"/>
    <n v="54.288367015805314"/>
    <x v="0"/>
  </r>
  <r>
    <d v="2025-06-14T00:00:00"/>
    <s v="Malaga"/>
    <s v="COMPRADA"/>
    <n v="99.88"/>
    <n v="0.33"/>
    <n v="54.367427466150872"/>
    <x v="0"/>
  </r>
  <r>
    <d v="2025-07-18T00:00:00"/>
    <s v="Carbopar"/>
    <s v="COMPRADA"/>
    <n v="181.16"/>
    <n v="0.33"/>
    <n v="53.31325148809524"/>
    <x v="0"/>
  </r>
  <r>
    <d v="2025-10-03T00:00:00"/>
    <s v="Gustavo Quesada"/>
    <s v="COMPRADA"/>
    <n v="46.3"/>
    <n v="0.33"/>
    <n v="52.620268456375832"/>
    <x v="0"/>
  </r>
  <r>
    <d v="2025-11-26T00:00:00"/>
    <s v="Carbopar"/>
    <s v="COMPRADA"/>
    <n v="107.88"/>
    <n v="0.33"/>
    <n v="54.4"/>
    <x v="0"/>
  </r>
  <r>
    <d v="2025-06-10T00:00:00"/>
    <s v="Lisandro Rojas"/>
    <s v="COMPRADA"/>
    <n v="48.83"/>
    <n v="0.34"/>
    <n v="54.181062772538276"/>
    <x v="0"/>
  </r>
  <r>
    <d v="2025-09-09T00:00:00"/>
    <s v="Carbopar"/>
    <s v="COMPRADA"/>
    <n v="170.74"/>
    <n v="0.34"/>
    <n v="53.509516601154132"/>
    <x v="0"/>
  </r>
  <r>
    <d v="2026-02-13T00:00:00"/>
    <s v="Carbopar"/>
    <s v="COMPRADA"/>
    <n v="449.96"/>
    <n v="0.34"/>
    <n v="54.3"/>
    <x v="0"/>
  </r>
  <r>
    <d v="2025-04-10T00:00:00"/>
    <s v="Malaga"/>
    <s v="COMPRADA"/>
    <n v="132.15"/>
    <n v="0.34240000000000004"/>
    <n v="54.680287057063047"/>
    <x v="0"/>
  </r>
  <r>
    <d v="2025-04-10T00:00:00"/>
    <s v="Malaga"/>
    <s v="COMPRADA"/>
    <n v="132.15"/>
    <n v="0.34240000000000004"/>
    <n v="54.680287057063047"/>
    <x v="0"/>
  </r>
  <r>
    <d v="2025-05-24T00:00:00"/>
    <s v="Malaga"/>
    <s v="COMPRADA"/>
    <n v="42.43"/>
    <n v="0.34240000000000004"/>
    <n v="53.616668685258958"/>
    <x v="0"/>
  </r>
  <r>
    <d v="2025-08-08T00:00:00"/>
    <s v="Carbopar"/>
    <s v="COMPRADA"/>
    <n v="59.4"/>
    <n v="0.35"/>
    <n v="54.119741550695821"/>
    <x v="0"/>
  </r>
  <r>
    <d v="2025-10-01T00:00:00"/>
    <s v="Carbopar"/>
    <s v="COMPRADA"/>
    <n v="63.13"/>
    <n v="0.35"/>
    <n v="53.45"/>
    <x v="0"/>
  </r>
  <r>
    <d v="2025-11-08T00:00:00"/>
    <s v="Carbopar"/>
    <s v="COMPRADA"/>
    <n v="282.42"/>
    <n v="0.35"/>
    <n v="53.93307291666666"/>
    <x v="0"/>
  </r>
  <r>
    <d v="2025-06-27T00:00:00"/>
    <s v="Malaga"/>
    <s v="COMPRADA"/>
    <n v="142.52000000000001"/>
    <n v="0.35042500000000004"/>
    <n v="54.459148752749456"/>
    <x v="0"/>
  </r>
  <r>
    <d v="2026-01-20T00:00:00"/>
    <s v="Carbopar"/>
    <s v="COMPRADA"/>
    <n v="541.75"/>
    <n v="0.35310000000000002"/>
    <n v="54.13224202700686"/>
    <x v="0"/>
  </r>
  <r>
    <d v="2025-10-28T00:00:00"/>
    <s v="Malaga"/>
    <s v="COMPRADA"/>
    <n v="66.92"/>
    <n v="0.36"/>
    <n v="54.8"/>
    <x v="0"/>
  </r>
  <r>
    <d v="2025-11-07T00:00:00"/>
    <s v="Malaga"/>
    <s v="COMPRADA"/>
    <n v="101.6"/>
    <n v="0.37"/>
    <n v="54.328391113844262"/>
    <x v="0"/>
  </r>
  <r>
    <d v="2025-11-20T00:00:00"/>
    <s v="Carbopar"/>
    <s v="COMPRADA"/>
    <n v="469.12"/>
    <n v="0.38"/>
    <n v="54.45"/>
    <x v="0"/>
  </r>
  <r>
    <d v="2025-12-15T00:00:00"/>
    <s v="Malaga"/>
    <s v="COMPRADA"/>
    <n v="114.92"/>
    <n v="0.38"/>
    <n v="54.025888409166392"/>
    <x v="0"/>
  </r>
  <r>
    <d v="2025-08-16T00:00:00"/>
    <s v="Malaga"/>
    <s v="COMPRADA"/>
    <n v="68.64"/>
    <n v="0.39"/>
    <n v="54.270265076209405"/>
    <x v="0"/>
  </r>
  <r>
    <d v="2025-09-18T00:00:00"/>
    <s v="Malaga"/>
    <s v="COMPRADA"/>
    <n v="102.59"/>
    <n v="0.39"/>
    <n v="54.376747967479673"/>
    <x v="0"/>
  </r>
  <r>
    <d v="2025-03-04T00:00:00"/>
    <s v="Carbopar"/>
    <s v="COMPRADA"/>
    <n v="171.35333333333335"/>
    <n v="0.39055000000000001"/>
    <n v="53.710977835723597"/>
    <x v="0"/>
  </r>
  <r>
    <d v="2025-03-28T00:00:00"/>
    <s v="Carbopar"/>
    <s v="COMPRADA"/>
    <n v="306.83999999999997"/>
    <n v="0.39055000000000001"/>
    <n v="51.899152442938302"/>
    <x v="0"/>
  </r>
  <r>
    <d v="2025-09-25T00:00:00"/>
    <s v="Lisandro Rojas"/>
    <s v="COMPRADA"/>
    <n v="26.17"/>
    <n v="0.4"/>
    <n v="53.522378721980594"/>
    <x v="0"/>
  </r>
  <r>
    <d v="2025-11-28T00:00:00"/>
    <s v="Carbopar"/>
    <s v="COMPRADA"/>
    <n v="393.44"/>
    <n v="0.4"/>
    <n v="54.2"/>
    <x v="0"/>
  </r>
  <r>
    <d v="2025-04-04T00:00:00"/>
    <s v="Carbopar"/>
    <s v="COMPRADA"/>
    <n v="171.14"/>
    <n v="0.40125"/>
    <n v="53.991398032918511"/>
    <x v="0"/>
  </r>
  <r>
    <d v="2025-04-16T00:00:00"/>
    <s v="Malaga"/>
    <s v="COMPRADA"/>
    <n v="134.77000000000001"/>
    <n v="0.40660000000000002"/>
    <n v="53.838355602061334"/>
    <x v="0"/>
  </r>
  <r>
    <d v="2025-10-20T00:00:00"/>
    <s v="Carbopar"/>
    <s v="COMPRADA"/>
    <n v="386.41"/>
    <n v="0.41"/>
    <n v="54.2"/>
    <x v="0"/>
  </r>
  <r>
    <d v="2025-09-27T00:00:00"/>
    <s v="Malaga"/>
    <s v="COMPRADA"/>
    <n v="130.01"/>
    <n v="0.42"/>
    <n v="54.965111352072725"/>
    <x v="0"/>
  </r>
  <r>
    <d v="2026-01-17T00:00:00"/>
    <s v="Carbopar"/>
    <s v="COMPRADA"/>
    <n v="357.32"/>
    <n v="0.42"/>
    <n v="53.7"/>
    <x v="0"/>
  </r>
  <r>
    <d v="2026-01-18T00:00:00"/>
    <s v="Carbopar"/>
    <s v="COMPRADA"/>
    <n v="1096.44"/>
    <n v="0.42"/>
    <n v="53.7"/>
    <x v="0"/>
  </r>
  <r>
    <d v="2025-03-07T00:00:00"/>
    <s v="Carbopar"/>
    <s v="COMPRADA"/>
    <n v="320.08"/>
    <n v="0.42265000000000003"/>
    <n v="51.385230599558852"/>
    <x v="0"/>
  </r>
  <r>
    <d v="2025-05-22T00:00:00"/>
    <s v="Carbopar"/>
    <s v="COMPRADA"/>
    <n v="341.45"/>
    <n v="0.42800000000000005"/>
    <n v="54.231189427312778"/>
    <x v="0"/>
  </r>
  <r>
    <d v="2025-07-19T00:00:00"/>
    <s v="Malaga"/>
    <s v="COMPRADA"/>
    <n v="73.3"/>
    <n v="0.43"/>
    <n v="53.825819924968734"/>
    <x v="0"/>
  </r>
  <r>
    <d v="2025-07-21T00:00:00"/>
    <s v="Malaga"/>
    <s v="COMPRADA"/>
    <n v="69.23"/>
    <n v="0.43"/>
    <n v="54.538118391474484"/>
    <x v="0"/>
  </r>
  <r>
    <d v="2025-12-18T00:00:00"/>
    <s v="Carbopar"/>
    <s v="COMPRADA"/>
    <n v="499.97"/>
    <n v="0.43"/>
    <n v="54.8"/>
    <x v="0"/>
  </r>
  <r>
    <d v="2025-02-18T00:00:00"/>
    <s v="Carbopar"/>
    <s v="COMPRADA"/>
    <n v="171.28"/>
    <n v="0.43067500000000003"/>
    <n v="53.701935920074348"/>
    <x v="0"/>
  </r>
  <r>
    <d v="2025-06-13T00:00:00"/>
    <s v="Carbopar"/>
    <s v="COMPRADA"/>
    <n v="513.51"/>
    <n v="0.44"/>
    <n v="52.972697289035473"/>
    <x v="0"/>
  </r>
  <r>
    <d v="2025-10-22T00:00:00"/>
    <s v="Carbopar"/>
    <s v="COMPRADA"/>
    <n v="319.16000000000003"/>
    <n v="0.44"/>
    <n v="54.4"/>
    <x v="0"/>
  </r>
  <r>
    <d v="2025-12-16T00:00:00"/>
    <s v="Carbopar"/>
    <s v="COMPRADA"/>
    <n v="271.2"/>
    <n v="0.44"/>
    <n v="54.8"/>
    <x v="0"/>
  </r>
  <r>
    <d v="2025-01-30T00:00:00"/>
    <s v="Carbopar"/>
    <s v="COMPRADA"/>
    <n v="384"/>
    <n v="0.44672499999999998"/>
    <n v="54.490651568343168"/>
    <x v="0"/>
  </r>
  <r>
    <d v="2025-02-07T00:00:00"/>
    <s v="Carbopar"/>
    <s v="COMPRADA"/>
    <n v="339.86"/>
    <n v="0.44940000000000002"/>
    <n v="54.486116776644664"/>
    <x v="0"/>
  </r>
  <r>
    <d v="2025-07-07T00:00:00"/>
    <s v="Carbopar"/>
    <s v="COMPRADA"/>
    <n v="334.82"/>
    <n v="0.45"/>
    <n v="54.631533101045292"/>
    <x v="0"/>
  </r>
  <r>
    <d v="2025-08-22T00:00:00"/>
    <s v="Malaga"/>
    <s v="COMPRADA"/>
    <n v="197.88"/>
    <n v="0.45"/>
    <n v="54.72171419042855"/>
    <x v="0"/>
  </r>
  <r>
    <d v="2025-08-23T00:00:00"/>
    <s v="Malaga"/>
    <s v="COMPRADA"/>
    <n v="235.95"/>
    <n v="0.45"/>
    <n v="54.72171419042855"/>
    <x v="0"/>
  </r>
  <r>
    <d v="2025-10-09T00:00:00"/>
    <s v="Carbopar"/>
    <s v="COMPRADA"/>
    <n v="248.08"/>
    <n v="0.45"/>
    <n v="53.1"/>
    <x v="0"/>
  </r>
  <r>
    <d v="2026-01-24T00:00:00"/>
    <s v="Malaga"/>
    <s v="COMPRADA"/>
    <n v="34"/>
    <n v="0.45"/>
    <n v="54.6"/>
    <x v="0"/>
  </r>
  <r>
    <d v="2025-08-23T00:00:00"/>
    <s v="Leonidas Rodriguez"/>
    <s v="COMPRADA"/>
    <n v="230.76"/>
    <n v="0.46"/>
    <n v="54.024685719074753"/>
    <x v="0"/>
  </r>
  <r>
    <d v="2025-11-27T00:00:00"/>
    <s v="Carbopar"/>
    <s v="COMPRADA"/>
    <n v="201.9"/>
    <n v="0.46"/>
    <n v="53.200642121236321"/>
    <x v="0"/>
  </r>
  <r>
    <d v="2025-12-17T00:00:00"/>
    <s v="Carbopar"/>
    <s v="COMPRADA"/>
    <n v="581.02"/>
    <n v="0.46"/>
    <n v="54.2"/>
    <x v="0"/>
  </r>
  <r>
    <d v="2025-02-21T00:00:00"/>
    <s v="Carbopar"/>
    <s v="COMPRADA"/>
    <n v="343.98"/>
    <n v="0.46277500000000005"/>
    <n v="53.993333333333325"/>
    <x v="0"/>
  </r>
  <r>
    <d v="2025-05-28T00:00:00"/>
    <s v="Carbopar"/>
    <s v="COMPRADA"/>
    <n v="379.64"/>
    <n v="0.46545000000000003"/>
    <n v="53.587661062256423"/>
    <x v="0"/>
  </r>
  <r>
    <d v="2025-05-13T00:00:00"/>
    <s v="Carbopar"/>
    <s v="COMPRADA"/>
    <n v="30.66"/>
    <n v="0.46812500000000001"/>
    <n v="53.663106761780377"/>
    <x v="0"/>
  </r>
  <r>
    <d v="2025-12-04T00:00:00"/>
    <s v="Malaga"/>
    <s v="COMPRADA"/>
    <n v="105"/>
    <n v="0.47"/>
    <n v="54.7"/>
    <x v="0"/>
  </r>
  <r>
    <d v="2025-08-20T00:00:00"/>
    <s v="Malaga"/>
    <s v="COMPRADA"/>
    <n v="106.84"/>
    <n v="0.48"/>
    <n v="54.217415152002566"/>
    <x v="0"/>
  </r>
  <r>
    <d v="2025-08-22T00:00:00"/>
    <s v="Carbopar"/>
    <s v="COMPRADA"/>
    <n v="197.88"/>
    <n v="0.48"/>
    <n v="54.154810126582277"/>
    <x v="0"/>
  </r>
  <r>
    <d v="2025-01-11T00:00:00"/>
    <s v="Malaga"/>
    <s v="COMPRADA"/>
    <n v="175.59"/>
    <n v="0.48150000000000004"/>
    <n v="50.556950127538386"/>
    <x v="0"/>
  </r>
  <r>
    <d v="2025-04-10T00:00:00"/>
    <s v="Carbopar"/>
    <s v="COMPRADA"/>
    <n v="305.76"/>
    <n v="0.48417500000000002"/>
    <n v="53.534941615755628"/>
    <x v="0"/>
  </r>
  <r>
    <d v="2025-01-03T00:00:00"/>
    <s v="Carbopar"/>
    <s v="COMPRADA"/>
    <n v="132.44"/>
    <n v="0.49"/>
    <n v="52.856487378320409"/>
    <x v="0"/>
  </r>
  <r>
    <d v="2025-09-16T00:00:00"/>
    <s v="Malaga"/>
    <s v="COMPRADA"/>
    <n v="112.44"/>
    <n v="0.5"/>
    <n v="53.921715446480391"/>
    <x v="0"/>
  </r>
  <r>
    <d v="2025-04-09T00:00:00"/>
    <s v="Carbopar"/>
    <s v="COMPRADA"/>
    <n v="173.4"/>
    <n v="0.50824999999999998"/>
    <n v="53.899296492455278"/>
    <x v="0"/>
  </r>
  <r>
    <d v="2025-05-30T00:00:00"/>
    <s v="Carbopar"/>
    <s v="COMPRADA"/>
    <n v="314.36"/>
    <n v="0.51"/>
    <n v="53.980767752715124"/>
    <x v="0"/>
  </r>
  <r>
    <d v="2025-08-26T00:00:00"/>
    <s v="Malaga"/>
    <s v="COMPRADA"/>
    <n v="102.51"/>
    <n v="0.51"/>
    <n v="53.712791411042943"/>
    <x v="0"/>
  </r>
  <r>
    <d v="2026-01-22T00:00:00"/>
    <s v="Carbopar"/>
    <s v="COMPRADA"/>
    <n v="327.38"/>
    <n v="0.51"/>
    <n v="53.9"/>
    <x v="0"/>
  </r>
  <r>
    <d v="2025-03-26T00:00:00"/>
    <s v="Carbopar"/>
    <s v="COMPRADA"/>
    <n v="348.88"/>
    <n v="0.51092499999999996"/>
    <n v="50.611637057111317"/>
    <x v="0"/>
  </r>
  <r>
    <d v="2025-02-03T00:00:00"/>
    <s v="Carbopar"/>
    <s v="COMPRADA"/>
    <n v="312.66000000000003"/>
    <n v="0.51895000000000002"/>
    <n v="45.759074126012194"/>
    <x v="0"/>
  </r>
  <r>
    <d v="2025-08-29T00:00:00"/>
    <s v="Carbopar"/>
    <s v="COMPRADA"/>
    <n v="139.4"/>
    <n v="0.52"/>
    <n v="54.537267563992842"/>
    <x v="0"/>
  </r>
  <r>
    <d v="2025-02-19T00:00:00"/>
    <s v="Carbopar"/>
    <s v="COMPRADA"/>
    <n v="307.77999999999997"/>
    <n v="0.52162500000000001"/>
    <n v="52.472366802788848"/>
    <x v="0"/>
  </r>
  <r>
    <d v="2025-07-01T00:00:00"/>
    <s v="Carbopar"/>
    <s v="COMPRADA"/>
    <n v="115.55"/>
    <n v="0.52162500000000001"/>
    <n v="53.051414444111472"/>
    <x v="0"/>
  </r>
  <r>
    <d v="2025-06-27T00:00:00"/>
    <s v="Carbopar"/>
    <s v="COMPRADA"/>
    <n v="531.47"/>
    <n v="0.52965000000000007"/>
    <n v="53.509577576742331"/>
    <x v="0"/>
  </r>
  <r>
    <d v="2025-07-08T00:00:00"/>
    <s v="Carbopar"/>
    <s v="COMPRADA"/>
    <n v="364.02"/>
    <n v="0.53"/>
    <n v="54.228588253057531"/>
    <x v="0"/>
  </r>
  <r>
    <d v="2026-01-10T00:00:00"/>
    <s v="Malaga"/>
    <s v="COMPRADA"/>
    <n v="31.66"/>
    <n v="0.53232500000000005"/>
    <n v="54.635725461936438"/>
    <x v="0"/>
  </r>
  <r>
    <d v="2025-03-22T00:00:00"/>
    <s v="Carbopar"/>
    <s v="COMPRADA"/>
    <n v="233.38"/>
    <n v="0.53767500000000001"/>
    <n v="53.916084126189283"/>
    <x v="0"/>
  </r>
  <r>
    <d v="2025-08-08T00:00:00"/>
    <s v="Malaga"/>
    <s v="COMPRADA"/>
    <n v="138.88"/>
    <n v="0.54"/>
    <n v="54.649434967129899"/>
    <x v="0"/>
  </r>
  <r>
    <d v="2025-05-16T00:00:00"/>
    <s v="Malaga"/>
    <s v="COMPRADA"/>
    <n v="129.01"/>
    <n v="0.54302499999999998"/>
    <n v="54.703183954125215"/>
    <x v="0"/>
  </r>
  <r>
    <d v="2025-08-25T00:00:00"/>
    <s v="Carbopar"/>
    <s v="COMPRADA"/>
    <n v="175.9"/>
    <n v="0.55000000000000004"/>
    <n v="53.860428799194423"/>
    <x v="0"/>
  </r>
  <r>
    <d v="2025-10-14T00:00:00"/>
    <s v="Carbopar"/>
    <s v="COMPRADA"/>
    <n v="218.69"/>
    <n v="0.55000000000000004"/>
    <n v="53.5"/>
    <x v="0"/>
  </r>
  <r>
    <d v="2025-10-22T00:00:00"/>
    <s v="Lisandro Rojas"/>
    <s v="COMPRADA"/>
    <n v="52.63"/>
    <n v="0.55000000000000004"/>
    <n v="54.6"/>
    <x v="0"/>
  </r>
  <r>
    <d v="2025-06-19T00:00:00"/>
    <s v="Carbopar"/>
    <s v="COMPRADA"/>
    <n v="163.44"/>
    <n v="0.56000000000000005"/>
    <n v="54.332257392753014"/>
    <x v="0"/>
  </r>
  <r>
    <d v="2025-09-29T00:00:00"/>
    <s v="Carbopar"/>
    <s v="COMPRADA"/>
    <n v="327.06"/>
    <n v="0.56000000000000005"/>
    <n v="53.037119053569945"/>
    <x v="0"/>
  </r>
  <r>
    <d v="2025-01-22T00:00:00"/>
    <s v="Carbopar"/>
    <s v="COMPRADA"/>
    <n v="353.98"/>
    <n v="0.56977500000000003"/>
    <n v="54.71208097648109"/>
    <x v="0"/>
  </r>
  <r>
    <d v="2025-02-12T00:00:00"/>
    <s v="Malaga"/>
    <s v="COMPRADA"/>
    <n v="137.22"/>
    <n v="0.56977500000000003"/>
    <n v="54.128181097316784"/>
    <x v="0"/>
  </r>
  <r>
    <d v="2025-10-25T00:00:00"/>
    <s v="Malaga"/>
    <s v="COMPRADA"/>
    <n v="66"/>
    <n v="0.56999999999999995"/>
    <n v="54.4"/>
    <x v="0"/>
  </r>
  <r>
    <d v="2025-12-19T00:00:00"/>
    <s v="Carbopar"/>
    <s v="COMPRADA"/>
    <n v="407.11"/>
    <n v="0.56999999999999995"/>
    <n v="54"/>
    <x v="0"/>
  </r>
  <r>
    <d v="2025-01-28T00:00:00"/>
    <s v="Carbopar"/>
    <s v="COMPRADA"/>
    <n v="384"/>
    <n v="0.57245000000000001"/>
    <n v="53.564164217209445"/>
    <x v="0"/>
  </r>
  <r>
    <d v="2025-02-13T00:00:00"/>
    <s v="Carbopar"/>
    <s v="COMPRADA"/>
    <n v="176.24"/>
    <n v="0.57245000000000001"/>
    <n v="54.408684367541767"/>
    <x v="0"/>
  </r>
  <r>
    <d v="2025-04-05T00:00:00"/>
    <s v="Malaga"/>
    <s v="COMPRADA"/>
    <n v="123.01"/>
    <n v="0.57780000000000009"/>
    <n v="54.096652123534717"/>
    <x v="0"/>
  </r>
  <r>
    <d v="2025-08-01T00:00:00"/>
    <s v="Carbopar"/>
    <s v="COMPRADA"/>
    <n v="76.69"/>
    <n v="0.57780000000000009"/>
    <n v="53.693442752886206"/>
    <x v="0"/>
  </r>
  <r>
    <d v="2025-01-08T00:00:00"/>
    <s v="Carbopar"/>
    <s v="COMPRADA"/>
    <n v="421.38"/>
    <n v="0.57999999999999996"/>
    <n v="53.510697325668581"/>
    <x v="0"/>
  </r>
  <r>
    <d v="2025-08-30T00:00:00"/>
    <s v="Carbopar"/>
    <s v="COMPRADA"/>
    <n v="261.02999999999997"/>
    <n v="0.57999999999999996"/>
    <n v="52.433509364445811"/>
    <x v="0"/>
  </r>
  <r>
    <d v="2025-09-06T00:00:00"/>
    <s v="Carbopar"/>
    <s v="COMPRADA"/>
    <n v="153.87"/>
    <n v="0.57999999999999996"/>
    <n v="53.246301849075458"/>
    <x v="0"/>
  </r>
  <r>
    <d v="2025-04-08T00:00:00"/>
    <s v="Malaga"/>
    <s v="COMPRADA"/>
    <n v="98.96"/>
    <n v="0.58850000000000013"/>
    <n v="53.951055287295858"/>
    <x v="0"/>
  </r>
  <r>
    <d v="2025-04-08T00:00:00"/>
    <s v="Malaga"/>
    <s v="COMPRADA"/>
    <n v="98.96"/>
    <n v="0.58850000000000013"/>
    <n v="53.951055287295858"/>
    <x v="0"/>
  </r>
  <r>
    <d v="2025-05-09T00:00:00"/>
    <s v="Carbopar"/>
    <s v="COMPRADA"/>
    <n v="383.45"/>
    <n v="0.58850000000000013"/>
    <n v="53.855278472152783"/>
    <x v="0"/>
  </r>
  <r>
    <d v="2025-07-21T00:00:00"/>
    <s v="Carbopar"/>
    <s v="COMPRADA"/>
    <n v="95.16"/>
    <n v="0.59"/>
    <n v="54.090544047916147"/>
    <x v="0"/>
  </r>
  <r>
    <d v="2025-05-02T00:00:00"/>
    <s v="Carbopar"/>
    <s v="COMPRADA"/>
    <n v="521.71"/>
    <n v="0.59117500000000001"/>
    <n v="53.137420493864411"/>
    <x v="0"/>
  </r>
  <r>
    <d v="2025-04-29T00:00:00"/>
    <s v="Malaga"/>
    <s v="COMPRADA"/>
    <n v="101.82"/>
    <n v="0.59920000000000007"/>
    <n v="54.503464938049561"/>
    <x v="0"/>
  </r>
  <r>
    <d v="2025-05-06T00:00:00"/>
    <s v="Carbopar"/>
    <s v="COMPRADA"/>
    <n v="365.51"/>
    <n v="0.59920000000000007"/>
    <n v="53.351687430167594"/>
    <x v="0"/>
  </r>
  <r>
    <d v="2025-07-18T00:00:00"/>
    <s v="Malaga"/>
    <s v="COMPRADA"/>
    <n v="66.989999999999995"/>
    <n v="0.6"/>
    <n v="53.652336981655615"/>
    <x v="0"/>
  </r>
  <r>
    <d v="2025-07-26T00:00:00"/>
    <s v="Malaga"/>
    <s v="COMPRADA"/>
    <n v="405.39"/>
    <n v="0.6"/>
    <n v="53.246617766911164"/>
    <x v="0"/>
  </r>
  <r>
    <d v="2025-11-11T00:00:00"/>
    <s v="Carbopar"/>
    <s v="COMPRADA"/>
    <n v="448.12"/>
    <n v="0.6"/>
    <n v="54.7"/>
    <x v="0"/>
  </r>
  <r>
    <d v="2026-01-13T00:00:00"/>
    <s v="Malaga"/>
    <s v="COMPRADA"/>
    <n v="76.56"/>
    <n v="0.6"/>
    <n v="53.9"/>
    <x v="0"/>
  </r>
  <r>
    <d v="2025-05-16T00:00:00"/>
    <s v="Carbopar"/>
    <s v="COMPRADA"/>
    <n v="217.84"/>
    <n v="0.60455000000000003"/>
    <n v="53.911916230629906"/>
    <x v="0"/>
  </r>
  <r>
    <d v="2025-06-11T00:00:00"/>
    <s v="Lisandro Rojas"/>
    <s v="COMPRADA"/>
    <n v="24.39"/>
    <n v="0.61"/>
    <n v="53.96837952679865"/>
    <x v="0"/>
  </r>
  <r>
    <d v="2025-07-02T00:00:00"/>
    <s v="Carbopar"/>
    <s v="COMPRADA"/>
    <n v="135.74"/>
    <n v="0.61257500000000009"/>
    <n v="53.503010494752623"/>
    <x v="0"/>
  </r>
  <r>
    <d v="2026-01-08T00:00:00"/>
    <s v="Carbopar"/>
    <s v="COMPRADA"/>
    <n v="413"/>
    <n v="0.62"/>
    <n v="53.4"/>
    <x v="0"/>
  </r>
  <r>
    <d v="2026-02-04T00:00:00"/>
    <s v="Carbopar"/>
    <s v="COMPRADA"/>
    <n v="535.4"/>
    <n v="0.62"/>
    <n v="53.9"/>
    <x v="0"/>
  </r>
  <r>
    <d v="2025-01-28T00:00:00"/>
    <s v="Malaga"/>
    <s v="COMPRADA"/>
    <n v="204.96"/>
    <n v="0.62060000000000004"/>
    <n v="53.839142438160785"/>
    <x v="0"/>
  </r>
  <r>
    <d v="2025-03-10T00:00:00"/>
    <s v="Carbopar"/>
    <s v="COMPRADA"/>
    <n v="304.92"/>
    <n v="0.62327500000000002"/>
    <n v="54.1185296482412"/>
    <x v="0"/>
  </r>
  <r>
    <d v="2025-03-29T00:00:00"/>
    <s v="Calizas &amp; Granitos"/>
    <s v="COMPRADA"/>
    <n v="170.94"/>
    <n v="0.62327500000000002"/>
    <n v="51.373637551512708"/>
    <x v="0"/>
  </r>
  <r>
    <d v="2025-07-02T00:00:00"/>
    <s v="Malaga"/>
    <s v="COMPRADA"/>
    <n v="138.88"/>
    <n v="0.62595000000000001"/>
    <n v="53.830027623863757"/>
    <x v="0"/>
  </r>
  <r>
    <d v="2025-08-13T00:00:00"/>
    <s v="Carbopar"/>
    <s v="COMPRADA"/>
    <n v="197.65"/>
    <n v="0.63"/>
    <n v="54.422924488944517"/>
    <x v="0"/>
  </r>
  <r>
    <d v="2025-10-16T00:00:00"/>
    <s v="Carbopar"/>
    <s v="COMPRADA"/>
    <n v="233.13"/>
    <n v="0.63"/>
    <n v="53.55"/>
    <x v="0"/>
  </r>
  <r>
    <d v="2025-12-06T00:00:00"/>
    <s v="Malaga"/>
    <s v="COMPRADA"/>
    <n v="69.38"/>
    <n v="0.63"/>
    <n v="54.9"/>
    <x v="0"/>
  </r>
  <r>
    <d v="2025-05-08T00:00:00"/>
    <s v="Malaga"/>
    <s v="COMPRADA"/>
    <n v="98.5"/>
    <n v="0.64200000000000002"/>
    <n v="53.760672377321946"/>
    <x v="0"/>
  </r>
  <r>
    <d v="2025-07-09T00:00:00"/>
    <s v="Carbopar"/>
    <s v="COMPRADA"/>
    <n v="293.41000000000003"/>
    <n v="0.65"/>
    <n v="54.113757424947828"/>
    <x v="0"/>
  </r>
  <r>
    <d v="2025-11-22T00:00:00"/>
    <s v="Carbopar"/>
    <s v="COMPRADA"/>
    <n v="226"/>
    <n v="0.65"/>
    <n v="54.218294620110889"/>
    <x v="0"/>
  </r>
  <r>
    <d v="2026-01-26T00:00:00"/>
    <s v="Carbopar"/>
    <s v="COMPRADA"/>
    <n v="254.86"/>
    <n v="0.65"/>
    <n v="54.1"/>
    <x v="0"/>
  </r>
  <r>
    <d v="2025-03-10T00:00:00"/>
    <s v="Malaga"/>
    <s v="COMPRADA"/>
    <n v="34.31"/>
    <n v="0.65537500000000004"/>
    <n v="54.40226174920128"/>
    <x v="0"/>
  </r>
  <r>
    <d v="2025-03-27T00:00:00"/>
    <s v="Malaga"/>
    <s v="COMPRADA"/>
    <n v="127.35"/>
    <n v="0.65537500000000004"/>
    <n v="53.576802359437757"/>
    <x v="0"/>
  </r>
  <r>
    <d v="2025-01-22T00:00:00"/>
    <s v="Malaga"/>
    <s v="COMPRADA"/>
    <n v="137.03"/>
    <n v="0.66875000000000007"/>
    <n v="54.694103403130917"/>
    <x v="0"/>
  </r>
  <r>
    <d v="2025-09-06T00:00:00"/>
    <s v="Malaga"/>
    <s v="COMPRADA"/>
    <n v="105.01"/>
    <n v="0.67"/>
    <n v="53.024447421299399"/>
    <x v="0"/>
  </r>
  <r>
    <d v="2025-01-20T00:00:00"/>
    <s v="Carbopar"/>
    <s v="COMPRADA"/>
    <n v="238.56"/>
    <n v="0.67410000000000003"/>
    <n v="53.769369386994128"/>
    <x v="0"/>
  </r>
  <r>
    <d v="2025-09-01T00:00:00"/>
    <s v="Carbopar"/>
    <s v="COMPRADA"/>
    <n v="32.85"/>
    <n v="0.68"/>
    <n v="53.900250584697623"/>
    <x v="0"/>
  </r>
  <r>
    <d v="2026-02-10T00:00:00"/>
    <s v="Carbopar"/>
    <s v="COMPRADA"/>
    <n v="420.04"/>
    <n v="0.68"/>
    <n v="54"/>
    <x v="0"/>
  </r>
  <r>
    <d v="2025-05-22T00:00:00"/>
    <s v="Malaga"/>
    <s v="COMPRADA"/>
    <n v="40.64"/>
    <n v="0.68212499999999998"/>
    <n v="54.119485154706062"/>
    <x v="0"/>
  </r>
  <r>
    <d v="2025-04-15T00:00:00"/>
    <s v="Carbopar"/>
    <s v="COMPRADA"/>
    <n v="329.44"/>
    <n v="0.68480000000000008"/>
    <n v="53.881596208780294"/>
    <x v="0"/>
  </r>
  <r>
    <d v="2025-06-17T00:00:00"/>
    <s v="Carbopar"/>
    <s v="COMPRADA"/>
    <n v="255.4"/>
    <n v="0.69"/>
    <n v="53.004157446036636"/>
    <x v="0"/>
  </r>
  <r>
    <d v="2025-09-26T00:00:00"/>
    <s v="Carbopar"/>
    <s v="COMPRADA"/>
    <n v="454.67"/>
    <n v="0.69"/>
    <n v="52.94983896940419"/>
    <x v="0"/>
  </r>
  <r>
    <d v="2026-02-03T00:00:00"/>
    <s v="Carbopar"/>
    <s v="COMPRADA"/>
    <n v="454.21"/>
    <n v="0.69"/>
    <n v="53.8"/>
    <x v="0"/>
  </r>
  <r>
    <d v="2025-04-25T00:00:00"/>
    <s v="Carbopar"/>
    <s v="COMPRADA"/>
    <n v="439.68"/>
    <n v="0.69015000000000004"/>
    <n v="53.54810229853571"/>
    <x v="0"/>
  </r>
  <r>
    <d v="2025-01-10T00:00:00"/>
    <s v="Carbopar"/>
    <s v="COMPRADA"/>
    <n v="335.36"/>
    <n v="0.69817499999999999"/>
    <n v="54.131824304533701"/>
    <x v="0"/>
  </r>
  <r>
    <d v="2025-07-22T00:00:00"/>
    <s v="Malaga"/>
    <s v="COMPRADA"/>
    <n v="65.599999999999994"/>
    <n v="0.7"/>
    <n v="53.638463842889237"/>
    <x v="0"/>
  </r>
  <r>
    <d v="2025-10-02T00:00:00"/>
    <s v="Malaga"/>
    <s v="COMPRADA"/>
    <n v="145.44"/>
    <n v="0.7"/>
    <n v="54.65727908455181"/>
    <x v="0"/>
  </r>
  <r>
    <d v="2025-10-04T00:00:00"/>
    <s v="Malaga"/>
    <s v="COMPRADA"/>
    <n v="102.37"/>
    <n v="0.7"/>
    <n v="54.65727908455181"/>
    <x v="0"/>
  </r>
  <r>
    <d v="2025-12-01T00:00:00"/>
    <s v="Carbopar"/>
    <s v="COMPRADA"/>
    <n v="402.66"/>
    <n v="0.7"/>
    <n v="53.8"/>
    <x v="0"/>
  </r>
  <r>
    <d v="2026-02-05T00:00:00"/>
    <s v="Gustavo Quesada"/>
    <s v="COMPRADA"/>
    <n v="91.5"/>
    <n v="0.7"/>
    <n v="54"/>
    <x v="0"/>
  </r>
  <r>
    <d v="2025-07-05T00:00:00"/>
    <s v="Malaga"/>
    <s v="COMPRADA"/>
    <n v="33.5"/>
    <n v="0.70085000000000008"/>
    <n v="54.129320779758913"/>
    <x v="0"/>
  </r>
  <r>
    <d v="2025-05-07T00:00:00"/>
    <s v="Carbopar"/>
    <s v="COMPRADA"/>
    <n v="264.04000000000002"/>
    <n v="0.70887500000000003"/>
    <n v="54.47185123541729"/>
    <x v="0"/>
  </r>
  <r>
    <d v="2025-04-15T00:00:00"/>
    <s v="Malaga"/>
    <s v="COMPRADA"/>
    <n v="32.19"/>
    <n v="0.71155000000000013"/>
    <n v="53.41834378243513"/>
    <x v="0"/>
  </r>
  <r>
    <d v="2025-06-26T00:00:00"/>
    <s v="Carbopar"/>
    <s v="COMPRADA"/>
    <n v="458.83"/>
    <n v="0.72"/>
    <n v="54.274572047670631"/>
    <x v="0"/>
  </r>
  <r>
    <d v="2025-07-25T00:00:00"/>
    <s v="Malaga"/>
    <s v="COMPRADA"/>
    <n v="72.260000000000005"/>
    <n v="0.72"/>
    <n v="53.320394545315253"/>
    <x v="0"/>
  </r>
  <r>
    <d v="2025-08-12T00:00:00"/>
    <s v="Gustavo Quesada"/>
    <s v="COMPRADA"/>
    <n v="230.42"/>
    <n v="0.72"/>
    <n v="54.436666666666667"/>
    <x v="0"/>
  </r>
  <r>
    <d v="2025-09-02T00:00:00"/>
    <s v="Malaga"/>
    <s v="COMPRADA"/>
    <n v="103.15"/>
    <n v="0.72"/>
    <n v="54.125197848636184"/>
    <x v="0"/>
  </r>
  <r>
    <d v="2025-10-02T00:00:00"/>
    <s v="Carbopar"/>
    <s v="COMPRADA"/>
    <n v="202"/>
    <n v="0.72"/>
    <n v="54"/>
    <x v="0"/>
  </r>
  <r>
    <d v="2025-11-18T00:00:00"/>
    <s v="Carbopar"/>
    <s v="COMPRADA"/>
    <n v="169.67"/>
    <n v="0.72"/>
    <n v="53.9"/>
    <x v="0"/>
  </r>
  <r>
    <d v="2025-03-21T00:00:00"/>
    <s v="Malaga"/>
    <s v="COMPRADA"/>
    <n v="32.590000000000003"/>
    <n v="0.72760000000000014"/>
    <n v="53.800710068256826"/>
    <x v="0"/>
  </r>
  <r>
    <d v="2025-04-01T00:00:00"/>
    <s v="Carbopar"/>
    <s v="COMPRADA"/>
    <n v="430.88"/>
    <n v="0.72760000000000014"/>
    <n v="53.301382532927555"/>
    <x v="0"/>
  </r>
  <r>
    <d v="2025-06-24T00:00:00"/>
    <s v="Gustavo Quesada"/>
    <s v="COMPRADA"/>
    <n v="22.08"/>
    <n v="0.73"/>
    <n v="54.064967046135415"/>
    <x v="0"/>
  </r>
  <r>
    <d v="2025-10-15T00:00:00"/>
    <s v="Carbopar"/>
    <s v="COMPRADA"/>
    <n v="433.54"/>
    <n v="0.73"/>
    <n v="53.461155388069265"/>
    <x v="0"/>
  </r>
  <r>
    <d v="2025-11-07T00:00:00"/>
    <s v="Gustavo Quesada"/>
    <s v="COMPRADA"/>
    <n v="95.28"/>
    <n v="0.73"/>
    <n v="53.779450045829513"/>
    <x v="0"/>
  </r>
  <r>
    <d v="2025-06-19T00:00:00"/>
    <s v="Caliza Propia"/>
    <s v="PROPIA"/>
    <n v="333.27"/>
    <n v="0.74"/>
    <n v="53.055641537693461"/>
    <x v="0"/>
  </r>
  <r>
    <d v="2025-05-23T00:00:00"/>
    <s v="Malaga"/>
    <s v="COMPRADA"/>
    <n v="106.89"/>
    <n v="0.74097500000000005"/>
    <n v="54.503827783489719"/>
    <x v="0"/>
  </r>
  <r>
    <d v="2025-04-24T00:00:00"/>
    <s v="Malaga"/>
    <s v="COMPRADA"/>
    <n v="132.75"/>
    <n v="0.74365000000000003"/>
    <n v="52.208983182730933"/>
    <x v="0"/>
  </r>
  <r>
    <d v="2025-10-10T00:00:00"/>
    <s v="Carbopar"/>
    <s v="COMPRADA"/>
    <n v="397.67"/>
    <n v="0.75"/>
    <n v="52.3"/>
    <x v="0"/>
  </r>
  <r>
    <d v="2025-05-15T00:00:00"/>
    <s v="Carbopar"/>
    <s v="COMPRADA"/>
    <n v="264.04000000000002"/>
    <n v="0.76505000000000001"/>
    <n v="53.120485732215499"/>
    <x v="0"/>
  </r>
  <r>
    <d v="2025-02-05T00:00:00"/>
    <s v="Carbopar"/>
    <s v="COMPRADA"/>
    <n v="403.26"/>
    <n v="0.7677250000000001"/>
    <n v="52.805100498802872"/>
    <x v="0"/>
  </r>
  <r>
    <d v="2025-08-30T00:00:00"/>
    <s v="Gustavo Quesada"/>
    <s v="COMPRADA"/>
    <n v="113.14"/>
    <n v="0.77"/>
    <n v="54.754362724613451"/>
    <x v="0"/>
  </r>
  <r>
    <d v="2026-01-23T00:00:00"/>
    <s v="Carbopar"/>
    <s v="COMPRADA"/>
    <n v="440.39"/>
    <n v="0.77"/>
    <n v="52"/>
    <x v="0"/>
  </r>
  <r>
    <d v="2025-04-30T00:00:00"/>
    <s v="Carbopar"/>
    <s v="COMPRADA"/>
    <n v="612"/>
    <n v="0.77842500000000003"/>
    <n v="52.956198025725392"/>
    <x v="0"/>
  </r>
  <r>
    <d v="2025-06-11T00:00:00"/>
    <s v="Carbopar"/>
    <s v="COMPRADA"/>
    <n v="575.25"/>
    <n v="0.78"/>
    <n v="53.698975356679632"/>
    <x v="0"/>
  </r>
  <r>
    <d v="2025-06-17T00:00:00"/>
    <s v="Malaga"/>
    <s v="COMPRADA"/>
    <n v="96.4"/>
    <n v="0.78"/>
    <n v="53.907718658243617"/>
    <x v="0"/>
  </r>
  <r>
    <d v="2025-11-12T00:00:00"/>
    <s v="Carbopar"/>
    <s v="COMPRADA"/>
    <n v="421.31"/>
    <n v="0.78"/>
    <n v="53.7"/>
    <x v="0"/>
  </r>
  <r>
    <d v="2026-01-28T00:00:00"/>
    <s v="Carbopar"/>
    <s v="COMPRADA"/>
    <n v="991.57"/>
    <n v="0.78"/>
    <n v="53.4"/>
    <x v="0"/>
  </r>
  <r>
    <d v="2025-02-27T00:00:00"/>
    <s v="Carbopar"/>
    <s v="COMPRADA"/>
    <n v="375.94"/>
    <n v="0.79180000000000006"/>
    <n v="51.025267057278633"/>
    <x v="0"/>
  </r>
  <r>
    <d v="2025-01-13T00:00:00"/>
    <s v="Carbopar"/>
    <s v="COMPRADA"/>
    <n v="268.16000000000003"/>
    <n v="0.79447500000000015"/>
    <n v="52.694549299278485"/>
    <x v="0"/>
  </r>
  <r>
    <d v="2025-11-05T00:00:00"/>
    <s v="Carbopar"/>
    <s v="COMPRADA"/>
    <n v="1120.46"/>
    <n v="0.8"/>
    <n v="53"/>
    <x v="0"/>
  </r>
  <r>
    <d v="2025-04-14T00:00:00"/>
    <s v="Lisandro Rojas"/>
    <s v="COMPRADA"/>
    <n v="99.24"/>
    <n v="0.80517499999999997"/>
    <n v="54.041231030476766"/>
    <x v="0"/>
  </r>
  <r>
    <d v="2025-02-10T00:00:00"/>
    <s v="Carbopar"/>
    <s v="COMPRADA"/>
    <n v="141.78"/>
    <n v="0.80785000000000007"/>
    <n v="52.304092683996792"/>
    <x v="0"/>
  </r>
  <r>
    <d v="2026-01-29T00:00:00"/>
    <s v="Carbopar"/>
    <s v="COMPRADA"/>
    <n v="336.43"/>
    <n v="0.81"/>
    <n v="52.2"/>
    <x v="0"/>
  </r>
  <r>
    <d v="2026-01-19T00:00:00"/>
    <s v="Afloramiento 1 Sur"/>
    <s v="PROPIA"/>
    <n v="392.14"/>
    <n v="0.82"/>
    <n v="52.8"/>
    <x v="0"/>
  </r>
  <r>
    <d v="2025-03-05T00:00:00"/>
    <s v="Carbopar"/>
    <s v="COMPRADA"/>
    <n v="375.32"/>
    <n v="0.82390000000000008"/>
    <n v="52.78926398077693"/>
    <x v="0"/>
  </r>
  <r>
    <d v="2025-03-15T00:00:00"/>
    <s v="Carbopar"/>
    <s v="COMPRADA"/>
    <n v="315.33999999999997"/>
    <n v="0.82390000000000008"/>
    <n v="54.372969125902166"/>
    <x v="0"/>
  </r>
  <r>
    <d v="2025-07-03T00:00:00"/>
    <s v="Malaga"/>
    <s v="COMPRADA"/>
    <n v="153.88"/>
    <n v="0.83727499999999999"/>
    <n v="53.698272958503338"/>
    <x v="0"/>
  </r>
  <r>
    <d v="2025-05-26T00:00:00"/>
    <s v="Carbopar"/>
    <s v="COMPRADA"/>
    <n v="526.34"/>
    <n v="0.84262500000000007"/>
    <n v="53.99024057738572"/>
    <x v="0"/>
  </r>
  <r>
    <d v="2025-04-11T00:00:00"/>
    <s v="Carbopar"/>
    <s v="COMPRADA"/>
    <n v="309.72000000000003"/>
    <n v="0.85600000000000009"/>
    <n v="53.751565199919632"/>
    <x v="0"/>
  </r>
  <r>
    <d v="2025-01-21T00:00:00"/>
    <s v="Carbopar"/>
    <s v="COMPRADA"/>
    <n v="238.56"/>
    <n v="0.85867500000000008"/>
    <n v="53.179898211297072"/>
    <x v="0"/>
  </r>
  <r>
    <d v="2025-12-12T00:00:00"/>
    <s v="Malaga"/>
    <s v="COMPRADA"/>
    <n v="101.96"/>
    <n v="0.86"/>
    <n v="54"/>
    <x v="0"/>
  </r>
  <r>
    <d v="2025-03-21T00:00:00"/>
    <s v="Carbopar"/>
    <s v="COMPRADA"/>
    <n v="347.98"/>
    <n v="0.86402500000000004"/>
    <n v="52.007483291583164"/>
    <x v="0"/>
  </r>
  <r>
    <d v="2025-02-07T00:00:00"/>
    <s v="Malaga"/>
    <s v="COMPRADA"/>
    <n v="70.989999999999995"/>
    <n v="0.86670000000000014"/>
    <n v="54.478677681329081"/>
    <x v="0"/>
  </r>
  <r>
    <d v="2025-06-25T00:00:00"/>
    <s v="Gustavo Quesada"/>
    <s v="COMPRADA"/>
    <n v="43.5"/>
    <n v="0.87"/>
    <n v="54.766169344767299"/>
    <x v="0"/>
  </r>
  <r>
    <d v="2025-06-06T00:00:00"/>
    <s v="Malaga"/>
    <s v="COMPRADA"/>
    <n v="106.83"/>
    <n v="0.88"/>
    <n v="54.360346205059919"/>
    <x v="0"/>
  </r>
  <r>
    <d v="2025-06-14T00:00:00"/>
    <s v="Carbopar"/>
    <s v="COMPRADA"/>
    <n v="376.29"/>
    <n v="0.88"/>
    <n v="53.440532889258954"/>
    <x v="0"/>
  </r>
  <r>
    <d v="2025-06-14T00:00:00"/>
    <s v="Carbopar"/>
    <s v="COMPRADA"/>
    <n v="376.29"/>
    <n v="0.88"/>
    <n v="53.440532889258954"/>
    <x v="0"/>
  </r>
  <r>
    <d v="2025-05-23T00:00:00"/>
    <s v="Carbopar"/>
    <s v="COMPRADA"/>
    <n v="589.66"/>
    <n v="0.88542500000000002"/>
    <n v="52.950541975556"/>
    <x v="0"/>
  </r>
  <r>
    <d v="2025-09-15T00:00:00"/>
    <s v="Carbopar"/>
    <s v="COMPRADA"/>
    <n v="79.010000000000005"/>
    <n v="0.89"/>
    <n v="53.209930168758831"/>
    <x v="0"/>
  </r>
  <r>
    <d v="2025-12-10T00:00:00"/>
    <s v="Malaga"/>
    <s v="COMPRADA"/>
    <n v="70.78"/>
    <n v="0.89"/>
    <n v="54.7"/>
    <x v="0"/>
  </r>
  <r>
    <d v="2025-12-11T00:00:00"/>
    <s v="Malaga"/>
    <s v="COMPRADA"/>
    <n v="32.799999999999997"/>
    <n v="0.89"/>
    <n v="54.7"/>
    <x v="0"/>
  </r>
  <r>
    <d v="2025-04-01T00:00:00"/>
    <s v="Malaga"/>
    <s v="COMPRADA"/>
    <n v="36.56"/>
    <n v="0.89077500000000009"/>
    <n v="53.510555255214051"/>
    <x v="0"/>
  </r>
  <r>
    <d v="2025-01-30T00:00:00"/>
    <s v="Malaga"/>
    <s v="COMPRADA"/>
    <n v="207.27"/>
    <n v="0.89344999999999997"/>
    <n v="53.837209263147372"/>
    <x v="0"/>
  </r>
  <r>
    <d v="2025-03-27T00:00:00"/>
    <s v="Carbopar"/>
    <s v="COMPRADA"/>
    <n v="433.44"/>
    <n v="0.89344999999999997"/>
    <n v="52.400790977443606"/>
    <x v="0"/>
  </r>
  <r>
    <d v="2025-11-13T00:00:00"/>
    <s v="Gustavo Quesada"/>
    <s v="COMPRADA"/>
    <n v="48.72"/>
    <n v="0.9"/>
    <n v="54.3"/>
    <x v="0"/>
  </r>
  <r>
    <d v="2026-01-07T00:00:00"/>
    <s v="Volador"/>
    <s v="NA"/>
    <n v="446.12"/>
    <n v="0.9"/>
    <n v="51.4"/>
    <x v="0"/>
  </r>
  <r>
    <d v="2025-04-08T00:00:00"/>
    <s v="Carbopar"/>
    <s v="COMPRADA"/>
    <n v="313.26"/>
    <n v="0.90147500000000003"/>
    <n v="53.892999799879917"/>
    <x v="0"/>
  </r>
  <r>
    <d v="2026-01-15T00:00:00"/>
    <s v="Carbopar"/>
    <s v="COMPRADA"/>
    <n v="236.77"/>
    <n v="0.90147500000000003"/>
    <n v="53.585026357607973"/>
    <x v="0"/>
  </r>
  <r>
    <d v="2025-05-30T00:00:00"/>
    <s v="Carbopar"/>
    <s v="COMPRADA"/>
    <n v="461.9"/>
    <n v="0.91"/>
    <n v="53.031076718255946"/>
    <x v="0"/>
  </r>
  <r>
    <d v="2025-04-03T00:00:00"/>
    <s v="Carbopar"/>
    <s v="COMPRADA"/>
    <n v="272.7"/>
    <n v="0.91485000000000005"/>
    <n v="53.139824998741823"/>
    <x v="0"/>
  </r>
  <r>
    <d v="2025-04-21T00:00:00"/>
    <s v="Carbopar"/>
    <s v="COMPRADA"/>
    <n v="198.26"/>
    <n v="0.91485000000000005"/>
    <n v="53.418905818474492"/>
    <x v="0"/>
  </r>
  <r>
    <d v="2025-01-18T00:00:00"/>
    <s v="Malaga"/>
    <s v="COMPRADA"/>
    <n v="108.22"/>
    <n v="0.91752500000000015"/>
    <n v="54.260870846971365"/>
    <x v="0"/>
  </r>
  <r>
    <d v="2025-04-26T00:00:00"/>
    <s v="Malaga"/>
    <s v="COMPRADA"/>
    <n v="32.21"/>
    <n v="0.91752500000000015"/>
    <n v="53.553461576576581"/>
    <x v="0"/>
  </r>
  <r>
    <d v="2025-10-30T00:00:00"/>
    <s v="Malsitio"/>
    <s v="PROPIA"/>
    <n v="170.32"/>
    <n v="0.92"/>
    <n v="54.5"/>
    <x v="0"/>
  </r>
  <r>
    <d v="2025-01-30T00:00:00"/>
    <s v="Carbopar"/>
    <s v="COMPRADA"/>
    <n v="384"/>
    <n v="0.92020000000000002"/>
    <n v="53.222832305538887"/>
    <x v="0"/>
  </r>
  <r>
    <d v="2025-01-18T00:00:00"/>
    <s v="Carbopar"/>
    <s v="COMPRADA"/>
    <n v="163.68"/>
    <n v="0.92287500000000011"/>
    <n v="54.329460115731258"/>
    <x v="0"/>
  </r>
  <r>
    <d v="2025-12-24T00:00:00"/>
    <s v="Carbopar"/>
    <s v="COMPRADA"/>
    <n v="303.94"/>
    <n v="0.93"/>
    <n v="53.3"/>
    <x v="0"/>
  </r>
  <r>
    <d v="2025-12-25T00:00:00"/>
    <s v="Carbopar"/>
    <s v="COMPRADA"/>
    <n v="65.599999999999994"/>
    <n v="0.93"/>
    <n v="53.3"/>
    <x v="0"/>
  </r>
  <r>
    <d v="2025-03-28T00:00:00"/>
    <s v="Malaga"/>
    <s v="COMPRADA"/>
    <n v="129.58000000000001"/>
    <n v="0.93625000000000003"/>
    <n v="52.134552103475833"/>
    <x v="0"/>
  </r>
  <r>
    <d v="2025-12-05T00:00:00"/>
    <s v="Malaga"/>
    <s v="COMPRADA"/>
    <n v="35.83"/>
    <n v="0.94"/>
    <n v="53.8"/>
    <x v="0"/>
  </r>
  <r>
    <d v="2026-01-15T00:00:00"/>
    <s v="Afloramiento 1 Sur"/>
    <s v="PROPIA"/>
    <n v="250"/>
    <n v="0.94"/>
    <n v="54"/>
    <x v="0"/>
  </r>
  <r>
    <d v="2026-02-11T00:00:00"/>
    <s v="Carbopar"/>
    <s v="COMPRADA"/>
    <n v="492.84"/>
    <n v="0.94"/>
    <n v="52.6"/>
    <x v="0"/>
  </r>
  <r>
    <d v="2025-05-08T00:00:00"/>
    <s v="Carbopar"/>
    <s v="COMPRADA"/>
    <n v="217.84"/>
    <n v="0.9416000000000001"/>
    <n v="53.895272709143484"/>
    <x v="0"/>
  </r>
  <r>
    <d v="2025-08-26T00:00:00"/>
    <s v="Leonidas Rodriguez"/>
    <s v="COMPRADA"/>
    <n v="100.97"/>
    <n v="0.96"/>
    <n v="53.901843856276805"/>
    <x v="0"/>
  </r>
  <r>
    <d v="2026-01-26T00:00:00"/>
    <s v="Malaga"/>
    <s v="COMPRADA"/>
    <n v="31.35"/>
    <n v="0.96"/>
    <n v="54.3"/>
    <x v="0"/>
  </r>
  <r>
    <d v="2025-05-10T00:00:00"/>
    <s v="Carbopar"/>
    <s v="COMPRADA"/>
    <n v="187.64"/>
    <n v="0.96032499999999998"/>
    <n v="53.056382302460491"/>
    <x v="0"/>
  </r>
  <r>
    <d v="2025-05-14T00:00:00"/>
    <s v="Carbopar"/>
    <s v="COMPRADA"/>
    <n v="365.51"/>
    <n v="0.96300000000000008"/>
    <n v="53.521842999001997"/>
    <x v="0"/>
  </r>
  <r>
    <d v="2025-04-28T00:00:00"/>
    <s v="Malaga"/>
    <s v="COMPRADA"/>
    <n v="133.81"/>
    <n v="0.96835000000000004"/>
    <n v="53.631246756777188"/>
    <x v="0"/>
  </r>
  <r>
    <d v="2025-08-12T00:00:00"/>
    <s v="Carbopar"/>
    <s v="COMPRADA"/>
    <n v="313.49"/>
    <n v="0.97"/>
    <n v="52.145416145963509"/>
    <x v="0"/>
  </r>
  <r>
    <d v="2025-10-18T00:00:00"/>
    <s v="Carbopar"/>
    <s v="COMPRADA"/>
    <n v="79.39"/>
    <n v="0.97499999999999998"/>
    <n v="53.3"/>
    <x v="0"/>
  </r>
  <r>
    <d v="2025-07-03T00:00:00"/>
    <s v="Carbopar"/>
    <s v="COMPRADA"/>
    <n v="686.89"/>
    <n v="0.97637499999999999"/>
    <n v="52.014806023735908"/>
    <x v="0"/>
  </r>
  <r>
    <d v="2025-08-02T00:00:00"/>
    <s v="Carbopar"/>
    <s v="COMPRADA"/>
    <n v="135.18"/>
    <n v="0.98"/>
    <n v="52.915027117229876"/>
    <x v="0"/>
  </r>
  <r>
    <d v="2025-10-20T00:00:00"/>
    <s v="Afloramiento 1"/>
    <s v="PROPIA"/>
    <n v="291.7"/>
    <n v="0.98"/>
    <n v="54.4"/>
    <x v="0"/>
  </r>
  <r>
    <d v="2025-10-24T00:00:00"/>
    <s v="Carbopar"/>
    <s v="COMPRADA"/>
    <n v="562.28"/>
    <n v="0.98"/>
    <n v="54.3"/>
    <x v="0"/>
  </r>
  <r>
    <d v="2025-12-19T00:00:00"/>
    <s v="Malaga"/>
    <s v="COMPRADA"/>
    <n v="107.18"/>
    <n v="0.98"/>
    <n v="54.7437971184453"/>
    <x v="0"/>
  </r>
  <r>
    <d v="2026-01-13T00:00:00"/>
    <s v="Carbopar"/>
    <s v="COMPRADA"/>
    <n v="341.58"/>
    <n v="0.98"/>
    <n v="53.6"/>
    <x v="0"/>
  </r>
  <r>
    <d v="2025-01-25T00:00:00"/>
    <s v="Carbopar"/>
    <s v="COMPRADA"/>
    <n v="577"/>
    <n v="0.98707500000000004"/>
    <n v="53.445766301260257"/>
    <x v="0"/>
  </r>
  <r>
    <d v="2025-04-22T00:00:00"/>
    <s v="Carbopar"/>
    <s v="COMPRADA"/>
    <n v="218.9"/>
    <n v="0.98707500000000004"/>
    <n v="53.430914541800639"/>
    <x v="0"/>
  </r>
  <r>
    <d v="2025-12-05T00:00:00"/>
    <s v="Gustavo Quesada"/>
    <s v="COMPRADA"/>
    <n v="42.68"/>
    <n v="1"/>
    <n v="54.1"/>
    <x v="0"/>
  </r>
  <r>
    <d v="2025-03-14T00:00:00"/>
    <s v="Malaga"/>
    <s v="COMPRADA"/>
    <n v="139.86000000000001"/>
    <n v="1.0004500000000001"/>
    <n v="53.232941947284026"/>
    <x v="0"/>
  </r>
  <r>
    <d v="2025-03-29T00:00:00"/>
    <s v="Carbopar"/>
    <s v="COMPRADA"/>
    <n v="0"/>
    <n v="1.008475"/>
    <n v="52.914989035087721"/>
    <x v="0"/>
  </r>
  <r>
    <d v="2025-05-24T00:00:00"/>
    <s v="Carbopar"/>
    <s v="COMPRADA"/>
    <n v="306.66000000000003"/>
    <n v="1.008475"/>
    <n v="53.869752338541147"/>
    <x v="0"/>
  </r>
  <r>
    <d v="2025-11-08T00:00:00"/>
    <s v="Malaga"/>
    <s v="COMPRADA"/>
    <n v="32.06"/>
    <n v="1.01"/>
    <n v="54.116678784128702"/>
    <x v="0"/>
  </r>
  <r>
    <d v="2025-07-05T00:00:00"/>
    <s v="Carbopar"/>
    <s v="COMPRADA"/>
    <n v="294.65999999999997"/>
    <n v="1.01115"/>
    <n v="53.012244714798562"/>
    <x v="0"/>
  </r>
  <r>
    <d v="2025-03-08T00:00:00"/>
    <s v="Carbopar"/>
    <s v="COMPRADA"/>
    <n v="316.08"/>
    <n v="1.013825"/>
    <n v="52.471303038565829"/>
    <x v="0"/>
  </r>
  <r>
    <d v="2025-04-03T00:00:00"/>
    <s v="Malaga"/>
    <s v="COMPRADA"/>
    <n v="136.05000000000001"/>
    <n v="1.0165"/>
    <n v="52.170275364038616"/>
    <x v="0"/>
  </r>
  <r>
    <d v="2025-01-17T00:00:00"/>
    <s v="Carbopar"/>
    <s v="COMPRADA"/>
    <n v="384.74"/>
    <n v="1.0245250000000001"/>
    <n v="52.869248490865772"/>
    <x v="0"/>
  </r>
  <r>
    <d v="2025-10-01T00:00:00"/>
    <s v="Lisandro Rojas"/>
    <s v="COMPRADA"/>
    <n v="98.38"/>
    <n v="1.03"/>
    <n v="53.053905364878375"/>
    <x v="0"/>
  </r>
  <r>
    <d v="2025-10-21T00:00:00"/>
    <s v="Afloramiento 1"/>
    <s v="PROPIA"/>
    <n v="436.72"/>
    <n v="1.03"/>
    <n v="54.1"/>
    <x v="0"/>
  </r>
  <r>
    <d v="2026-01-24T00:00:00"/>
    <s v="Volador"/>
    <s v="NA"/>
    <n v="412.24"/>
    <n v="1.04"/>
    <n v="53.9"/>
    <x v="0"/>
  </r>
  <r>
    <d v="2025-03-01T00:00:00"/>
    <s v="Carbopar"/>
    <s v="COMPRADA"/>
    <n v="0"/>
    <n v="1.040575"/>
    <n v="52.240906839384778"/>
    <x v="0"/>
  </r>
  <r>
    <d v="2025-03-01T00:00:00"/>
    <s v="Carbopar"/>
    <s v="COMPRADA"/>
    <n v="171.35333333333335"/>
    <n v="1.040575"/>
    <n v="52.240906839384778"/>
    <x v="0"/>
  </r>
  <r>
    <d v="2025-02-17T00:00:00"/>
    <s v="Carbopar"/>
    <s v="COMPRADA"/>
    <n v="104.7"/>
    <n v="1.04325"/>
    <n v="51.753285000000005"/>
    <x v="0"/>
  </r>
  <r>
    <d v="2025-03-12T00:00:00"/>
    <s v="Malaga"/>
    <s v="COMPRADA"/>
    <n v="35.1"/>
    <n v="1.045925"/>
    <n v="53.992918235294113"/>
    <x v="0"/>
  </r>
  <r>
    <d v="2025-11-04T00:00:00"/>
    <s v="Carbopar"/>
    <s v="COMPRADA"/>
    <n v="103.36"/>
    <n v="1.06"/>
    <n v="53.674339985573461"/>
    <x v="0"/>
  </r>
  <r>
    <d v="2025-12-20T00:00:00"/>
    <s v="Carbopar"/>
    <s v="COMPRADA"/>
    <n v="323.26"/>
    <n v="1.06"/>
    <n v="54.2"/>
    <x v="0"/>
  </r>
  <r>
    <d v="2025-12-21T00:00:00"/>
    <s v="Carbopar"/>
    <s v="COMPRADA"/>
    <n v="173.58"/>
    <n v="1.06"/>
    <n v="54.2"/>
    <x v="0"/>
  </r>
  <r>
    <d v="2025-01-13T00:00:00"/>
    <s v="Malaga"/>
    <s v="COMPRADA"/>
    <n v="136.03"/>
    <n v="1.0646500000000001"/>
    <n v="53.988205064377681"/>
    <x v="0"/>
  </r>
  <r>
    <d v="2025-09-19T00:00:00"/>
    <s v="Gustavo Quesada"/>
    <s v="COMPRADA"/>
    <n v="84.9"/>
    <n v="1.07"/>
    <n v="54.09865880619013"/>
    <x v="0"/>
  </r>
  <r>
    <d v="2025-06-19T00:00:00"/>
    <s v="Lisandro Rojas"/>
    <s v="COMPRADA"/>
    <n v="43.54"/>
    <n v="1.08"/>
    <n v="54.650418935902806"/>
    <x v="0"/>
  </r>
  <r>
    <d v="2025-01-21T00:00:00"/>
    <s v="Gustavo Quesada"/>
    <s v="COMPRADA"/>
    <n v="45"/>
    <n v="1.0807"/>
    <n v="53.737128211691719"/>
    <x v="0"/>
  </r>
  <r>
    <d v="2025-01-11T00:00:00"/>
    <s v="Carbopar"/>
    <s v="COMPRADA"/>
    <n v="342.56"/>
    <n v="1.0807"/>
    <n v="51.203112652908999"/>
    <x v="0"/>
  </r>
  <r>
    <d v="2025-03-18T00:00:00"/>
    <s v="Carbopar"/>
    <s v="COMPRADA"/>
    <n v="209.26"/>
    <n v="1.08605"/>
    <n v="53.122610132158592"/>
    <x v="0"/>
  </r>
  <r>
    <d v="2025-07-08T00:00:00"/>
    <s v="Malaga"/>
    <s v="COMPRADA"/>
    <n v="74.63"/>
    <n v="1.0900000000000001"/>
    <n v="53.832395145457788"/>
    <x v="0"/>
  </r>
  <r>
    <d v="2025-08-30T00:00:00"/>
    <s v="Caribbean"/>
    <s v="COMPRADA"/>
    <n v="290.02"/>
    <n v="1.0900000000000001"/>
    <n v="54.391513311148088"/>
    <x v="0"/>
  </r>
  <r>
    <d v="2026-01-16T00:00:00"/>
    <s v="Carbopar"/>
    <s v="COMPRADA"/>
    <n v="296.25"/>
    <n v="1.0900000000000001"/>
    <n v="52.6"/>
    <x v="0"/>
  </r>
  <r>
    <d v="2025-03-20T00:00:00"/>
    <s v="Carbopar"/>
    <s v="COMPRADA"/>
    <n v="316.06"/>
    <n v="1.0914000000000001"/>
    <n v="52.60522664089175"/>
    <x v="0"/>
  </r>
  <r>
    <d v="2025-09-13T00:00:00"/>
    <s v="Carbopar"/>
    <s v="COMPRADA"/>
    <n v="203.06"/>
    <n v="1.1000000000000001"/>
    <n v="53.352047375910267"/>
    <x v="0"/>
  </r>
  <r>
    <d v="2025-10-21T00:00:00"/>
    <s v="Gustavo Quesada"/>
    <s v="COMPRADA"/>
    <n v="69.02"/>
    <n v="1.1000000000000001"/>
    <n v="54.1"/>
    <x v="0"/>
  </r>
  <r>
    <d v="2025-11-15T00:00:00"/>
    <s v="Malsitio"/>
    <s v="PROPIA"/>
    <n v="206.22"/>
    <n v="1.1000000000000001"/>
    <n v="54"/>
    <x v="0"/>
  </r>
  <r>
    <d v="2025-12-10T00:00:00"/>
    <s v="Gustavo Quesada"/>
    <s v="COMPRADA"/>
    <n v="65.239999999999995"/>
    <n v="1.1000000000000001"/>
    <n v="54.2"/>
    <x v="0"/>
  </r>
  <r>
    <d v="2025-08-11T00:00:00"/>
    <s v="Gustavo Quesada"/>
    <s v="COMPRADA"/>
    <n v="88.4"/>
    <n v="1.1100000000000001"/>
    <n v="54.10233411137046"/>
    <x v="0"/>
  </r>
  <r>
    <d v="2025-11-18T00:00:00"/>
    <s v="Malsitio "/>
    <s v="NA"/>
    <n v="25.9"/>
    <n v="1.1100000000000001"/>
    <n v="54"/>
    <x v="0"/>
  </r>
  <r>
    <d v="2025-01-14T00:00:00"/>
    <s v="Gustavo Quesada"/>
    <s v="COMPRADA"/>
    <n v="45.38"/>
    <n v="1.1128"/>
    <n v="53.765728847777147"/>
    <x v="0"/>
  </r>
  <r>
    <d v="2025-09-29T00:00:00"/>
    <s v="Caliza Propia"/>
    <s v="PROPIA"/>
    <n v="1259.973"/>
    <n v="1.1200000000000001"/>
    <n v="54.180475237618801"/>
    <x v="0"/>
  </r>
  <r>
    <d v="2025-09-30T00:00:00"/>
    <s v="Caliza Propia"/>
    <s v="PROPIA"/>
    <n v="906.2"/>
    <n v="1.1200000000000001"/>
    <n v="54.2"/>
    <x v="0"/>
  </r>
  <r>
    <d v="2025-11-19T00:00:00"/>
    <s v="Afloramiento 1 Sur"/>
    <s v="PROPIA"/>
    <n v="125.18"/>
    <n v="1.1200000000000001"/>
    <n v="54.2"/>
    <x v="0"/>
  </r>
  <r>
    <d v="2025-11-20T00:00:00"/>
    <s v="Afloramiento 1 Sur"/>
    <s v="PROPIA"/>
    <n v="164.86"/>
    <n v="1.1299999999999999"/>
    <n v="53.7"/>
    <x v="0"/>
  </r>
  <r>
    <d v="2025-12-04T00:00:00"/>
    <s v="Carbopar"/>
    <s v="COMPRADA"/>
    <n v="392.68"/>
    <n v="1.1299999999999999"/>
    <n v="52.6"/>
    <x v="0"/>
  </r>
  <r>
    <d v="2025-12-05T00:00:00"/>
    <s v="Caribbean"/>
    <s v="COMPRADA"/>
    <n v="221.8"/>
    <n v="1.1299999999999999"/>
    <n v="53.9"/>
    <x v="0"/>
  </r>
  <r>
    <d v="2025-08-25T00:00:00"/>
    <s v="Lisandro Rojas"/>
    <s v="COMPRADA"/>
    <n v="70.41"/>
    <n v="1.1399999999999999"/>
    <n v="53.729415164909895"/>
    <x v="0"/>
  </r>
  <r>
    <d v="2025-08-25T00:00:00"/>
    <s v="Lisandro Rojas"/>
    <s v="COMPRADA"/>
    <n v="70.41"/>
    <n v="1.1399999999999999"/>
    <n v="53.729415164909895"/>
    <x v="0"/>
  </r>
  <r>
    <d v="2025-11-20T00:00:00"/>
    <s v="Afloramiento 1 "/>
    <s v="NA"/>
    <n v="219.06"/>
    <n v="1.1399999999999999"/>
    <n v="54.3"/>
    <x v="0"/>
  </r>
  <r>
    <d v="2025-01-15T00:00:00"/>
    <s v="Carbopar"/>
    <s v="COMPRADA"/>
    <n v="314.39999999999998"/>
    <n v="1.1449"/>
    <n v="52.810565278738757"/>
    <x v="0"/>
  </r>
  <r>
    <d v="2025-02-01T00:00:00"/>
    <s v="Malaga"/>
    <s v="COMPRADA"/>
    <n v="166.74"/>
    <n v="1.1449"/>
    <n v="53.909926903281956"/>
    <x v="0"/>
  </r>
  <r>
    <d v="2025-05-20T00:00:00"/>
    <s v="Malaga"/>
    <s v="COMPRADA"/>
    <n v="70.040000000000006"/>
    <n v="1.1449"/>
    <n v="54.300937635746607"/>
    <x v="0"/>
  </r>
  <r>
    <d v="2025-06-14T00:00:00"/>
    <s v="Lisandro Rojas"/>
    <s v="COMPRADA"/>
    <n v="0"/>
    <n v="1.1499999999999999"/>
    <n v="53.028276093710637"/>
    <x v="0"/>
  </r>
  <r>
    <d v="2025-10-23T00:00:00"/>
    <s v="Malaga"/>
    <s v="COMPRADA"/>
    <n v="70.239999999999995"/>
    <n v="1.1499999999999999"/>
    <n v="53.4"/>
    <x v="0"/>
  </r>
  <r>
    <d v="2025-08-01T00:00:00"/>
    <s v="Malaga"/>
    <s v="COMPRADA"/>
    <n v="37.340000000000003"/>
    <n v="1.15025"/>
    <n v="53.472972878323105"/>
    <x v="0"/>
  </r>
  <r>
    <d v="2025-04-07T00:00:00"/>
    <s v="Carbopar"/>
    <s v="COMPRADA"/>
    <n v="140.02000000000001"/>
    <n v="1.1582750000000002"/>
    <n v="51.674409316087356"/>
    <x v="0"/>
  </r>
  <r>
    <d v="2025-10-28T00:00:00"/>
    <s v="Afloramiento 1"/>
    <s v="PROPIA"/>
    <n v="567.66600000000005"/>
    <n v="1.1599999999999999"/>
    <n v="53.1"/>
    <x v="0"/>
  </r>
  <r>
    <d v="2025-11-28T00:00:00"/>
    <s v="Afloramiento 1 "/>
    <s v="NA"/>
    <n v="1014.14"/>
    <n v="1.17"/>
    <n v="54.1"/>
    <x v="0"/>
  </r>
  <r>
    <d v="2025-11-29T00:00:00"/>
    <s v="Afloramiento 1 "/>
    <s v="NA"/>
    <n v="255.83199999999999"/>
    <n v="1.17"/>
    <n v="54.1"/>
    <x v="0"/>
  </r>
  <r>
    <d v="2025-07-16T00:00:00"/>
    <s v="Carbopar"/>
    <s v="COMPRADA"/>
    <n v="236.08"/>
    <n v="1.18"/>
    <n v="52.619022630370615"/>
    <x v="0"/>
  </r>
  <r>
    <d v="2025-08-19T00:00:00"/>
    <s v="Gustavo Quesada"/>
    <s v="COMPRADA"/>
    <n v="69.64"/>
    <n v="1.18"/>
    <n v="53.81831218274111"/>
    <x v="0"/>
  </r>
  <r>
    <d v="2025-11-14T00:00:00"/>
    <s v="Malsitio"/>
    <s v="PROPIA"/>
    <n v="163.56"/>
    <n v="1.18"/>
    <n v="54.4"/>
    <x v="0"/>
  </r>
  <r>
    <d v="2025-01-09T00:00:00"/>
    <s v="Malaga"/>
    <s v="COMPRADA"/>
    <n v="138.26"/>
    <n v="1.18235"/>
    <n v="53.658707638999211"/>
    <x v="0"/>
  </r>
  <r>
    <d v="2025-03-20T00:00:00"/>
    <s v="Malaga"/>
    <s v="COMPRADA"/>
    <n v="30.84"/>
    <n v="1.185025"/>
    <n v="54.112520762393594"/>
    <x v="0"/>
  </r>
  <r>
    <d v="2025-11-06T00:00:00"/>
    <s v="Carbopar"/>
    <s v="COMPRADA"/>
    <n v="135.66999999999999"/>
    <n v="1.19"/>
    <n v="52.4"/>
    <x v="0"/>
  </r>
  <r>
    <d v="2025-03-03T00:00:00"/>
    <s v="Malaga"/>
    <s v="COMPRADA"/>
    <n v="63.09"/>
    <n v="1.1957249999999999"/>
    <n v="53.921298712166767"/>
    <x v="0"/>
  </r>
  <r>
    <d v="2025-06-03T00:00:00"/>
    <s v="Caribbean"/>
    <s v="COMPRADA"/>
    <n v="35.9"/>
    <n v="1.2"/>
    <n v="54.374465015428235"/>
    <x v="0"/>
  </r>
  <r>
    <d v="2025-09-23T00:00:00"/>
    <s v="Carbopar"/>
    <s v="COMPRADA"/>
    <n v="162.52000000000001"/>
    <n v="1.2"/>
    <n v="51.839671678428971"/>
    <x v="0"/>
  </r>
  <r>
    <d v="2025-10-18T00:00:00"/>
    <s v="Gustavo Quesada"/>
    <s v="COMPRADA"/>
    <n v="44.69"/>
    <n v="1.2"/>
    <n v="54.2"/>
    <x v="0"/>
  </r>
  <r>
    <d v="2025-11-14T00:00:00"/>
    <s v="Gustavo Quesada"/>
    <s v="COMPRADA"/>
    <n v="70.180000000000007"/>
    <n v="1.2"/>
    <n v="54.6"/>
    <x v="0"/>
  </r>
  <r>
    <d v="2025-05-06T00:00:00"/>
    <s v="Malaga"/>
    <s v="COMPRADA"/>
    <n v="116.53"/>
    <n v="1.2064250000000001"/>
    <n v="53.64552721439356"/>
    <x v="0"/>
  </r>
  <r>
    <d v="2025-02-28T00:00:00"/>
    <s v="Carbopar"/>
    <s v="COMPRADA"/>
    <n v="561.46"/>
    <n v="1.2091000000000001"/>
    <n v="51.102900340068011"/>
    <x v="0"/>
  </r>
  <r>
    <d v="2025-03-17T00:00:00"/>
    <s v="Carbopar"/>
    <s v="COMPRADA"/>
    <n v="210.2"/>
    <n v="1.211775"/>
    <n v="52.634813077557759"/>
    <x v="0"/>
  </r>
  <r>
    <d v="2025-04-23T00:00:00"/>
    <s v="Carbopar"/>
    <s v="COMPRADA"/>
    <n v="200.62"/>
    <n v="1.2251500000000002"/>
    <n v="53.435731145468203"/>
    <x v="0"/>
  </r>
  <r>
    <d v="2025-04-24T00:00:00"/>
    <s v="Lisandro Rojas"/>
    <s v="COMPRADA"/>
    <n v="25.15"/>
    <n v="1.2304999999999999"/>
    <n v="53.687001571157118"/>
    <x v="0"/>
  </r>
  <r>
    <d v="2025-08-26T00:00:00"/>
    <s v="Carbopar"/>
    <s v="COMPRADA"/>
    <n v="232.8"/>
    <n v="1.25"/>
    <n v="52.912129094412322"/>
    <x v="0"/>
  </r>
  <r>
    <d v="2025-10-31T00:00:00"/>
    <s v="Afloramiento 1"/>
    <s v="PROPIA"/>
    <n v="314.22000000000003"/>
    <n v="1.25"/>
    <n v="53.28"/>
    <x v="0"/>
  </r>
  <r>
    <d v="2025-09-18T00:00:00"/>
    <s v="Caliza Propia"/>
    <s v="PROPIA"/>
    <n v="327.88600000000002"/>
    <n v="1.26"/>
    <n v="54.2"/>
    <x v="0"/>
  </r>
  <r>
    <d v="2025-09-19T00:00:00"/>
    <s v="Caliza Propia"/>
    <s v="PROPIA"/>
    <n v="175.982"/>
    <n v="1.26"/>
    <n v="54.2"/>
    <x v="0"/>
  </r>
  <r>
    <d v="2025-12-22T00:00:00"/>
    <s v="Leonidas Rodriguez"/>
    <s v="COMPRADA"/>
    <n v="79.8"/>
    <n v="1.26"/>
    <n v="53.50766038675409"/>
    <x v="0"/>
  </r>
  <r>
    <d v="2025-05-05T00:00:00"/>
    <s v="Gustavo Quesada"/>
    <s v="COMPRADA"/>
    <n v="135.44"/>
    <n v="1.2652750000000001"/>
    <n v="54.336938655846751"/>
    <x v="0"/>
  </r>
  <r>
    <d v="2025-10-21T00:00:00"/>
    <s v="Carbopar"/>
    <s v="COMPRADA"/>
    <n v="396.68"/>
    <n v="1.27"/>
    <n v="51.7"/>
    <x v="0"/>
  </r>
  <r>
    <d v="2025-12-06T00:00:00"/>
    <s v="Afloramiento 1 Sur"/>
    <s v="PROPIA"/>
    <n v="600"/>
    <n v="1.28"/>
    <n v="54"/>
    <x v="0"/>
  </r>
  <r>
    <d v="2025-12-09T00:00:00"/>
    <s v="Afloramiento 1 Sur"/>
    <s v="PROPIA"/>
    <n v="724.72"/>
    <n v="1.28"/>
    <n v="54"/>
    <x v="0"/>
  </r>
  <r>
    <d v="2025-02-06T00:00:00"/>
    <s v="Caribbean"/>
    <s v="COMPRADA"/>
    <n v="536.69000000000005"/>
    <n v="1.2947"/>
    <n v="53.805380507695382"/>
    <x v="0"/>
  </r>
  <r>
    <d v="2025-02-06T00:00:00"/>
    <s v="Caribbean"/>
    <s v="COMPRADA"/>
    <n v="536.69000000000005"/>
    <n v="1.2947"/>
    <n v="53.805380507695382"/>
    <x v="0"/>
  </r>
  <r>
    <d v="2025-02-08T00:00:00"/>
    <s v="Carbopar"/>
    <s v="COMPRADA"/>
    <n v="265.94"/>
    <n v="1.2973749999999999"/>
    <n v="53.080095038015209"/>
    <x v="0"/>
  </r>
  <r>
    <d v="2025-11-08T00:00:00"/>
    <s v="Gustavo Quesada"/>
    <s v="COMPRADA"/>
    <n v="48.78"/>
    <n v="1.3"/>
    <n v="52.9"/>
    <x v="0"/>
  </r>
  <r>
    <d v="2025-11-12T00:00:00"/>
    <s v="Leonidas Rodriguez"/>
    <s v="COMPRADA"/>
    <n v="74.510000000000005"/>
    <n v="1.3"/>
    <n v="54"/>
    <x v="0"/>
  </r>
  <r>
    <d v="2025-12-11T00:00:00"/>
    <s v="Gustavo Quesada"/>
    <s v="COMPRADA"/>
    <n v="89.9"/>
    <n v="1.3"/>
    <n v="54.2"/>
    <x v="0"/>
  </r>
  <r>
    <d v="2026-02-10T00:00:00"/>
    <s v="Leonidas Rodriguez"/>
    <s v="COMPRADA"/>
    <n v="146.79"/>
    <n v="1.3"/>
    <n v="53.9"/>
    <x v="0"/>
  </r>
  <r>
    <d v="2026-02-12T00:00:00"/>
    <s v="Carbopar"/>
    <s v="COMPRADA"/>
    <n v="476.33"/>
    <n v="1.3"/>
    <n v="53.4"/>
    <x v="0"/>
  </r>
  <r>
    <d v="2025-02-22T00:00:00"/>
    <s v="Carbopar"/>
    <s v="COMPRADA"/>
    <n v="371.42"/>
    <n v="1.3000500000000001"/>
    <n v="53.308034960796142"/>
    <x v="0"/>
  </r>
  <r>
    <d v="2025-04-30T00:00:00"/>
    <s v="Gustavo Quesada"/>
    <s v="COMPRADA"/>
    <n v="64.459999999999994"/>
    <n v="1.3000500000000001"/>
    <n v="54.212069166165115"/>
    <x v="0"/>
  </r>
  <r>
    <d v="2025-05-14T00:00:00"/>
    <s v="Malaga"/>
    <s v="COMPRADA"/>
    <n v="102.87"/>
    <n v="1.3080750000000001"/>
    <n v="52.048095332136448"/>
    <x v="0"/>
  </r>
  <r>
    <d v="2025-05-08T00:00:00"/>
    <s v="Gustavo Quesada"/>
    <s v="COMPRADA"/>
    <n v="65.98"/>
    <n v="1.3161"/>
    <n v="53.700735504788504"/>
    <x v="0"/>
  </r>
  <r>
    <d v="2025-09-12T00:00:00"/>
    <s v="Carbopar"/>
    <s v="COMPRADA"/>
    <n v="252.09"/>
    <n v="1.32"/>
    <n v="53.002691795639876"/>
    <x v="0"/>
  </r>
  <r>
    <d v="2025-10-15T00:00:00"/>
    <s v="Afloramiento 1"/>
    <s v="PROPIA"/>
    <n v="340.56"/>
    <n v="1.32"/>
    <n v="54"/>
    <x v="0"/>
  </r>
  <r>
    <d v="2025-10-28T00:00:00"/>
    <s v="Malsitio"/>
    <s v="PROPIA"/>
    <n v="199.3"/>
    <n v="1.32"/>
    <n v="53.9"/>
    <x v="0"/>
  </r>
  <r>
    <d v="2025-02-11T00:00:00"/>
    <s v="Carbopar"/>
    <s v="COMPRADA"/>
    <n v="212.44"/>
    <n v="1.329475"/>
    <n v="52.890569989236013"/>
    <x v="0"/>
  </r>
  <r>
    <d v="2025-01-03T00:00:00"/>
    <s v="Caribbean"/>
    <s v="COMPRADA"/>
    <n v="132.44"/>
    <n v="1.33"/>
    <n v="53.530085517024951"/>
    <x v="0"/>
  </r>
  <r>
    <d v="2025-10-20T00:00:00"/>
    <s v="Malsitio"/>
    <s v="PROPIA"/>
    <n v="154.66"/>
    <n v="1.33"/>
    <n v="53.4"/>
    <x v="0"/>
  </r>
  <r>
    <d v="2025-03-17T00:00:00"/>
    <s v="Malaga"/>
    <s v="COMPRADA"/>
    <n v="31.71"/>
    <n v="1.3375000000000001"/>
    <n v="53.820609455719556"/>
    <x v="0"/>
  </r>
  <r>
    <d v="2026-01-14T00:00:00"/>
    <s v="Afloramiento 1 Sur"/>
    <s v="PROPIA"/>
    <n v="280.3"/>
    <n v="1.34"/>
    <n v="52.8"/>
    <x v="0"/>
  </r>
  <r>
    <d v="2025-09-04T00:00:00"/>
    <s v="Malaga"/>
    <s v="COMPRADA"/>
    <n v="100.19"/>
    <n v="1.36"/>
    <n v="53.42"/>
    <x v="0"/>
  </r>
  <r>
    <d v="2025-06-25T00:00:00"/>
    <s v="Caliza Propia"/>
    <s v="PROPIA"/>
    <n v="605.85"/>
    <n v="1.36"/>
    <n v="53.890532889258957"/>
    <x v="0"/>
  </r>
  <r>
    <d v="2025-06-26T00:00:00"/>
    <s v="Caliza Propia"/>
    <s v="PROPIA"/>
    <n v="989.28"/>
    <n v="1.36"/>
    <n v="53.890532889258957"/>
    <x v="0"/>
  </r>
  <r>
    <d v="2025-06-27T00:00:00"/>
    <s v="Caliza Propia"/>
    <s v="PROPIA"/>
    <n v="792.26"/>
    <n v="1.36"/>
    <n v="53.890532889258957"/>
    <x v="0"/>
  </r>
  <r>
    <d v="2025-06-28T00:00:00"/>
    <s v="Caliza Propia"/>
    <s v="PROPIA"/>
    <n v="366.40800000000002"/>
    <n v="1.36"/>
    <n v="53.890532889258957"/>
    <x v="0"/>
  </r>
  <r>
    <d v="2025-11-25T00:00:00"/>
    <s v="Afloramiento 1"/>
    <s v="PROPIA"/>
    <n v="157.12"/>
    <n v="1.36"/>
    <n v="52.8"/>
    <x v="0"/>
  </r>
  <r>
    <d v="2025-04-24T00:00:00"/>
    <s v="Caribbean"/>
    <s v="COMPRADA"/>
    <n v="34.020000000000003"/>
    <n v="1.361575"/>
    <n v="54.218675337668834"/>
    <x v="0"/>
  </r>
  <r>
    <d v="2025-12-10T00:00:00"/>
    <s v="Caribbean"/>
    <s v="COMPRADA"/>
    <n v="216.02"/>
    <n v="1.37"/>
    <n v="54.1"/>
    <x v="0"/>
  </r>
  <r>
    <d v="2025-04-29T00:00:00"/>
    <s v="Carbopar"/>
    <s v="COMPRADA"/>
    <n v="234.58"/>
    <n v="1.3776250000000001"/>
    <n v="52.993271949034437"/>
    <x v="0"/>
  </r>
  <r>
    <d v="2025-04-22T00:00:00"/>
    <s v="Malaga"/>
    <s v="COMPRADA"/>
    <n v="166.7"/>
    <n v="1.38565"/>
    <n v="53.029485492173386"/>
    <x v="0"/>
  </r>
  <r>
    <d v="2025-05-21T00:00:00"/>
    <s v="Malaga"/>
    <s v="COMPRADA"/>
    <n v="113.64"/>
    <n v="1.38565"/>
    <n v="53.191650545218096"/>
    <x v="0"/>
  </r>
  <r>
    <d v="2025-07-24T00:00:00"/>
    <s v="Malaga"/>
    <s v="COMPRADA"/>
    <n v="105.49"/>
    <n v="1.39"/>
    <n v="53.551462327949714"/>
    <x v="0"/>
  </r>
  <r>
    <d v="2025-09-04T00:00:00"/>
    <s v="Leonidas Rodriguez"/>
    <s v="COMPRADA"/>
    <n v="176.41"/>
    <n v="1.39"/>
    <n v="53.70331114808652"/>
    <x v="0"/>
  </r>
  <r>
    <d v="2025-05-17T00:00:00"/>
    <s v="Carbopar"/>
    <s v="COMPRADA"/>
    <n v="383.45"/>
    <n v="1.39635"/>
    <n v="52.180193150139388"/>
    <x v="0"/>
  </r>
  <r>
    <d v="2025-12-20T00:00:00"/>
    <s v="Gustavo Quesada"/>
    <s v="COMPRADA"/>
    <n v="68.08"/>
    <n v="1.4"/>
    <n v="53.5"/>
    <x v="0"/>
  </r>
  <r>
    <d v="2025-12-21T00:00:00"/>
    <s v="Gustavo Quesada"/>
    <s v="COMPRADA"/>
    <n v="44.78"/>
    <n v="1.4"/>
    <n v="53.5"/>
    <x v="0"/>
  </r>
  <r>
    <d v="2025-12-22T00:00:00"/>
    <s v="Gustavo Quesada"/>
    <s v="COMPRADA"/>
    <n v="0"/>
    <n v="1.4"/>
    <n v="54.4"/>
    <x v="0"/>
  </r>
  <r>
    <d v="2025-10-07T00:00:00"/>
    <s v="Carbopar"/>
    <s v="COMPRADA"/>
    <n v="256.14999999999998"/>
    <n v="1.41"/>
    <n v="53.7"/>
    <x v="0"/>
  </r>
  <r>
    <d v="2025-10-16T00:00:00"/>
    <s v="Afloramiento 1"/>
    <s v="PROPIA"/>
    <n v="608.9"/>
    <n v="1.41"/>
    <n v="53.917905822175413"/>
    <x v="0"/>
  </r>
  <r>
    <d v="2025-05-28T00:00:00"/>
    <s v="Malaga"/>
    <s v="COMPRADA"/>
    <n v="103.44"/>
    <n v="1.4177500000000001"/>
    <n v="53.106144327220946"/>
    <x v="0"/>
  </r>
  <r>
    <d v="2025-10-17T00:00:00"/>
    <s v="Afloramiento 1"/>
    <s v="PROPIA"/>
    <n v="429.56"/>
    <n v="1.42"/>
    <n v="53.8"/>
    <x v="0"/>
  </r>
  <r>
    <d v="2025-01-14T00:00:00"/>
    <s v="Caribbean"/>
    <s v="COMPRADA"/>
    <n v="268.16000000000003"/>
    <n v="1.42845"/>
    <n v="52.498818029756542"/>
    <x v="0"/>
  </r>
  <r>
    <d v="2025-02-04T00:00:00"/>
    <s v="Gustavo Quesada"/>
    <s v="COMPRADA"/>
    <n v="85.5"/>
    <n v="1.42845"/>
    <n v="53.743275000000004"/>
    <x v="0"/>
  </r>
  <r>
    <d v="2025-06-26T00:00:00"/>
    <s v="Malaga"/>
    <s v="COMPRADA"/>
    <n v="144.44999999999999"/>
    <n v="1.43"/>
    <n v="52.873333333333335"/>
    <x v="0"/>
  </r>
  <r>
    <d v="2025-10-22T00:00:00"/>
    <s v="Leonidas Rodriguez"/>
    <s v="COMPRADA"/>
    <n v="156.74"/>
    <n v="1.43"/>
    <n v="54.4"/>
    <x v="0"/>
  </r>
  <r>
    <d v="2025-04-04T00:00:00"/>
    <s v="Leonidas Rodriguez"/>
    <s v="COMPRADA"/>
    <n v="70.7"/>
    <n v="1.431125"/>
    <n v="53.988805442583732"/>
    <x v="0"/>
  </r>
  <r>
    <d v="2025-06-05T00:00:00"/>
    <s v="Caribbean"/>
    <s v="COMPRADA"/>
    <n v="202.41"/>
    <n v="1.44"/>
    <n v="53.349515161898232"/>
    <x v="0"/>
  </r>
  <r>
    <d v="2025-07-16T00:00:00"/>
    <s v="Leonidas Rodriguez"/>
    <s v="COMPRADA"/>
    <n v="104.73"/>
    <n v="1.44"/>
    <n v="53.87"/>
    <x v="0"/>
  </r>
  <r>
    <d v="2025-10-16T00:00:00"/>
    <s v="Gustavo Quesada"/>
    <s v="COMPRADA"/>
    <n v="69.040000000000006"/>
    <n v="1.44"/>
    <n v="52.505081274382313"/>
    <x v="0"/>
  </r>
  <r>
    <d v="2025-10-22T00:00:00"/>
    <s v="Gustavo Quesada"/>
    <s v="COMPRADA"/>
    <n v="24.32"/>
    <n v="1.44"/>
    <n v="53.8"/>
    <x v="0"/>
  </r>
  <r>
    <d v="2025-04-02T00:00:00"/>
    <s v="Gustavo Quesada"/>
    <s v="COMPRADA"/>
    <n v="69.02"/>
    <n v="1.4418249999999999"/>
    <n v="53.195253081513457"/>
    <x v="0"/>
  </r>
  <r>
    <d v="2025-02-14T00:00:00"/>
    <s v="Carbopar"/>
    <s v="COMPRADA"/>
    <n v="316.62"/>
    <n v="1.457875"/>
    <n v="51.908430845771143"/>
    <x v="0"/>
  </r>
  <r>
    <d v="2025-09-20T00:00:00"/>
    <s v="Carbopar"/>
    <s v="COMPRADA"/>
    <n v="234.7"/>
    <n v="1.46"/>
    <n v="52.64479638358705"/>
    <x v="0"/>
  </r>
  <r>
    <d v="2025-02-13T00:00:00"/>
    <s v="Caribbean"/>
    <s v="COMPRADA"/>
    <n v="419.5"/>
    <n v="1.46055"/>
    <n v="53.886686704739006"/>
    <x v="0"/>
  </r>
  <r>
    <d v="2025-05-15T00:00:00"/>
    <s v="Malaga"/>
    <s v="COMPRADA"/>
    <n v="96.55"/>
    <n v="1.4659000000000002"/>
    <n v="53.088142089638239"/>
    <x v="0"/>
  </r>
  <r>
    <d v="2026-01-17T00:00:00"/>
    <s v="Gustavo Quesada"/>
    <s v="COMPRADA"/>
    <n v="50.04"/>
    <n v="1.4659000000000002"/>
    <n v="53.191540082560117"/>
    <x v="0"/>
  </r>
  <r>
    <d v="2025-11-19T00:00:00"/>
    <s v="Afloramiento 1 "/>
    <s v="NA"/>
    <n v="501.18"/>
    <n v="1.47"/>
    <n v="52.6"/>
    <x v="0"/>
  </r>
  <r>
    <d v="2025-03-18T00:00:00"/>
    <s v="Caribbean"/>
    <s v="COMPRADA"/>
    <n v="530.44000000000005"/>
    <n v="1.4712500000000002"/>
    <n v="53.52512290167865"/>
    <x v="0"/>
  </r>
  <r>
    <d v="2026-01-16T00:00:00"/>
    <s v="Malaga"/>
    <s v="COMPRADA"/>
    <n v="34.97"/>
    <n v="1.4739249999999999"/>
    <n v="52.935258650729338"/>
    <x v="0"/>
  </r>
  <r>
    <d v="2025-05-26T00:00:00"/>
    <s v="Gustavo Quesada"/>
    <s v="COMPRADA"/>
    <n v="83.84"/>
    <n v="1.4765999999999999"/>
    <n v="53.43661145148436"/>
    <x v="0"/>
  </r>
  <r>
    <d v="2025-06-14T00:00:00"/>
    <s v="Leonidas Rodriguez"/>
    <s v="COMPRADA"/>
    <n v="101.54"/>
    <n v="1.48"/>
    <n v="54.159869073757825"/>
    <x v="0"/>
  </r>
  <r>
    <d v="2025-10-10T00:00:00"/>
    <s v="Malaga"/>
    <s v="COMPRADA"/>
    <n v="105.65"/>
    <n v="1.48"/>
    <n v="53.187218993856881"/>
    <x v="0"/>
  </r>
  <r>
    <d v="2025-11-05T00:00:00"/>
    <s v="Malsitio"/>
    <s v="PROPIA"/>
    <n v="130.68"/>
    <n v="1.48"/>
    <n v="53.5"/>
    <x v="0"/>
  </r>
  <r>
    <d v="2025-11-15T00:00:00"/>
    <s v="Afloramiento 1 "/>
    <s v="NA"/>
    <n v="443.96"/>
    <n v="1.48"/>
    <n v="51.6"/>
    <x v="0"/>
  </r>
  <r>
    <d v="2025-11-18T00:00:00"/>
    <s v="Afloramiento 1 "/>
    <s v="NA"/>
    <n v="216.26"/>
    <n v="1.48"/>
    <n v="51.6"/>
    <x v="0"/>
  </r>
  <r>
    <d v="2025-01-25T00:00:00"/>
    <s v="Malaga"/>
    <s v="COMPRADA"/>
    <n v="204.96"/>
    <n v="1.4899750000000003"/>
    <n v="53.17369211713514"/>
    <x v="0"/>
  </r>
  <r>
    <d v="2026-02-14T00:00:00"/>
    <s v="Carbopar"/>
    <s v="COMPRADA"/>
    <n v="296.14999999999998"/>
    <n v="1.49"/>
    <n v="53.5"/>
    <x v="0"/>
  </r>
  <r>
    <d v="2025-05-07T00:00:00"/>
    <s v="Caribbean"/>
    <s v="COMPRADA"/>
    <n v="293.29000000000002"/>
    <n v="1.498"/>
    <n v="54.316901282743451"/>
    <x v="0"/>
  </r>
  <r>
    <d v="2025-08-25T00:00:00"/>
    <s v="Caribbean"/>
    <s v="COMPRADA"/>
    <n v="0"/>
    <n v="1.5"/>
    <n v="54.09248037676609"/>
    <x v="0"/>
  </r>
  <r>
    <d v="2025-12-19T00:00:00"/>
    <s v="Gustavo Quesada"/>
    <s v="COMPRADA"/>
    <n v="88.28"/>
    <n v="1.5"/>
    <n v="53.9"/>
    <x v="0"/>
  </r>
  <r>
    <d v="2025-12-23T00:00:00"/>
    <s v="Gustavo Quesada"/>
    <s v="COMPRADA"/>
    <n v="67.06"/>
    <n v="1.5"/>
    <n v="54.1"/>
    <x v="0"/>
  </r>
  <r>
    <d v="2026-02-12T00:00:00"/>
    <s v="Gustavo Quesada"/>
    <s v="COMPRADA"/>
    <n v="51.47"/>
    <n v="1.5"/>
    <n v="53.2"/>
    <x v="0"/>
  </r>
  <r>
    <d v="2025-04-28T00:00:00"/>
    <s v="Carbopar"/>
    <s v="COMPRADA"/>
    <n v="439.68"/>
    <n v="1.5060250000000002"/>
    <n v="51.411864120163131"/>
    <x v="0"/>
  </r>
  <r>
    <d v="2025-09-02T00:00:00"/>
    <s v="Carbopar"/>
    <s v="COMPRADA"/>
    <n v="155.09"/>
    <n v="1.51"/>
    <n v="51.372881834801397"/>
    <x v="0"/>
  </r>
  <r>
    <d v="2025-02-17T00:00:00"/>
    <s v="Gustavo Quesada"/>
    <s v="COMPRADA"/>
    <n v="61.88"/>
    <n v="1.5113750000000001"/>
    <n v="53.356919691969196"/>
    <x v="0"/>
  </r>
  <r>
    <d v="2025-05-20T00:00:00"/>
    <s v="Carbopar"/>
    <s v="COMPRADA"/>
    <n v="98.93"/>
    <n v="1.5113750000000001"/>
    <n v="52.879788732394367"/>
    <x v="0"/>
  </r>
  <r>
    <d v="2025-03-12T00:00:00"/>
    <s v="Carbopar"/>
    <s v="COMPRADA"/>
    <n v="554.08000000000004"/>
    <n v="1.5194000000000001"/>
    <n v="53.231475082392883"/>
    <x v="0"/>
  </r>
  <r>
    <d v="2025-07-22T00:00:00"/>
    <s v="Caliza Propia"/>
    <s v="PROPIA"/>
    <n v="235"/>
    <n v="1.52"/>
    <n v="53.701267952400499"/>
    <x v="0"/>
  </r>
  <r>
    <d v="2025-07-23T00:00:00"/>
    <s v="Caliza Propia"/>
    <s v="PROPIA"/>
    <n v="235"/>
    <n v="1.52"/>
    <n v="53.701267952400499"/>
    <x v="0"/>
  </r>
  <r>
    <d v="2025-07-19T00:00:00"/>
    <s v="Caliza Propia"/>
    <s v="PROPIA"/>
    <n v="587.54"/>
    <n v="1.52"/>
    <n v="53.7"/>
    <x v="0"/>
  </r>
  <r>
    <d v="2025-07-21T00:00:00"/>
    <s v="Caliza Propia"/>
    <s v="PROPIA"/>
    <n v="670.01900000000001"/>
    <n v="1.52"/>
    <n v="53.7"/>
    <x v="0"/>
  </r>
  <r>
    <d v="2025-07-22T00:00:00"/>
    <s v="Caliza Propia"/>
    <s v="PROPIA"/>
    <n v="354.089"/>
    <n v="1.52"/>
    <n v="53.7"/>
    <x v="0"/>
  </r>
  <r>
    <d v="2025-07-23T00:00:00"/>
    <s v="Caliza Propia"/>
    <s v="PROPIA"/>
    <n v="805.1"/>
    <n v="1.52"/>
    <n v="53.7"/>
    <x v="0"/>
  </r>
  <r>
    <d v="2025-11-27T00:00:00"/>
    <s v="Malaga"/>
    <s v="COMPRADA"/>
    <n v="112.61"/>
    <n v="1.52"/>
    <n v="53.447529460985983"/>
    <x v="0"/>
  </r>
  <r>
    <d v="2025-01-15T00:00:00"/>
    <s v="Caribbean"/>
    <s v="COMPRADA"/>
    <n v="334.78"/>
    <n v="1.5220750000000003"/>
    <n v="54.042930101429"/>
    <x v="0"/>
  </r>
  <r>
    <d v="2025-01-24T00:00:00"/>
    <s v="Carbopar"/>
    <s v="COMPRADA"/>
    <n v="336.46"/>
    <n v="1.52475"/>
    <n v="52.554868310069793"/>
    <x v="0"/>
  </r>
  <r>
    <d v="2025-05-27T00:00:00"/>
    <s v="Carbopar"/>
    <s v="COMPRADA"/>
    <n v="496.88"/>
    <n v="1.527425"/>
    <n v="52.476679714945298"/>
    <x v="0"/>
  </r>
  <r>
    <d v="2025-07-18T00:00:00"/>
    <s v="Lisandro Rojas"/>
    <s v="COMPRADA"/>
    <n v="119.10000000000001"/>
    <n v="1.53"/>
    <n v="53.573462049493443"/>
    <x v="0"/>
  </r>
  <r>
    <d v="2025-08-28T00:00:00"/>
    <s v="Gustavo Quesada"/>
    <s v="COMPRADA"/>
    <n v="21.7"/>
    <n v="1.53"/>
    <n v="53.716689834926143"/>
    <x v="0"/>
  </r>
  <r>
    <d v="2025-10-18T00:00:00"/>
    <s v="Malsitio"/>
    <s v="PROPIA"/>
    <n v="74.22"/>
    <n v="1.53"/>
    <n v="51.3"/>
    <x v="0"/>
  </r>
  <r>
    <d v="2025-11-27T00:00:00"/>
    <s v="Afloramiento 1 "/>
    <s v="NA"/>
    <n v="411.66399999999999"/>
    <n v="1.53"/>
    <n v="53.4"/>
    <x v="0"/>
  </r>
  <r>
    <d v="2026-01-26T00:00:00"/>
    <s v="Afloramiento 1 Sur"/>
    <s v="PROPIA"/>
    <n v="273.22000000000003"/>
    <n v="1.53"/>
    <n v="53.3"/>
    <x v="0"/>
  </r>
  <r>
    <d v="2025-04-26T00:00:00"/>
    <s v="Carbopar"/>
    <s v="COMPRADA"/>
    <n v="220.94"/>
    <n v="1.5354500000000002"/>
    <n v="53.66958373581685"/>
    <x v="0"/>
  </r>
  <r>
    <d v="2025-05-30T00:00:00"/>
    <s v="Gustavo Quesada"/>
    <s v="COMPRADA"/>
    <n v="120.4"/>
    <n v="1.54"/>
    <n v="54.12473758747084"/>
    <x v="0"/>
  </r>
  <r>
    <d v="2025-05-30T00:00:00"/>
    <s v="Gustavo Quesada"/>
    <s v="COMPRADA"/>
    <n v="88.02"/>
    <n v="1.54"/>
    <n v="54.12473758747084"/>
    <x v="0"/>
  </r>
  <r>
    <d v="2025-07-25T00:00:00"/>
    <s v="Caliza Propia"/>
    <s v="PROPIA"/>
    <n v="235"/>
    <n v="1.54"/>
    <n v="53.314451078735765"/>
    <x v="0"/>
  </r>
  <r>
    <d v="2025-05-31T00:00:00"/>
    <s v="Caliza Propia"/>
    <s v="PROPIA"/>
    <n v="429.24700000000001"/>
    <n v="1.54"/>
    <n v="53.727169433553016"/>
    <x v="0"/>
  </r>
  <r>
    <d v="2025-03-01T00:00:00"/>
    <s v="Gustavo Quesada"/>
    <s v="COMPRADA"/>
    <n v="29.428000000000001"/>
    <n v="1.5407999999999999"/>
    <n v="53.72656861760867"/>
    <x v="0"/>
  </r>
  <r>
    <d v="2025-05-21T00:00:00"/>
    <s v="Carbopar"/>
    <s v="COMPRADA"/>
    <n v="335.21"/>
    <n v="1.5407999999999999"/>
    <n v="53.501311622348368"/>
    <x v="0"/>
  </r>
  <r>
    <d v="2025-04-15T00:00:00"/>
    <s v="Gustavo Quesada"/>
    <s v="COMPRADA"/>
    <n v="88.02"/>
    <n v="1.5434749999999999"/>
    <n v="53.267614259425486"/>
    <x v="0"/>
  </r>
  <r>
    <d v="2025-06-05T00:00:00"/>
    <s v="Leonidas Rodriguez"/>
    <s v="COMPRADA"/>
    <n v="271.89999999999998"/>
    <n v="1.55"/>
    <n v="53.975835144624639"/>
    <x v="0"/>
  </r>
  <r>
    <d v="2025-08-21T00:00:00"/>
    <s v="Carbopar"/>
    <s v="COMPRADA"/>
    <n v="75.25"/>
    <n v="1.55"/>
    <n v="53.513447421031586"/>
    <x v="0"/>
  </r>
  <r>
    <d v="2025-12-05T00:00:00"/>
    <s v="Carbopar"/>
    <s v="COMPRADA"/>
    <n v="460.61"/>
    <n v="1.55"/>
    <n v="53.8"/>
    <x v="0"/>
  </r>
  <r>
    <d v="2025-07-19T00:00:00"/>
    <s v="Carbopar"/>
    <s v="COMPRADA"/>
    <n v="74.72"/>
    <n v="1.56"/>
    <n v="53.1279925031237"/>
    <x v="0"/>
  </r>
  <r>
    <d v="2025-02-28T00:00:00"/>
    <s v="Caribbean"/>
    <s v="COMPRADA"/>
    <n v="591.07000000000005"/>
    <n v="1.5622"/>
    <n v="53.312540778544978"/>
    <x v="0"/>
  </r>
  <r>
    <d v="2025-04-05T00:00:00"/>
    <s v="Leonidas Rodriguez"/>
    <s v="COMPRADA"/>
    <n v="70.7"/>
    <n v="1.564875"/>
    <n v="53.999328776909984"/>
    <x v="0"/>
  </r>
  <r>
    <d v="2025-08-27T00:00:00"/>
    <s v="Gustavo Quesada"/>
    <s v="COMPRADA"/>
    <n v="65.94"/>
    <n v="1.57"/>
    <n v="53.743038691412394"/>
    <x v="0"/>
  </r>
  <r>
    <d v="2025-10-06T00:00:00"/>
    <s v="Carbopar"/>
    <s v="COMPRADA"/>
    <n v="180.86"/>
    <n v="1.57"/>
    <n v="52.1"/>
    <x v="0"/>
  </r>
  <r>
    <d v="2025-03-27T00:00:00"/>
    <s v="Leonidas Rodriguez"/>
    <s v="COMPRADA"/>
    <n v="73.569999999999993"/>
    <n v="1.5702250000000002"/>
    <n v="53.806027070063692"/>
    <x v="0"/>
  </r>
  <r>
    <d v="2025-02-20T00:00:00"/>
    <s v="Gustavo Quesada"/>
    <s v="COMPRADA"/>
    <n v="91.32"/>
    <n v="1.5755749999999999"/>
    <n v="53.719838194166996"/>
    <x v="0"/>
  </r>
  <r>
    <d v="2025-04-04T00:00:00"/>
    <s v="Gustavo Quesada"/>
    <s v="COMPRADA"/>
    <n v="65.94"/>
    <n v="1.5755749999999999"/>
    <n v="53.778214285714277"/>
    <x v="0"/>
  </r>
  <r>
    <d v="2025-05-02T00:00:00"/>
    <s v="Gustavo Quesada"/>
    <s v="COMPRADA"/>
    <n v="19.494"/>
    <n v="1.5755749999999999"/>
    <n v="52.666368684843619"/>
    <x v="0"/>
  </r>
  <r>
    <d v="2025-06-05T00:00:00"/>
    <s v="Malaga"/>
    <s v="COMPRADA"/>
    <n v="73.94"/>
    <n v="1.58"/>
    <n v="54.095761920640221"/>
    <x v="0"/>
  </r>
  <r>
    <d v="2025-07-09T00:00:00"/>
    <s v="Malaga"/>
    <s v="COMPRADA"/>
    <n v="69.2"/>
    <n v="1.58"/>
    <n v="53.374545980335455"/>
    <x v="0"/>
  </r>
  <r>
    <d v="2025-11-04T00:00:00"/>
    <s v="Gustavo Quesada"/>
    <s v="COMPRADA"/>
    <n v="277.72000000000003"/>
    <n v="1.58"/>
    <n v="53.938698776864072"/>
    <x v="0"/>
  </r>
  <r>
    <d v="2026-01-20T00:00:00"/>
    <s v="Afloramiento 1 Sur"/>
    <s v="PROPIA"/>
    <n v="387.48"/>
    <n v="1.58"/>
    <n v="52.8"/>
    <x v="0"/>
  </r>
  <r>
    <d v="2026-01-22T00:00:00"/>
    <s v="Caribbean"/>
    <s v="COMPRADA"/>
    <n v="81.98"/>
    <n v="1.58"/>
    <n v="54"/>
    <x v="0"/>
  </r>
  <r>
    <d v="2025-09-04T00:00:00"/>
    <s v="Calizas &amp; Granitos"/>
    <s v="COMPRADA"/>
    <n v="68.099999999999994"/>
    <n v="1.59"/>
    <n v="53.727915873147296"/>
    <x v="0"/>
  </r>
  <r>
    <d v="2025-09-15T00:00:00"/>
    <s v="Leonidas Rodriguez"/>
    <s v="COMPRADA"/>
    <n v="76.41"/>
    <n v="1.59"/>
    <n v="53.251869158878506"/>
    <x v="0"/>
  </r>
  <r>
    <d v="2025-03-25T00:00:00"/>
    <s v="Carbopar"/>
    <s v="COMPRADA"/>
    <n v="37.659999999999997"/>
    <n v="1.5916250000000001"/>
    <n v="50.851221620328403"/>
    <x v="0"/>
  </r>
  <r>
    <d v="2025-01-03T00:00:00"/>
    <s v="Malaga"/>
    <s v="COMPRADA"/>
    <n v="67.209999999999994"/>
    <n v="1.6"/>
    <n v="53.170445691647409"/>
    <x v="0"/>
  </r>
  <r>
    <d v="2025-08-27T00:00:00"/>
    <s v="Carbopar"/>
    <s v="COMPRADA"/>
    <n v="202.39"/>
    <n v="1.6"/>
    <n v="53.350744907266645"/>
    <x v="0"/>
  </r>
  <r>
    <d v="2025-11-24T00:00:00"/>
    <s v="Gustavo Quesada"/>
    <s v="COMPRADA"/>
    <n v="89.5"/>
    <n v="1.6"/>
    <n v="53.1"/>
    <x v="0"/>
  </r>
  <r>
    <d v="2025-12-12T00:00:00"/>
    <s v="Leonidas Rodriguez"/>
    <s v="COMPRADA"/>
    <n v="268.7"/>
    <n v="1.6"/>
    <n v="54.3"/>
    <x v="0"/>
  </r>
  <r>
    <d v="2025-12-18T00:00:00"/>
    <s v="Leonidas Rodriguez"/>
    <s v="COMPRADA"/>
    <n v="157.12"/>
    <n v="1.6"/>
    <n v="54.3"/>
    <x v="0"/>
  </r>
  <r>
    <d v="2025-12-15T00:00:00"/>
    <s v="Gustavo Quesada"/>
    <s v="COMPRADA"/>
    <n v="154.52000000000001"/>
    <n v="1.6"/>
    <n v="53.6"/>
    <x v="0"/>
  </r>
  <r>
    <d v="2025-07-16T00:00:00"/>
    <s v="Caliza Propia"/>
    <s v="PROPIA"/>
    <n v="235"/>
    <n v="1.61"/>
    <n v="52.859000969932097"/>
    <x v="0"/>
  </r>
  <r>
    <d v="2025-07-16T00:00:00"/>
    <s v="Caliza Propia"/>
    <s v="PROPIA"/>
    <n v="193.08"/>
    <n v="1.61"/>
    <n v="52.859000969932097"/>
    <x v="0"/>
  </r>
  <r>
    <d v="2025-09-12T00:00:00"/>
    <s v="Gustavo Quesada"/>
    <s v="COMPRADA"/>
    <n v="66.650000000000006"/>
    <n v="1.62"/>
    <n v="53.345943600867678"/>
    <x v="1"/>
  </r>
  <r>
    <d v="2025-12-10T00:00:00"/>
    <s v="Afloramiento 1 "/>
    <s v="NA"/>
    <n v="500"/>
    <n v="1.62"/>
    <n v="52.6"/>
    <x v="1"/>
  </r>
  <r>
    <d v="2025-10-11T00:00:00"/>
    <s v="Afloramiento 1"/>
    <s v="PROPIA"/>
    <n v="159.41999999999999"/>
    <n v="1.63"/>
    <n v="53.4"/>
    <x v="1"/>
  </r>
  <r>
    <d v="2025-10-14T00:00:00"/>
    <s v="Afloramiento 1"/>
    <s v="PROPIA"/>
    <n v="659"/>
    <n v="1.63"/>
    <n v="53.4"/>
    <x v="1"/>
  </r>
  <r>
    <d v="2025-10-17T00:00:00"/>
    <s v="Leonidas Rodriguez"/>
    <s v="COMPRADA"/>
    <n v="227.75"/>
    <n v="1.64"/>
    <n v="54.447848499917114"/>
    <x v="1"/>
  </r>
  <r>
    <d v="2026-01-22T00:00:00"/>
    <s v="Afloramiento 1 Sur"/>
    <s v="PROPIA"/>
    <n v="341.64"/>
    <n v="1.64"/>
    <n v="52.4"/>
    <x v="1"/>
  </r>
  <r>
    <d v="2025-01-27T00:00:00"/>
    <s v="Carbopar"/>
    <s v="COMPRADA"/>
    <n v="577"/>
    <n v="1.64245"/>
    <n v="52.990904299140169"/>
    <x v="1"/>
  </r>
  <r>
    <d v="2025-04-01T00:00:00"/>
    <s v="Gustavo Quesada"/>
    <s v="COMPRADA"/>
    <n v="93.12"/>
    <n v="1.64245"/>
    <n v="53.464872437850843"/>
    <x v="1"/>
  </r>
  <r>
    <d v="2025-08-22T00:00:00"/>
    <s v="Gustavo Quesada"/>
    <s v="COMPRADA"/>
    <n v="94.02"/>
    <n v="1.65"/>
    <n v="54.070834798626805"/>
    <x v="1"/>
  </r>
  <r>
    <d v="2025-10-23T00:00:00"/>
    <s v="Lisandro Rojas"/>
    <s v="COMPRADA"/>
    <n v="26.12"/>
    <n v="1.65"/>
    <n v="47.9"/>
    <x v="1"/>
  </r>
  <r>
    <d v="2026-01-30T00:00:00"/>
    <s v="Carbopar"/>
    <s v="COMPRADA"/>
    <n v="546.58000000000004"/>
    <n v="1.66"/>
    <n v="53.3"/>
    <x v="1"/>
  </r>
  <r>
    <d v="2025-05-14T00:00:00"/>
    <s v="Lisandro Rojas"/>
    <s v="COMPRADA"/>
    <n v="128.5"/>
    <n v="1.6611750000000001"/>
    <n v="52.733942931258106"/>
    <x v="1"/>
  </r>
  <r>
    <d v="2025-01-21T00:00:00"/>
    <s v="Caribbean"/>
    <s v="COMPRADA"/>
    <n v="238.56"/>
    <n v="1.6692000000000002"/>
    <n v="53.846494353843092"/>
    <x v="1"/>
  </r>
  <r>
    <d v="2025-09-15T00:00:00"/>
    <s v="Gustavo Quesada"/>
    <s v="COMPRADA"/>
    <n v="23.04"/>
    <n v="1.67"/>
    <n v="53.612502115221908"/>
    <x v="1"/>
  </r>
  <r>
    <d v="2025-10-24T00:00:00"/>
    <s v="Leonidas Rodriguez"/>
    <s v="COMPRADA"/>
    <n v="102.999"/>
    <n v="1.67"/>
    <n v="54.3"/>
    <x v="1"/>
  </r>
  <r>
    <d v="2026-01-15T00:00:00"/>
    <s v="Malaga"/>
    <s v="COMPRADA"/>
    <n v="35.67"/>
    <n v="1.67455"/>
    <n v="52.843359627259879"/>
    <x v="1"/>
  </r>
  <r>
    <d v="2025-03-19T00:00:00"/>
    <s v="Carbopar"/>
    <s v="COMPRADA"/>
    <n v="323.7"/>
    <n v="1.6799000000000002"/>
    <n v="51.229620938628159"/>
    <x v="1"/>
  </r>
  <r>
    <d v="2026-01-29T00:00:00"/>
    <s v="Afloramiento 1 Sur"/>
    <s v="PROPIA"/>
    <n v="275"/>
    <n v="1.68"/>
    <n v="53.3"/>
    <x v="1"/>
  </r>
  <r>
    <d v="2025-01-23T00:00:00"/>
    <s v="Carbopar"/>
    <s v="COMPRADA"/>
    <n v="337.34"/>
    <n v="1.6852500000000001"/>
    <n v="52.263379064215144"/>
    <x v="1"/>
  </r>
  <r>
    <d v="2025-08-26T00:00:00"/>
    <s v="Caribbean"/>
    <s v="COMPRADA"/>
    <n v="268.31"/>
    <n v="1.69"/>
    <n v="53.51833586754519"/>
    <x v="1"/>
  </r>
  <r>
    <d v="2025-11-05T00:00:00"/>
    <s v="Afloramiento 1"/>
    <s v="PROPIA"/>
    <n v="351.56"/>
    <n v="1.69"/>
    <n v="53"/>
    <x v="1"/>
  </r>
  <r>
    <d v="2026-02-16T00:00:00"/>
    <s v="Leonidas Rodriguez"/>
    <s v="COMPRADA"/>
    <n v="52.64"/>
    <n v="1.7"/>
    <n v="53.9"/>
    <x v="1"/>
  </r>
  <r>
    <d v="2025-03-07T00:00:00"/>
    <s v="Caribbean"/>
    <s v="COMPRADA"/>
    <n v="259.85000000000002"/>
    <n v="1.7013000000000003"/>
    <n v="53.411115350223547"/>
    <x v="1"/>
  </r>
  <r>
    <d v="2025-08-26T00:00:00"/>
    <s v="Gustavo Quesada"/>
    <s v="COMPRADA"/>
    <n v="23.92"/>
    <n v="1.71"/>
    <n v="52.85250430786904"/>
    <x v="1"/>
  </r>
  <r>
    <d v="2025-08-26T00:00:00"/>
    <s v="Gustavo Quesada"/>
    <s v="COMPRADA"/>
    <n v="23.92"/>
    <n v="1.71"/>
    <n v="52.85250430786904"/>
    <x v="1"/>
  </r>
  <r>
    <d v="2025-07-03T00:00:00"/>
    <s v="Lisandro Rojas"/>
    <s v="COMPRADA"/>
    <n v="62.68"/>
    <n v="1.7146750000000002"/>
    <n v="51.181616435603772"/>
    <x v="1"/>
  </r>
  <r>
    <d v="2025-01-28T00:00:00"/>
    <s v="Carbopar"/>
    <s v="COMPRADA"/>
    <n v="384"/>
    <n v="1.7173500000000002"/>
    <n v="52.047340890873613"/>
    <x v="1"/>
  </r>
  <r>
    <d v="2025-01-09T00:00:00"/>
    <s v="Caribbean"/>
    <s v="COMPRADA"/>
    <n v="421.38"/>
    <n v="1.7227000000000001"/>
    <n v="53.008122101910821"/>
    <x v="1"/>
  </r>
  <r>
    <d v="2025-02-25T00:00:00"/>
    <s v="Gustavo Quesada"/>
    <s v="COMPRADA"/>
    <n v="88.66"/>
    <n v="1.7280500000000001"/>
    <n v="53.554523166216349"/>
    <x v="1"/>
  </r>
  <r>
    <d v="2025-02-26T00:00:00"/>
    <s v="Gustavo Quesada"/>
    <s v="COMPRADA"/>
    <n v="92.02"/>
    <n v="1.7280500000000001"/>
    <n v="53.554523166216349"/>
    <x v="1"/>
  </r>
  <r>
    <d v="2025-02-27T00:00:00"/>
    <s v="Gustavo Quesada"/>
    <s v="COMPRADA"/>
    <n v="91.12"/>
    <n v="1.7280500000000001"/>
    <n v="53.554523166216349"/>
    <x v="1"/>
  </r>
  <r>
    <d v="2025-02-28T00:00:00"/>
    <s v="Gustavo Quesada"/>
    <s v="COMPRADA"/>
    <n v="112.76"/>
    <n v="1.7280500000000001"/>
    <n v="53.554523166216349"/>
    <x v="1"/>
  </r>
  <r>
    <d v="2025-09-11T00:00:00"/>
    <s v="Carbopar"/>
    <s v="COMPRADA"/>
    <n v="611.52"/>
    <n v="1.73"/>
    <n v="53.337533632286998"/>
    <x v="1"/>
  </r>
  <r>
    <d v="2025-05-15T00:00:00"/>
    <s v="Calizas &amp; Granitos"/>
    <s v="COMPRADA"/>
    <n v="701.57"/>
    <n v="1.7307250000000001"/>
    <n v="53.442845602197039"/>
    <x v="1"/>
  </r>
  <r>
    <d v="2025-03-25T00:00:00"/>
    <s v="Malaga"/>
    <s v="COMPRADA"/>
    <n v="145.19"/>
    <n v="1.7334000000000003"/>
    <n v="53.221074677596718"/>
    <x v="1"/>
  </r>
  <r>
    <d v="2025-08-22T00:00:00"/>
    <s v="Leonidas Rodriguez"/>
    <s v="COMPRADA"/>
    <n v="75.89"/>
    <n v="1.74"/>
    <n v="53.978195077484052"/>
    <x v="1"/>
  </r>
  <r>
    <d v="2025-09-20T00:00:00"/>
    <s v="Caribbean"/>
    <s v="COMPRADA"/>
    <n v="173.14"/>
    <n v="1.74"/>
    <n v="53.391781881707011"/>
    <x v="1"/>
  </r>
  <r>
    <d v="2025-05-29T00:00:00"/>
    <s v="Leonidas Rodriguez"/>
    <s v="COMPRADA"/>
    <n v="144.26"/>
    <n v="1.741425"/>
    <n v="53.761793329923144"/>
    <x v="1"/>
  </r>
  <r>
    <d v="2025-02-15T00:00:00"/>
    <s v="Carbopar"/>
    <s v="COMPRADA"/>
    <n v="242.36"/>
    <n v="1.7494500000000002"/>
    <n v="52.704573821154419"/>
    <x v="1"/>
  </r>
  <r>
    <d v="2025-05-31T00:00:00"/>
    <s v="Caribbean"/>
    <s v="COMPRADA"/>
    <n v="272.95"/>
    <n v="1.76"/>
    <n v="54.040235813682187"/>
    <x v="1"/>
  </r>
  <r>
    <d v="2025-02-24T00:00:00"/>
    <s v="Gustavo Quesada"/>
    <s v="COMPRADA"/>
    <n v="45.38"/>
    <n v="1.7601500000000001"/>
    <n v="53.510458868378812"/>
    <x v="1"/>
  </r>
  <r>
    <d v="2025-03-04T00:00:00"/>
    <s v="Caribbean"/>
    <s v="COMPRADA"/>
    <n v="377.93"/>
    <n v="1.7628250000000001"/>
    <n v="53.688453927643408"/>
    <x v="1"/>
  </r>
  <r>
    <d v="2025-05-19T00:00:00"/>
    <s v="Carbopar"/>
    <s v="COMPRADA"/>
    <n v="187.64"/>
    <n v="1.7628250000000001"/>
    <n v="51.609288840262579"/>
    <x v="1"/>
  </r>
  <r>
    <d v="2025-12-04T00:00:00"/>
    <s v="Caribbean"/>
    <s v="COMPRADA"/>
    <n v="211.86"/>
    <n v="1.77"/>
    <n v="53.9"/>
    <x v="1"/>
  </r>
  <r>
    <d v="2025-02-17T00:00:00"/>
    <s v="Caribbean"/>
    <s v="COMPRADA"/>
    <n v="222.18"/>
    <n v="1.77085"/>
    <n v="52.41289906037585"/>
    <x v="1"/>
  </r>
  <r>
    <d v="2025-03-26T00:00:00"/>
    <s v="Leonidas Rodriguez"/>
    <s v="COMPRADA"/>
    <n v="119.94"/>
    <n v="1.7788750000000002"/>
    <n v="53.324866094927174"/>
    <x v="1"/>
  </r>
  <r>
    <d v="2025-09-15T00:00:00"/>
    <s v="Caribbean"/>
    <s v="COMPRADA"/>
    <n v="182.52"/>
    <n v="1.78"/>
    <n v="53.744070468242931"/>
    <x v="1"/>
  </r>
  <r>
    <d v="2025-05-28T00:00:00"/>
    <s v="Lisandro Rojas"/>
    <s v="COMPRADA"/>
    <n v="95.34"/>
    <n v="1.7815500000000002"/>
    <n v="50.025626644572291"/>
    <x v="1"/>
  </r>
  <r>
    <d v="2025-04-22T00:00:00"/>
    <s v="Leonidas Rodriguez"/>
    <s v="COMPRADA"/>
    <n v="72.900000000000006"/>
    <n v="1.7895750000000001"/>
    <n v="53.641445572442755"/>
    <x v="1"/>
  </r>
  <r>
    <d v="2025-10-18T00:00:00"/>
    <s v="Afloramiento 1"/>
    <s v="PROPIA"/>
    <n v="463.92"/>
    <n v="1.79"/>
    <n v="52.7"/>
    <x v="1"/>
  </r>
  <r>
    <d v="2026-01-26T00:00:00"/>
    <s v="Caribbean"/>
    <s v="COMPRADA"/>
    <n v="161.26"/>
    <n v="1.79"/>
    <n v="53.8"/>
    <x v="1"/>
  </r>
  <r>
    <d v="2025-04-26T00:00:00"/>
    <s v="Caribbean"/>
    <s v="COMPRADA"/>
    <n v="548.46"/>
    <n v="1.7922500000000001"/>
    <n v="53.764688847607054"/>
    <x v="1"/>
  </r>
  <r>
    <d v="2025-11-29T00:00:00"/>
    <s v="Gustavo Quesada"/>
    <s v="COMPRADA"/>
    <n v="45"/>
    <n v="1.8"/>
    <n v="53"/>
    <x v="1"/>
  </r>
  <r>
    <d v="2025-04-05T00:00:00"/>
    <s v="Caribbean"/>
    <s v="COMPRADA"/>
    <n v="269.69"/>
    <n v="1.805625"/>
    <n v="53.828783254693306"/>
    <x v="1"/>
  </r>
  <r>
    <d v="2025-04-28T00:00:00"/>
    <s v="Leonidas Rodriguez"/>
    <s v="COMPRADA"/>
    <n v="100.59"/>
    <n v="1.8136500000000002"/>
    <n v="53.685718253968254"/>
    <x v="1"/>
  </r>
  <r>
    <d v="2025-03-08T00:00:00"/>
    <s v="Leonidas Rodriguez"/>
    <s v="COMPRADA"/>
    <n v="25.05"/>
    <n v="1.8163250000000002"/>
    <n v="52.584062512602074"/>
    <x v="1"/>
  </r>
  <r>
    <d v="2025-09-27T00:00:00"/>
    <s v="Lisandro Rojas"/>
    <s v="COMPRADA"/>
    <n v="48.78"/>
    <n v="1.82"/>
    <n v="52.478972477064218"/>
    <x v="1"/>
  </r>
  <r>
    <d v="2026-02-05T00:00:00"/>
    <s v="Carbopar"/>
    <s v="COMPRADA"/>
    <n v="522.85"/>
    <n v="1.82"/>
    <n v="53"/>
    <x v="1"/>
  </r>
  <r>
    <d v="2025-01-10T00:00:00"/>
    <s v="Caribbean"/>
    <s v="COMPRADA"/>
    <n v="375.54"/>
    <n v="1.8270250000000001"/>
    <n v="47.694521340247306"/>
    <x v="1"/>
  </r>
  <r>
    <d v="2025-08-30T00:00:00"/>
    <s v="Malaga"/>
    <s v="COMPRADA"/>
    <n v="103.4"/>
    <n v="1.83"/>
    <n v="53.498756185523781"/>
    <x v="1"/>
  </r>
  <r>
    <d v="2025-09-01T00:00:00"/>
    <s v="Caribbean"/>
    <s v="COMPRADA"/>
    <n v="34.119999999999997"/>
    <n v="1.83"/>
    <n v="53.768098404255319"/>
    <x v="1"/>
  </r>
  <r>
    <d v="2025-02-18T00:00:00"/>
    <s v="Caribbean"/>
    <s v="COMPRADA"/>
    <n v="242.86"/>
    <n v="1.8323750000000001"/>
    <n v="53.143636481324279"/>
    <x v="1"/>
  </r>
  <r>
    <d v="2025-07-15T00:00:00"/>
    <s v="Lisandro Rojas"/>
    <s v="COMPRADA"/>
    <n v="195.14"/>
    <n v="1.84"/>
    <n v="52.660964288632833"/>
    <x v="1"/>
  </r>
  <r>
    <d v="2025-07-08T00:00:00"/>
    <s v="Caliza Propia"/>
    <s v="PROPIA"/>
    <n v="235"/>
    <n v="1.84"/>
    <n v="53.693243017226962"/>
    <x v="1"/>
  </r>
  <r>
    <d v="2025-11-13T00:00:00"/>
    <s v="Malsitio"/>
    <s v="PROPIA"/>
    <n v="161.84"/>
    <n v="1.84"/>
    <n v="53.6"/>
    <x v="1"/>
  </r>
  <r>
    <d v="2025-02-22T00:00:00"/>
    <s v="Caribbean"/>
    <s v="COMPRADA"/>
    <n v="441.41"/>
    <n v="1.843075"/>
    <n v="53.48554588919972"/>
    <x v="1"/>
  </r>
  <r>
    <d v="2025-04-29T00:00:00"/>
    <s v="Leonidas Rodriguez"/>
    <s v="COMPRADA"/>
    <n v="200.78"/>
    <n v="1.8484250000000002"/>
    <n v="53.282013965087273"/>
    <x v="1"/>
  </r>
  <r>
    <d v="2025-05-28T00:00:00"/>
    <s v="Gustavo Quesada"/>
    <s v="COMPRADA"/>
    <n v="67.14"/>
    <n v="1.8484250000000002"/>
    <n v="53.400231834667338"/>
    <x v="1"/>
  </r>
  <r>
    <d v="2025-04-11T00:00:00"/>
    <s v="Caribbean"/>
    <s v="COMPRADA"/>
    <n v="438.88"/>
    <n v="1.8564500000000002"/>
    <n v="53.737198696611188"/>
    <x v="1"/>
  </r>
  <r>
    <d v="2025-04-21T00:00:00"/>
    <s v="Caribbean"/>
    <s v="COMPRADA"/>
    <n v="139.65"/>
    <n v="1.8564500000000002"/>
    <n v="53.745261685976821"/>
    <x v="1"/>
  </r>
  <r>
    <d v="2026-01-23T00:00:00"/>
    <s v="Malaga"/>
    <s v="COMPRADA"/>
    <n v="37.64"/>
    <n v="1.86"/>
    <n v="52.9"/>
    <x v="1"/>
  </r>
  <r>
    <d v="2025-01-25T00:00:00"/>
    <s v="Gustavo Quesada"/>
    <s v="COMPRADA"/>
    <n v="94.12"/>
    <n v="1.8618000000000001"/>
    <n v="53.494311796859371"/>
    <x v="1"/>
  </r>
  <r>
    <d v="2026-01-17T00:00:00"/>
    <s v="Malaga"/>
    <s v="COMPRADA"/>
    <n v="34.64"/>
    <n v="1.8618000000000001"/>
    <n v="52.872220964324967"/>
    <x v="1"/>
  </r>
  <r>
    <d v="2025-09-11T00:00:00"/>
    <s v="Caribbean"/>
    <s v="COMPRADA"/>
    <n v="293.36"/>
    <n v="1.87"/>
    <n v="53.233495417119777"/>
    <x v="1"/>
  </r>
  <r>
    <d v="2025-09-16T00:00:00"/>
    <s v="Caribbean"/>
    <s v="COMPRADA"/>
    <n v="0"/>
    <n v="1.87"/>
    <n v="52.679315068493146"/>
    <x v="1"/>
  </r>
  <r>
    <d v="2025-02-04T00:00:00"/>
    <s v="Malaga"/>
    <s v="COMPRADA"/>
    <n v="173.32"/>
    <n v="1.8725000000000001"/>
    <n v="53.343912082749647"/>
    <x v="1"/>
  </r>
  <r>
    <d v="2025-03-17T00:00:00"/>
    <s v="Caribbean"/>
    <s v="COMPRADA"/>
    <n v="308.16000000000003"/>
    <n v="1.8725000000000001"/>
    <n v="53.583360590347027"/>
    <x v="1"/>
  </r>
  <r>
    <d v="2025-09-17T00:00:00"/>
    <s v="Gustavo Quesada"/>
    <s v="COMPRADA"/>
    <n v="44.38"/>
    <n v="1.88"/>
    <n v="53.587368421052624"/>
    <x v="1"/>
  </r>
  <r>
    <d v="2026-01-05T00:00:00"/>
    <s v="Carbopar"/>
    <s v="COMPRADA"/>
    <n v="280.52"/>
    <n v="1.88"/>
    <n v="53.2"/>
    <x v="1"/>
  </r>
  <r>
    <d v="2025-02-22T00:00:00"/>
    <s v="Gustavo Quesada"/>
    <s v="COMPRADA"/>
    <n v="62.3"/>
    <n v="1.885875"/>
    <n v="53.431490651661143"/>
    <x v="1"/>
  </r>
  <r>
    <d v="2025-09-23T00:00:00"/>
    <s v="Malaga"/>
    <s v="COMPRADA"/>
    <n v="103.97"/>
    <n v="1.89"/>
    <n v="47.170215203054497"/>
    <x v="1"/>
  </r>
  <r>
    <d v="2025-12-01T00:00:00"/>
    <s v="Afloramiento 1 "/>
    <s v="NA"/>
    <n v="257.7"/>
    <n v="1.89"/>
    <n v="53.4"/>
    <x v="1"/>
  </r>
  <r>
    <d v="2025-05-27T00:00:00"/>
    <s v="Caribbean"/>
    <s v="COMPRADA"/>
    <n v="405.62"/>
    <n v="1.8912250000000002"/>
    <n v="53.865097973815459"/>
    <x v="1"/>
  </r>
  <r>
    <d v="2025-06-18T00:00:00"/>
    <s v="Leonidas Rodriguez"/>
    <s v="COMPRADA"/>
    <n v="269.06"/>
    <n v="1.9"/>
    <n v="53.441978551833074"/>
    <x v="1"/>
  </r>
  <r>
    <d v="2025-11-18T00:00:00"/>
    <s v="Gustavo Quesada"/>
    <s v="COMPRADA"/>
    <n v="69.680000000000007"/>
    <n v="1.9"/>
    <n v="53.4"/>
    <x v="1"/>
  </r>
  <r>
    <d v="2025-11-25T00:00:00"/>
    <s v="Gustavo Quesada"/>
    <s v="COMPRADA"/>
    <n v="91.58"/>
    <n v="1.9"/>
    <n v="52.5"/>
    <x v="1"/>
  </r>
  <r>
    <d v="2025-12-12T00:00:00"/>
    <s v="Caribbean"/>
    <s v="COMPRADA"/>
    <n v="152.9"/>
    <n v="1.9"/>
    <n v="54.2"/>
    <x v="1"/>
  </r>
  <r>
    <d v="2026-02-16T00:00:00"/>
    <s v="Caribbean"/>
    <s v="COMPRADA"/>
    <n v="90.41"/>
    <n v="1.9"/>
    <n v="53.9"/>
    <x v="1"/>
  </r>
  <r>
    <d v="2025-12-09T00:00:00"/>
    <s v="Caribbean"/>
    <s v="COMPRADA"/>
    <n v="268.08"/>
    <n v="1.91"/>
    <n v="54.1"/>
    <x v="1"/>
  </r>
  <r>
    <d v="2025-08-29T00:00:00"/>
    <s v="Caribbean"/>
    <s v="COMPRADA"/>
    <n v="48.46"/>
    <n v="1.92"/>
    <n v="53.726265223274694"/>
    <x v="1"/>
  </r>
  <r>
    <d v="2026-01-09T00:00:00"/>
    <s v="Caribbean"/>
    <s v="COMPRADA"/>
    <n v="81.260000000000005"/>
    <n v="1.9260000000000002"/>
    <n v="53.510279417920856"/>
    <x v="1"/>
  </r>
  <r>
    <d v="2025-09-29T00:00:00"/>
    <s v="Gustavo Quesada"/>
    <s v="COMPRADA"/>
    <n v="45.78"/>
    <n v="1.93"/>
    <n v="53.737875877046434"/>
    <x v="1"/>
  </r>
  <r>
    <d v="2025-10-17T00:00:00"/>
    <s v="Malsitio"/>
    <s v="PROPIA"/>
    <n v="88.58"/>
    <n v="1.93"/>
    <n v="53.2"/>
    <x v="1"/>
  </r>
  <r>
    <d v="2025-10-29T00:00:00"/>
    <s v="Malsitio"/>
    <s v="PROPIA"/>
    <n v="170.66"/>
    <n v="1.93"/>
    <n v="52.1"/>
    <x v="1"/>
  </r>
  <r>
    <d v="2026-02-14T00:00:00"/>
    <s v="Afloramiento 1 Sur"/>
    <s v="PROPIA"/>
    <n v="286"/>
    <n v="1.93"/>
    <n v="53.6"/>
    <x v="1"/>
  </r>
  <r>
    <d v="2026-02-16T00:00:00"/>
    <s v="Afloramiento 1 Sur"/>
    <s v="PROPIA"/>
    <n v="301.60000000000002"/>
    <n v="1.93"/>
    <n v="53.6"/>
    <x v="1"/>
  </r>
  <r>
    <d v="2025-04-04T00:00:00"/>
    <s v="Calizas &amp; Granitos"/>
    <s v="COMPRADA"/>
    <n v="208"/>
    <n v="1.9313500000000001"/>
    <n v="53.607473736868435"/>
    <x v="1"/>
  </r>
  <r>
    <d v="2025-09-05T00:00:00"/>
    <s v="Gustavo Quesada"/>
    <s v="COMPRADA"/>
    <n v="65.319999999999993"/>
    <n v="1.94"/>
    <n v="53.369223074358118"/>
    <x v="1"/>
  </r>
  <r>
    <d v="2025-02-10T00:00:00"/>
    <s v="Caribbean"/>
    <s v="COMPRADA"/>
    <n v="332.17"/>
    <n v="1.9420500000000001"/>
    <n v="53.323714285714281"/>
    <x v="1"/>
  </r>
  <r>
    <d v="2025-08-15T00:00:00"/>
    <s v="Gustavo Quesada"/>
    <s v="COMPRADA"/>
    <n v="67.72"/>
    <n v="1.95"/>
    <n v="52.886258236716991"/>
    <x v="1"/>
  </r>
  <r>
    <d v="2025-01-15T00:00:00"/>
    <s v="Malaga"/>
    <s v="COMPRADA"/>
    <n v="111.81"/>
    <n v="1.9500750000000002"/>
    <n v="53.462991470470875"/>
    <x v="1"/>
  </r>
  <r>
    <d v="2025-04-02T00:00:00"/>
    <s v="Carbopar"/>
    <s v="COMPRADA"/>
    <n v="144.63999999999999"/>
    <n v="1.95275"/>
    <n v="48.438057222973654"/>
    <x v="1"/>
  </r>
  <r>
    <d v="2025-05-12T00:00:00"/>
    <s v="Calizas &amp; Granitos"/>
    <s v="COMPRADA"/>
    <n v="170.46"/>
    <n v="1.9581000000000002"/>
    <n v="53.926318730761544"/>
    <x v="1"/>
  </r>
  <r>
    <d v="2025-09-22T00:00:00"/>
    <s v="Caribbean"/>
    <s v="COMPRADA"/>
    <n v="0"/>
    <n v="1.96"/>
    <n v="53.378118912179538"/>
    <x v="1"/>
  </r>
  <r>
    <d v="2025-10-27T00:00:00"/>
    <s v="Afloramiento 1"/>
    <s v="PROPIA"/>
    <n v="210.74"/>
    <n v="1.96"/>
    <n v="54"/>
    <x v="1"/>
  </r>
  <r>
    <d v="2025-12-02T00:00:00"/>
    <s v="Malaga"/>
    <s v="COMPRADA"/>
    <n v="72.88"/>
    <n v="1.96"/>
    <n v="52.8"/>
    <x v="1"/>
  </r>
  <r>
    <d v="2025-01-16T00:00:00"/>
    <s v="Gustavo Quesada"/>
    <s v="COMPRADA"/>
    <n v="68.36"/>
    <n v="1.9607750000000002"/>
    <n v="51.584006962834785"/>
    <x v="1"/>
  </r>
  <r>
    <d v="2025-06-14T00:00:00"/>
    <s v="Gustavo Quesada"/>
    <s v="COMPRADA"/>
    <n v="24.66"/>
    <n v="1.97"/>
    <n v="53.026361420329899"/>
    <x v="1"/>
  </r>
  <r>
    <d v="2025-08-08T00:00:00"/>
    <s v="Leonidas Rodriguez"/>
    <s v="COMPRADA"/>
    <n v="222.12"/>
    <n v="1.97"/>
    <n v="53.39800300050009"/>
    <x v="1"/>
  </r>
  <r>
    <d v="2025-09-03T00:00:00"/>
    <s v="Leonidas Rodriguez"/>
    <s v="COMPRADA"/>
    <n v="226.79"/>
    <n v="1.97"/>
    <n v="53.63281324684192"/>
    <x v="1"/>
  </r>
  <r>
    <d v="2025-09-08T00:00:00"/>
    <s v="Calizas &amp; Granitos"/>
    <s v="COMPRADA"/>
    <n v="33.1"/>
    <n v="1.97"/>
    <n v="53.795522512739112"/>
    <x v="1"/>
  </r>
  <r>
    <d v="2025-10-04T00:00:00"/>
    <s v="Gustavo Quesada"/>
    <s v="COMPRADA"/>
    <n v="22.06"/>
    <n v="1.97"/>
    <n v="53.409022360045704"/>
    <x v="1"/>
  </r>
  <r>
    <d v="2025-03-27T00:00:00"/>
    <s v="Gustavo Quesada"/>
    <s v="COMPRADA"/>
    <n v="61.68"/>
    <n v="1.9714750000000001"/>
    <n v="53.036143418508971"/>
    <x v="1"/>
  </r>
  <r>
    <d v="2025-06-06T00:00:00"/>
    <s v="Carbopar"/>
    <s v="COMPRADA"/>
    <n v="369.75"/>
    <n v="1.98"/>
    <n v="52.127901472064231"/>
    <x v="1"/>
  </r>
  <r>
    <d v="2025-10-08T00:00:00"/>
    <s v="Carbopar"/>
    <s v="COMPRADA"/>
    <n v="482.74"/>
    <n v="1.98"/>
    <n v="51.85"/>
    <x v="1"/>
  </r>
  <r>
    <d v="2025-04-21T00:00:00"/>
    <s v="Leonidas Rodriguez"/>
    <s v="COMPRADA"/>
    <n v="170.15"/>
    <n v="1.9928750000000002"/>
    <n v="53.455435912817435"/>
    <x v="1"/>
  </r>
  <r>
    <d v="2025-04-05T00:00:00"/>
    <s v="Gustavo Quesada"/>
    <s v="COMPRADA"/>
    <n v="63.4"/>
    <n v="1.9955500000000002"/>
    <n v="53.655332436102242"/>
    <x v="1"/>
  </r>
  <r>
    <d v="2025-09-25T00:00:00"/>
    <s v="Gustavo Quesada"/>
    <s v="COMPRADA"/>
    <n v="84.26"/>
    <n v="2"/>
    <n v="53.112609535584575"/>
    <x v="1"/>
  </r>
  <r>
    <d v="2025-10-28T00:00:00"/>
    <s v="Leonidas Rodriguez"/>
    <s v="COMPRADA"/>
    <n v="78.14"/>
    <n v="2"/>
    <n v="53.4"/>
    <x v="1"/>
  </r>
  <r>
    <d v="2025-12-02T00:00:00"/>
    <s v="Leonidas Rodriguez"/>
    <s v="COMPRADA"/>
    <n v="197.7"/>
    <n v="2"/>
    <n v="53.1"/>
    <x v="1"/>
  </r>
  <r>
    <d v="2025-12-13T00:00:00"/>
    <s v="Caribbean"/>
    <s v="COMPRADA"/>
    <n v="52.04"/>
    <n v="2"/>
    <n v="53.9"/>
    <x v="1"/>
  </r>
  <r>
    <d v="2025-12-18T00:00:00"/>
    <s v="Gustavo Quesada"/>
    <s v="COMPRADA"/>
    <n v="85.9"/>
    <n v="2"/>
    <n v="53.1"/>
    <x v="1"/>
  </r>
  <r>
    <d v="2025-04-01T00:00:00"/>
    <s v="Caribbean"/>
    <s v="COMPRADA"/>
    <n v="104.75"/>
    <n v="2.0009000000000001"/>
    <n v="53.254190352281825"/>
    <x v="1"/>
  </r>
  <r>
    <d v="2025-05-26T00:00:00"/>
    <s v="Caribbean"/>
    <s v="COMPRADA"/>
    <n v="262.3"/>
    <n v="2.0035750000000001"/>
    <n v="53.369355074257427"/>
    <x v="1"/>
  </r>
  <r>
    <d v="2025-04-22T00:00:00"/>
    <s v="Caribbean"/>
    <s v="COMPRADA"/>
    <n v="69.38"/>
    <n v="2.0062500000000001"/>
    <n v="53.506609523809516"/>
    <x v="1"/>
  </r>
  <r>
    <d v="2025-06-10T00:00:00"/>
    <s v="Caribbean"/>
    <s v="COMPRADA"/>
    <n v="81.739999999999995"/>
    <n v="2.0099999999999998"/>
    <n v="53.515557007513891"/>
    <x v="1"/>
  </r>
  <r>
    <d v="2025-10-14T00:00:00"/>
    <s v="Lisandro Rojas"/>
    <s v="COMPRADA"/>
    <n v="24.96"/>
    <n v="2.0099999999999998"/>
    <n v="49.801768604748723"/>
    <x v="1"/>
  </r>
  <r>
    <d v="2026-01-05T00:00:00"/>
    <s v="Afloramiento 1 Sur"/>
    <s v="PROPIA"/>
    <n v="347.04"/>
    <n v="2.0099999999999998"/>
    <n v="51.2"/>
    <x v="1"/>
  </r>
  <r>
    <d v="2025-01-17T00:00:00"/>
    <s v="Malaga"/>
    <s v="COMPRADA"/>
    <n v="140.87"/>
    <n v="2.01695"/>
    <n v="52.622044699523997"/>
    <x v="1"/>
  </r>
  <r>
    <d v="2025-03-07T00:00:00"/>
    <s v="Gustavo Quesada"/>
    <s v="COMPRADA"/>
    <n v="63.7"/>
    <n v="2.019625"/>
    <n v="53.320029129566777"/>
    <x v="1"/>
  </r>
  <r>
    <d v="2025-08-27T00:00:00"/>
    <s v="Caribbean"/>
    <s v="COMPRADA"/>
    <n v="68.930000000000007"/>
    <n v="2.02"/>
    <n v="53.630012893867359"/>
    <x v="1"/>
  </r>
  <r>
    <d v="2025-09-27T00:00:00"/>
    <s v="Gustavo Quesada"/>
    <s v="COMPRADA"/>
    <n v="65.06"/>
    <n v="2.02"/>
    <n v="53.656573904349266"/>
    <x v="1"/>
  </r>
  <r>
    <d v="2026-02-14T00:00:00"/>
    <s v="Caribbean"/>
    <s v="COMPRADA"/>
    <n v="328.83"/>
    <n v="2.02"/>
    <n v="53.7"/>
    <x v="1"/>
  </r>
  <r>
    <d v="2025-12-13T00:00:00"/>
    <s v="Carbopar"/>
    <s v="COMPRADA"/>
    <n v="111.22"/>
    <n v="2.0299999999999998"/>
    <n v="52.5"/>
    <x v="1"/>
  </r>
  <r>
    <d v="2026-01-17T00:00:00"/>
    <s v="Afloramiento 1 Sur"/>
    <s v="PROPIA"/>
    <n v="272.04000000000002"/>
    <n v="2.0299999999999998"/>
    <n v="54"/>
    <x v="1"/>
  </r>
  <r>
    <d v="2025-03-10T00:00:00"/>
    <s v="Caribbean"/>
    <s v="COMPRADA"/>
    <n v="375.51"/>
    <n v="2.0383500000000003"/>
    <n v="53.163417721518989"/>
    <x v="1"/>
  </r>
  <r>
    <d v="2025-03-13T00:00:00"/>
    <s v="Leonidas Rodriguez"/>
    <s v="COMPRADA"/>
    <n v="24.07"/>
    <n v="2.0410250000000003"/>
    <n v="53.460780921907798"/>
    <x v="1"/>
  </r>
  <r>
    <d v="2025-05-09T00:00:00"/>
    <s v="Caribbean"/>
    <s v="COMPRADA"/>
    <n v="105.81"/>
    <n v="2.0436999999999999"/>
    <n v="53.801482369393661"/>
    <x v="1"/>
  </r>
  <r>
    <d v="2025-05-13T00:00:00"/>
    <s v="Caribbean"/>
    <s v="COMPRADA"/>
    <n v="473.67"/>
    <n v="2.0436999999999999"/>
    <n v="53.516666204958341"/>
    <x v="1"/>
  </r>
  <r>
    <d v="2025-03-27T00:00:00"/>
    <s v="Caribbean"/>
    <s v="COMPRADA"/>
    <n v="345.89"/>
    <n v="2.0463750000000003"/>
    <n v="53.245481764292172"/>
    <x v="1"/>
  </r>
  <r>
    <d v="2025-08-09T00:00:00"/>
    <s v="Carbopar"/>
    <s v="COMPRADA"/>
    <n v="69.86"/>
    <n v="2.0499999999999998"/>
    <n v="52.388333333333335"/>
    <x v="1"/>
  </r>
  <r>
    <d v="2025-05-12T00:00:00"/>
    <s v="Malaga"/>
    <s v="COMPRADA"/>
    <n v="158.63999999999999"/>
    <n v="2.0570750000000002"/>
    <n v="53.808231861489197"/>
    <x v="1"/>
  </r>
  <r>
    <d v="2025-03-15T00:00:00"/>
    <s v="Caribbean"/>
    <s v="COMPRADA"/>
    <n v="610.95000000000005"/>
    <n v="2.0624250000000002"/>
    <n v="53.502603626942999"/>
    <x v="1"/>
  </r>
  <r>
    <d v="2025-07-17T00:00:00"/>
    <s v="Caliza Propia"/>
    <s v="PROPIA"/>
    <n v="235"/>
    <n v="2.0699999999999998"/>
    <n v="53.681166721909186"/>
    <x v="1"/>
  </r>
  <r>
    <d v="2025-09-17T00:00:00"/>
    <s v="Caribbean"/>
    <s v="COMPRADA"/>
    <n v="209.77"/>
    <n v="2.0699999999999998"/>
    <n v="53.595188458972643"/>
    <x v="1"/>
  </r>
  <r>
    <d v="2025-07-17T00:00:00"/>
    <s v="Caliza Propia"/>
    <s v="PROPIA"/>
    <n v="1165.963"/>
    <n v="2.0699999999999998"/>
    <n v="53.7"/>
    <x v="1"/>
  </r>
  <r>
    <d v="2026-01-08T00:00:00"/>
    <s v="Caribbean"/>
    <s v="COMPRADA"/>
    <n v="106.38"/>
    <n v="2.0811500000000001"/>
    <n v="53.37714127956292"/>
    <x v="1"/>
  </r>
  <r>
    <d v="2025-08-16T00:00:00"/>
    <s v="Gustavo Quesada"/>
    <s v="COMPRADA"/>
    <n v="91.18"/>
    <n v="2.09"/>
    <n v="53.325477764919818"/>
    <x v="1"/>
  </r>
  <r>
    <d v="2025-03-17T00:00:00"/>
    <s v="Leonidas Rodriguez"/>
    <s v="COMPRADA"/>
    <n v="100.07"/>
    <n v="2.09185"/>
    <n v="53.710009970787972"/>
    <x v="1"/>
  </r>
  <r>
    <d v="2025-09-13T00:00:00"/>
    <s v="Lisandro Rojas"/>
    <s v="COMPRADA"/>
    <n v="139.65"/>
    <n v="2.1"/>
    <n v="51.246167279411765"/>
    <x v="1"/>
  </r>
  <r>
    <d v="2025-10-01T00:00:00"/>
    <s v="Caribbean"/>
    <s v="COMPRADA"/>
    <n v="813"/>
    <n v="2.1"/>
    <n v="53.6"/>
    <x v="1"/>
  </r>
  <r>
    <d v="2025-10-15T00:00:00"/>
    <s v="Gustavo Quesada"/>
    <s v="COMPRADA"/>
    <n v="46.06"/>
    <n v="2.1"/>
    <n v="53.474789915966383"/>
    <x v="1"/>
  </r>
  <r>
    <d v="2025-11-29T00:00:00"/>
    <s v="Leonidas Rodriguez"/>
    <s v="COMPRADA"/>
    <n v="258.19"/>
    <n v="2.1"/>
    <n v="53.8"/>
    <x v="1"/>
  </r>
  <r>
    <d v="2025-12-04T00:00:00"/>
    <s v="Gustavo Quesada"/>
    <s v="COMPRADA"/>
    <n v="91.42"/>
    <n v="2.1"/>
    <n v="53"/>
    <x v="1"/>
  </r>
  <r>
    <d v="2026-02-14T00:00:00"/>
    <s v="Gustavo Quesada"/>
    <s v="COMPRADA"/>
    <n v="22.22"/>
    <n v="2.1"/>
    <n v="53.2"/>
    <x v="1"/>
  </r>
  <r>
    <d v="2025-02-19T00:00:00"/>
    <s v="Caribbean"/>
    <s v="COMPRADA"/>
    <n v="167.41"/>
    <n v="2.1025500000000004"/>
    <n v="52.941058953057748"/>
    <x v="1"/>
  </r>
  <r>
    <d v="2025-04-11T00:00:00"/>
    <s v="Leonidas Rodriguez"/>
    <s v="COMPRADA"/>
    <n v="169.28"/>
    <n v="2.1025500000000004"/>
    <n v="53.442791421165978"/>
    <x v="1"/>
  </r>
  <r>
    <d v="2025-03-18T00:00:00"/>
    <s v="Gustavo Quesada"/>
    <s v="COMPRADA"/>
    <n v="104.6"/>
    <n v="2.1078999999999999"/>
    <n v="53.442616675407052"/>
    <x v="1"/>
  </r>
  <r>
    <d v="2025-06-17T00:00:00"/>
    <s v="Leonidas Rodriguez"/>
    <s v="COMPRADA"/>
    <n v="97.93"/>
    <n v="2.11"/>
    <n v="53.439268530242522"/>
    <x v="1"/>
  </r>
  <r>
    <d v="2025-03-29T00:00:00"/>
    <s v="Leonidas Rodriguez"/>
    <s v="COMPRADA"/>
    <n v="51.19"/>
    <n v="2.1132500000000003"/>
    <n v="53.022245295720225"/>
    <x v="1"/>
  </r>
  <r>
    <d v="2025-07-10T00:00:00"/>
    <s v="Leonidas Rodriguez"/>
    <s v="COMPRADA"/>
    <n v="201.24"/>
    <n v="2.12"/>
    <n v="53.676371871435286"/>
    <x v="1"/>
  </r>
  <r>
    <d v="2026-01-24T00:00:00"/>
    <s v="Carbopar"/>
    <s v="COMPRADA"/>
    <n v="125.22199999999999"/>
    <n v="2.12"/>
    <n v="53.2"/>
    <x v="1"/>
  </r>
  <r>
    <d v="2025-01-13T00:00:00"/>
    <s v="Caribbean"/>
    <s v="COMPRADA"/>
    <n v="342.56"/>
    <n v="2.1212750000000002"/>
    <n v="53.353471709265172"/>
    <x v="1"/>
  </r>
  <r>
    <d v="2025-03-06T00:00:00"/>
    <s v="Caribbean"/>
    <s v="COMPRADA"/>
    <n v="346.81"/>
    <n v="2.1293000000000002"/>
    <n v="52.722293577981652"/>
    <x v="1"/>
  </r>
  <r>
    <d v="2025-07-16T00:00:00"/>
    <s v="Malaga"/>
    <s v="COMPRADA"/>
    <n v="33.85"/>
    <n v="2.13"/>
    <n v="52.540254011773243"/>
    <x v="1"/>
  </r>
  <r>
    <d v="2025-09-18T00:00:00"/>
    <s v="Caribbean"/>
    <s v="COMPRADA"/>
    <n v="173.14"/>
    <n v="2.13"/>
    <n v="53.404650156899336"/>
    <x v="1"/>
  </r>
  <r>
    <d v="2025-05-12T00:00:00"/>
    <s v="Caribbean"/>
    <s v="COMPRADA"/>
    <n v="396.56"/>
    <n v="2.1319750000000002"/>
    <n v="53.849733253222745"/>
    <x v="1"/>
  </r>
  <r>
    <d v="2025-05-29T00:00:00"/>
    <s v="Gustavo Quesada"/>
    <s v="COMPRADA"/>
    <n v="64.94"/>
    <n v="2.1346500000000002"/>
    <n v="53.73114006189477"/>
    <x v="1"/>
  </r>
  <r>
    <d v="2025-02-05T00:00:00"/>
    <s v="Caribbean"/>
    <s v="COMPRADA"/>
    <n v="395.32"/>
    <n v="2.14"/>
    <n v="53.025054284606433"/>
    <x v="1"/>
  </r>
  <r>
    <d v="2025-04-08T00:00:00"/>
    <s v="Gustavo Quesada"/>
    <s v="COMPRADA"/>
    <n v="65.78"/>
    <n v="2.1480250000000001"/>
    <n v="53.482914834066378"/>
    <x v="1"/>
  </r>
  <r>
    <d v="2025-04-08T00:00:00"/>
    <s v="Gustavo Quesada"/>
    <s v="COMPRADA"/>
    <n v="65.78"/>
    <n v="2.1480250000000001"/>
    <n v="53.482914834066378"/>
    <x v="1"/>
  </r>
  <r>
    <d v="2025-05-10T00:00:00"/>
    <s v="Caribbean"/>
    <s v="COMPRADA"/>
    <n v="485.89"/>
    <n v="2.1480250000000001"/>
    <n v="53.184776602564099"/>
    <x v="1"/>
  </r>
  <r>
    <d v="2025-06-11T00:00:00"/>
    <s v="Malaga"/>
    <s v="COMPRADA"/>
    <n v="33.4"/>
    <n v="2.15"/>
    <n v="52.83083050207626"/>
    <x v="1"/>
  </r>
  <r>
    <d v="2025-10-27T00:00:00"/>
    <s v="Leonidas Rodriguez"/>
    <s v="COMPRADA"/>
    <n v="210.74"/>
    <n v="2.15"/>
    <n v="53.932279620063319"/>
    <x v="1"/>
  </r>
  <r>
    <d v="2025-04-10T00:00:00"/>
    <s v="Caribbean"/>
    <s v="COMPRADA"/>
    <n v="459.47"/>
    <n v="2.1560500000000005"/>
    <n v="53.597517957463886"/>
    <x v="1"/>
  </r>
  <r>
    <d v="2025-08-13T00:00:00"/>
    <s v="Leonidas Rodriguez"/>
    <s v="COMPRADA"/>
    <n v="346.93"/>
    <n v="2.16"/>
    <n v="53.701885164288086"/>
    <x v="1"/>
  </r>
  <r>
    <d v="2025-08-13T00:00:00"/>
    <s v="Leonidas Rodriguez"/>
    <s v="COMPRADA"/>
    <n v="346.93"/>
    <n v="2.16"/>
    <n v="53.701885164288086"/>
    <x v="1"/>
  </r>
  <r>
    <d v="2025-04-09T00:00:00"/>
    <s v="Caribbean"/>
    <s v="COMPRADA"/>
    <n v="298.45"/>
    <n v="2.1694249999999999"/>
    <n v="53.69981634650135"/>
    <x v="1"/>
  </r>
  <r>
    <d v="2025-01-20T00:00:00"/>
    <s v="Caribbean"/>
    <s v="COMPRADA"/>
    <n v="163.68"/>
    <n v="2.1774500000000003"/>
    <n v="52.611175888046297"/>
    <x v="1"/>
  </r>
  <r>
    <d v="2025-05-29T00:00:00"/>
    <s v="Lisandro Rojas"/>
    <s v="COMPRADA"/>
    <n v="143.85"/>
    <n v="2.1801250000000003"/>
    <n v="44.098827099084751"/>
    <x v="1"/>
  </r>
  <r>
    <d v="2025-06-05T00:00:00"/>
    <s v="Leonidas Rodriguez"/>
    <s v="COMPRADA"/>
    <n v="96.13"/>
    <n v="2.19"/>
    <n v="53.844243080253598"/>
    <x v="1"/>
  </r>
  <r>
    <d v="2025-09-18T00:00:00"/>
    <s v="Leonidas Rodriguez"/>
    <s v="COMPRADA"/>
    <n v="179.16"/>
    <n v="2.19"/>
    <n v="53.378219696969694"/>
    <x v="1"/>
  </r>
  <r>
    <d v="2026-02-10T00:00:00"/>
    <s v="Caribbean"/>
    <s v="COMPRADA"/>
    <n v="187.3"/>
    <n v="2.19"/>
    <n v="53.6"/>
    <x v="1"/>
  </r>
  <r>
    <d v="2025-05-03T00:00:00"/>
    <s v="Caliza Propia"/>
    <s v="PROPIA"/>
    <n v="132.77500000000001"/>
    <n v="2.1934999999999998"/>
    <n v="53.488999999999997"/>
    <x v="1"/>
  </r>
  <r>
    <d v="2025-01-25T00:00:00"/>
    <s v="Caribbean"/>
    <s v="COMPRADA"/>
    <n v="547.77"/>
    <n v="2.1961750000000002"/>
    <n v="53.412595801660331"/>
    <x v="1"/>
  </r>
  <r>
    <d v="2025-09-03T00:00:00"/>
    <s v="Caribbean"/>
    <s v="COMPRADA"/>
    <n v="174.17"/>
    <n v="2.2000000000000002"/>
    <n v="53.664322799097064"/>
    <x v="1"/>
  </r>
  <r>
    <d v="2025-10-23T00:00:00"/>
    <s v="Gustavo Quesada"/>
    <s v="COMPRADA"/>
    <n v="69.28"/>
    <n v="2.2000000000000002"/>
    <n v="53.7"/>
    <x v="1"/>
  </r>
  <r>
    <d v="2025-11-11T00:00:00"/>
    <s v="Gustavo Quesada"/>
    <s v="COMPRADA"/>
    <n v="94.22"/>
    <n v="2.2000000000000002"/>
    <n v="53.7"/>
    <x v="1"/>
  </r>
  <r>
    <d v="2025-11-25T00:00:00"/>
    <s v="Afloramiento 1 Sur"/>
    <s v="PROPIA"/>
    <n v="293.32"/>
    <n v="2.2000000000000002"/>
    <n v="52.5"/>
    <x v="1"/>
  </r>
  <r>
    <d v="2025-11-28T00:00:00"/>
    <m/>
    <s v="NA"/>
    <n v="193.2"/>
    <n v="2.2000000000000002"/>
    <n v="52.1"/>
    <x v="1"/>
  </r>
  <r>
    <d v="2025-11-27T00:00:00"/>
    <s v="Afloramiento 1 Sur"/>
    <s v="PROPIA"/>
    <n v="193.02"/>
    <n v="2.2000000000000002"/>
    <n v="52.1"/>
    <x v="1"/>
  </r>
  <r>
    <d v="2025-12-06T00:00:00"/>
    <s v="Gustavo Quesada"/>
    <s v="COMPRADA"/>
    <n v="23.24"/>
    <n v="2.2000000000000002"/>
    <n v="53.1"/>
    <x v="1"/>
  </r>
  <r>
    <d v="2026-01-23T00:00:00"/>
    <s v="Afloramiento 1 Sur"/>
    <s v="PROPIA"/>
    <n v="196.14"/>
    <n v="2.2000000000000002"/>
    <n v="52.8"/>
    <x v="1"/>
  </r>
  <r>
    <d v="2026-02-07T00:00:00"/>
    <s v="Gustavo Quesada"/>
    <s v="COMPRADA"/>
    <n v="47.82"/>
    <n v="2.2000000000000002"/>
    <n v="52.9"/>
    <x v="1"/>
  </r>
  <r>
    <d v="2025-01-15T00:00:00"/>
    <s v="Gustavo Quesada"/>
    <s v="COMPRADA"/>
    <n v="69.94"/>
    <n v="2.2015250000000002"/>
    <n v="53.066238889443717"/>
    <x v="1"/>
  </r>
  <r>
    <d v="2025-02-07T00:00:00"/>
    <s v="Caribbean"/>
    <s v="COMPRADA"/>
    <n v="266.3"/>
    <n v="2.2015250000000002"/>
    <n v="53.213937282229956"/>
    <x v="1"/>
  </r>
  <r>
    <d v="2025-02-07T00:00:00"/>
    <s v="Caribbean"/>
    <s v="COMPRADA"/>
    <n v="266.3"/>
    <n v="2.2015250000000002"/>
    <n v="53.213937282229956"/>
    <x v="1"/>
  </r>
  <r>
    <d v="2025-06-24T00:00:00"/>
    <s v="Caliza Propia"/>
    <s v="PROPIA"/>
    <n v="522.03899999999999"/>
    <n v="2.21"/>
    <n v="53.464798486720191"/>
    <x v="1"/>
  </r>
  <r>
    <d v="2025-03-06T00:00:00"/>
    <s v="Gustavo Quesada"/>
    <s v="COMPRADA"/>
    <n v="41.32"/>
    <n v="2.2149000000000001"/>
    <n v="53.43835053612586"/>
    <x v="1"/>
  </r>
  <r>
    <d v="2025-10-29T00:00:00"/>
    <s v="Afloramiento 1 Sur"/>
    <s v="PROPIA"/>
    <n v="304.83999999999997"/>
    <n v="2.2200000000000002"/>
    <n v="51.9"/>
    <x v="1"/>
  </r>
  <r>
    <d v="2025-04-14T00:00:00"/>
    <s v="Caribbean"/>
    <s v="COMPRADA"/>
    <n v="349.18"/>
    <n v="2.2202500000000005"/>
    <n v="53.105654467502745"/>
    <x v="1"/>
  </r>
  <r>
    <d v="2025-04-25T00:00:00"/>
    <s v="Caribbean"/>
    <s v="COMPRADA"/>
    <n v="70.260000000000005"/>
    <n v="2.2202500000000005"/>
    <n v="53.752664840847473"/>
    <x v="1"/>
  </r>
  <r>
    <d v="2025-04-28T00:00:00"/>
    <s v="Caribbean"/>
    <s v="COMPRADA"/>
    <n v="375.71"/>
    <n v="2.2229250000000005"/>
    <n v="53.471959277981924"/>
    <x v="1"/>
  </r>
  <r>
    <d v="2025-10-10T00:00:00"/>
    <s v="Afloramiento 1"/>
    <s v="PROPIA"/>
    <n v="143.74"/>
    <n v="2.23"/>
    <n v="53.207333214888514"/>
    <x v="1"/>
  </r>
  <r>
    <d v="2025-11-28T00:00:00"/>
    <s v="Gustavo Quesada"/>
    <s v="COMPRADA"/>
    <n v="71.239999999999995"/>
    <n v="2.23"/>
    <n v="53.3"/>
    <x v="1"/>
  </r>
  <r>
    <d v="2025-03-13T00:00:00"/>
    <s v="Carbopar"/>
    <s v="COMPRADA"/>
    <n v="616.08000000000004"/>
    <n v="2.233625"/>
    <n v="51.549092746764977"/>
    <x v="1"/>
  </r>
  <r>
    <d v="2025-09-13T00:00:00"/>
    <s v="Caribbean"/>
    <s v="COMPRADA"/>
    <n v="280.13"/>
    <n v="2.25"/>
    <n v="53.695548852019449"/>
    <x v="1"/>
  </r>
  <r>
    <d v="2025-05-30T00:00:00"/>
    <s v="Caliza Propia"/>
    <s v="PROPIA"/>
    <n v="218.26"/>
    <n v="2.2657250000000002"/>
    <n v="53.215527034101108"/>
    <x v="1"/>
  </r>
  <r>
    <d v="2025-02-08T00:00:00"/>
    <s v="Caribbean"/>
    <s v="COMPRADA"/>
    <n v="295.2"/>
    <n v="2.2684000000000002"/>
    <n v="52.273269198564599"/>
    <x v="1"/>
  </r>
  <r>
    <d v="2025-02-08T00:00:00"/>
    <s v="Caribbean"/>
    <s v="COMPRADA"/>
    <n v="295.2"/>
    <n v="2.2684000000000002"/>
    <n v="52.273269198564599"/>
    <x v="1"/>
  </r>
  <r>
    <d v="2025-11-20T00:00:00"/>
    <s v="Gustavo Quesada"/>
    <s v="COMPRADA"/>
    <n v="92.1"/>
    <n v="2.27"/>
    <n v="52.089996829674249"/>
    <x v="1"/>
  </r>
  <r>
    <d v="2025-02-04T00:00:00"/>
    <s v="Caribbean"/>
    <s v="COMPRADA"/>
    <n v="296.27"/>
    <n v="2.2737500000000002"/>
    <n v="53.498575000000002"/>
    <x v="1"/>
  </r>
  <r>
    <d v="2025-03-13T00:00:00"/>
    <s v="Caribbean"/>
    <s v="COMPRADA"/>
    <n v="526.69000000000005"/>
    <n v="2.2764250000000001"/>
    <n v="53.157458762371284"/>
    <x v="1"/>
  </r>
  <r>
    <d v="2025-05-30T00:00:00"/>
    <s v="Caribbean"/>
    <s v="COMPRADA"/>
    <n v="617.47"/>
    <n v="2.2799999999999998"/>
    <n v="53.484436278603646"/>
    <x v="1"/>
  </r>
  <r>
    <d v="2025-02-20T00:00:00"/>
    <s v="Caribbean"/>
    <s v="COMPRADA"/>
    <n v="370.05"/>
    <n v="2.2844500000000001"/>
    <n v="51.845550995896303"/>
    <x v="1"/>
  </r>
  <r>
    <d v="2025-03-01T00:00:00"/>
    <s v="Caribbean"/>
    <s v="COMPRADA"/>
    <n v="0"/>
    <n v="2.2844500000000001"/>
    <n v="53.281131962467555"/>
    <x v="1"/>
  </r>
  <r>
    <d v="2025-02-25T00:00:00"/>
    <s v="Carbopar"/>
    <s v="COMPRADA"/>
    <n v="178.04"/>
    <n v="2.2844500000000001"/>
    <n v="53.281131962467555"/>
    <x v="1"/>
  </r>
  <r>
    <d v="2025-02-26T00:00:00"/>
    <s v="Carbopar"/>
    <s v="COMPRADA"/>
    <n v="388.24"/>
    <n v="2.2844500000000001"/>
    <n v="53.281131962467555"/>
    <x v="1"/>
  </r>
  <r>
    <d v="2025-03-01T00:00:00"/>
    <s v="Caribbean"/>
    <s v="COMPRADA"/>
    <n v="271.83999999999997"/>
    <n v="2.2844500000000001"/>
    <n v="53.281131962467555"/>
    <x v="1"/>
  </r>
  <r>
    <d v="2025-02-01T00:00:00"/>
    <s v="Caribbean"/>
    <s v="COMPRADA"/>
    <n v="347.14"/>
    <n v="2.2871250000000005"/>
    <n v="52.874978938813101"/>
    <x v="1"/>
  </r>
  <r>
    <d v="2025-02-15T00:00:00"/>
    <s v="Caribbean"/>
    <s v="COMPRADA"/>
    <n v="251.09"/>
    <n v="2.2871250000000005"/>
    <n v="52.566932114882512"/>
    <x v="1"/>
  </r>
  <r>
    <d v="2025-04-26T00:00:00"/>
    <s v="Gustavo Quesada"/>
    <s v="COMPRADA"/>
    <n v="44.66"/>
    <n v="2.2871250000000005"/>
    <n v="53.516293129651977"/>
    <x v="1"/>
  </r>
  <r>
    <d v="2025-11-28T00:00:00"/>
    <s v="Leonidas Rodriguez"/>
    <s v="COMPRADA"/>
    <n v="149.74"/>
    <n v="2.2999999999999998"/>
    <n v="52.5"/>
    <x v="1"/>
  </r>
  <r>
    <d v="2026-01-21T00:00:00"/>
    <s v="Carbopar"/>
    <s v="COMPRADA"/>
    <n v="159.26"/>
    <n v="2.2999999999999998"/>
    <n v="52.8"/>
    <x v="1"/>
  </r>
  <r>
    <d v="2025-03-29T00:00:00"/>
    <s v="Caribbean"/>
    <s v="COMPRADA"/>
    <n v="206.57"/>
    <n v="2.303175"/>
    <n v="51.573381373620904"/>
    <x v="1"/>
  </r>
  <r>
    <d v="2025-03-11T00:00:00"/>
    <s v="Caribbean"/>
    <s v="COMPRADA"/>
    <n v="172.2"/>
    <n v="2.30585"/>
    <n v="52.726960460834079"/>
    <x v="1"/>
  </r>
  <r>
    <d v="2025-04-30T00:00:00"/>
    <s v="Caribbean"/>
    <s v="COMPRADA"/>
    <n v="241.91"/>
    <n v="2.30585"/>
    <n v="53.719261369315348"/>
    <x v="1"/>
  </r>
  <r>
    <d v="2025-01-30T00:00:00"/>
    <s v="Caribbean"/>
    <s v="COMPRADA"/>
    <n v="614.82000000000005"/>
    <n v="2.3085250000000004"/>
    <n v="53.446621892803599"/>
    <x v="1"/>
  </r>
  <r>
    <d v="2025-04-07T00:00:00"/>
    <s v="Caribbean"/>
    <s v="COMPRADA"/>
    <n v="541.33000000000004"/>
    <n v="2.3138750000000003"/>
    <n v="53.401245377311341"/>
    <x v="1"/>
  </r>
  <r>
    <d v="2025-02-21T00:00:00"/>
    <s v="Caribbean"/>
    <s v="COMPRADA"/>
    <n v="237.93"/>
    <n v="2.3192250000000003"/>
    <n v="53.051048828734253"/>
    <x v="1"/>
  </r>
  <r>
    <d v="2025-03-08T00:00:00"/>
    <s v="Caribbean"/>
    <s v="COMPRADA"/>
    <n v="188.48"/>
    <n v="2.3218999999999999"/>
    <n v="52.68369451510334"/>
    <x v="1"/>
  </r>
  <r>
    <d v="2026-01-20T00:00:00"/>
    <s v="Caribbean"/>
    <s v="COMPRADA"/>
    <n v="110.88"/>
    <n v="2.3218999999999999"/>
    <n v="53.284574824670955"/>
    <x v="1"/>
  </r>
  <r>
    <d v="2025-06-04T00:00:00"/>
    <s v="Leonidas Rodriguez"/>
    <s v="COMPRADA"/>
    <n v="195.81"/>
    <n v="2.33"/>
    <n v="53.316700561541964"/>
    <x v="1"/>
  </r>
  <r>
    <d v="2025-08-28T00:00:00"/>
    <s v="Carbopar"/>
    <s v="COMPRADA"/>
    <n v="294.42"/>
    <n v="2.33"/>
    <n v="51.909337936252726"/>
    <x v="1"/>
  </r>
  <r>
    <d v="2025-05-10T00:00:00"/>
    <s v="Gustavo Quesada"/>
    <s v="COMPRADA"/>
    <n v="67.16"/>
    <n v="2.3379500000000002"/>
    <n v="52.540456651051528"/>
    <x v="1"/>
  </r>
  <r>
    <d v="2025-05-10T00:00:00"/>
    <s v="Caliza Propia"/>
    <s v="PROPIA"/>
    <n v="156.14099999999999"/>
    <n v="2.3379500000000002"/>
    <n v="52.868927465855847"/>
    <x v="1"/>
  </r>
  <r>
    <d v="2025-09-26T00:00:00"/>
    <s v="Caliza Propia"/>
    <s v="PROPIA"/>
    <n v="1066.7439999999999"/>
    <n v="2.34"/>
    <n v="52.4"/>
    <x v="1"/>
  </r>
  <r>
    <d v="2025-04-07T00:00:00"/>
    <s v="Gustavo Quesada"/>
    <s v="COMPRADA"/>
    <n v="130.02000000000001"/>
    <n v="2.3406250000000002"/>
    <n v="53.521167809600641"/>
    <x v="1"/>
  </r>
  <r>
    <d v="2025-04-07T00:00:00"/>
    <s v="Gustavo Quesada"/>
    <s v="COMPRADA"/>
    <n v="130.02000000000001"/>
    <n v="2.3406250000000002"/>
    <n v="53.521167809600641"/>
    <x v="1"/>
  </r>
  <r>
    <d v="2025-05-09T00:00:00"/>
    <s v="Gustavo Quesada"/>
    <s v="COMPRADA"/>
    <n v="67.16"/>
    <n v="2.3406250000000002"/>
    <n v="53.148328220551377"/>
    <x v="1"/>
  </r>
  <r>
    <d v="2025-04-07T00:00:00"/>
    <s v="Leonidas Rodriguez"/>
    <s v="COMPRADA"/>
    <n v="47.33"/>
    <n v="2.3540000000000005"/>
    <n v="53.11716447051684"/>
    <x v="1"/>
  </r>
  <r>
    <d v="2025-05-08T00:00:00"/>
    <s v="Caribbean"/>
    <s v="COMPRADA"/>
    <n v="367.86"/>
    <n v="2.3647"/>
    <n v="53.164302073775417"/>
    <x v="1"/>
  </r>
  <r>
    <d v="2025-04-09T00:00:00"/>
    <s v="Calizas &amp; Granitos"/>
    <s v="COMPRADA"/>
    <n v="170.94"/>
    <n v="2.37005"/>
    <n v="52.997317317317311"/>
    <x v="1"/>
  </r>
  <r>
    <d v="2025-04-09T00:00:00"/>
    <s v="Calizas &amp; Granitos"/>
    <s v="COMPRADA"/>
    <n v="170.94"/>
    <n v="2.37005"/>
    <n v="52.997317317317311"/>
    <x v="1"/>
  </r>
  <r>
    <d v="2026-01-16T00:00:00"/>
    <s v="Caribbean"/>
    <s v="COMPRADA"/>
    <n v="30.14"/>
    <n v="2.37005"/>
    <n v="53.555492861998637"/>
    <x v="1"/>
  </r>
  <r>
    <d v="2025-02-25T00:00:00"/>
    <s v="Caribbean"/>
    <s v="COMPRADA"/>
    <n v="446.61"/>
    <n v="2.3780750000000004"/>
    <n v="52.92755389221557"/>
    <x v="1"/>
  </r>
  <r>
    <d v="2025-02-26T00:00:00"/>
    <s v="Caribbean"/>
    <s v="COMPRADA"/>
    <n v="348.17"/>
    <n v="2.3780750000000004"/>
    <n v="52.92755389221557"/>
    <x v="1"/>
  </r>
  <r>
    <d v="2025-02-27T00:00:00"/>
    <s v="Caribbean"/>
    <s v="COMPRADA"/>
    <n v="527.48"/>
    <n v="2.3780750000000004"/>
    <n v="52.92755389221557"/>
    <x v="1"/>
  </r>
  <r>
    <d v="2025-03-28T00:00:00"/>
    <s v="Leonidas Rodriguez"/>
    <s v="COMPRADA"/>
    <n v="24.41"/>
    <n v="2.3780750000000004"/>
    <n v="52.615537782760335"/>
    <x v="1"/>
  </r>
  <r>
    <d v="2025-06-28T00:00:00"/>
    <s v="Gustavo Quesada"/>
    <s v="COMPRADA"/>
    <n v="92.98"/>
    <n v="2.3780750000000004"/>
    <n v="52.364773980154354"/>
    <x v="1"/>
  </r>
  <r>
    <d v="2025-06-04T00:00:00"/>
    <s v="Caribbean"/>
    <s v="COMPRADA"/>
    <n v="240.32"/>
    <n v="2.38"/>
    <n v="53.099235836627145"/>
    <x v="1"/>
  </r>
  <r>
    <d v="2025-05-28T00:00:00"/>
    <s v="Caribbean"/>
    <s v="COMPRADA"/>
    <n v="717.78"/>
    <n v="2.3887749999999999"/>
    <n v="53.162182259716253"/>
    <x v="1"/>
  </r>
  <r>
    <d v="2025-07-22T00:00:00"/>
    <s v="Carbopar"/>
    <s v="COMPRADA"/>
    <n v="319.01"/>
    <n v="2.39"/>
    <n v="52.160010004168399"/>
    <x v="1"/>
  </r>
  <r>
    <d v="2025-05-22T00:00:00"/>
    <s v="Leonidas Rodriguez"/>
    <s v="COMPRADA"/>
    <n v="145.72"/>
    <n v="2.3914499999999999"/>
    <n v="52.977592322464496"/>
    <x v="1"/>
  </r>
  <r>
    <d v="2025-05-15T00:00:00"/>
    <s v="Gustavo Quesada"/>
    <s v="COMPRADA"/>
    <n v="44.06"/>
    <n v="2.3968000000000003"/>
    <n v="50.482820424869431"/>
    <x v="1"/>
  </r>
  <r>
    <d v="2025-09-11T00:00:00"/>
    <s v="Leonidas Rodriguez"/>
    <s v="COMPRADA"/>
    <n v="73.760000000000005"/>
    <n v="2.4"/>
    <n v="52.931287128712874"/>
    <x v="1"/>
  </r>
  <r>
    <d v="2025-05-06T00:00:00"/>
    <s v="Caliza Propia"/>
    <s v="PROPIA"/>
    <n v="143.50299999999999"/>
    <n v="2.4"/>
    <n v="53"/>
    <x v="1"/>
  </r>
  <r>
    <d v="2025-05-07T00:00:00"/>
    <s v="Caliza Propia"/>
    <s v="PROPIA"/>
    <n v="269.76600000000002"/>
    <n v="2.4"/>
    <n v="53"/>
    <x v="1"/>
  </r>
  <r>
    <d v="2025-05-08T00:00:00"/>
    <s v="Caliza Propia"/>
    <s v="PROPIA"/>
    <n v="234.94399999999999"/>
    <n v="2.4"/>
    <n v="53"/>
    <x v="1"/>
  </r>
  <r>
    <d v="2025-05-09T00:00:00"/>
    <s v="Caliza Propia"/>
    <s v="PROPIA"/>
    <n v="222.05099999999999"/>
    <n v="2.4"/>
    <n v="53"/>
    <x v="1"/>
  </r>
  <r>
    <d v="2025-09-25T00:00:00"/>
    <s v="Leonidas Rodriguez"/>
    <s v="COMPRADA"/>
    <n v="151.76"/>
    <n v="2.4"/>
    <n v="52.5"/>
    <x v="1"/>
  </r>
  <r>
    <d v="2025-12-06T00:00:00"/>
    <s v="Caribbean"/>
    <s v="COMPRADA"/>
    <n v="258.2"/>
    <n v="2.4"/>
    <n v="54.1"/>
    <x v="1"/>
  </r>
  <r>
    <d v="2025-03-03T00:00:00"/>
    <s v="Carbopar"/>
    <s v="COMPRADA"/>
    <n v="171.35333333333335"/>
    <n v="2.4021500000000002"/>
    <n v="53.087507840681369"/>
    <x v="1"/>
  </r>
  <r>
    <d v="2025-10-06T00:00:00"/>
    <s v="Lisandro Rojas"/>
    <s v="COMPRADA"/>
    <n v="76.36"/>
    <n v="2.41"/>
    <n v="53.414987971130707"/>
    <x v="1"/>
  </r>
  <r>
    <d v="2025-02-06T00:00:00"/>
    <s v="Malaga"/>
    <s v="COMPRADA"/>
    <n v="139.63"/>
    <n v="2.4128500000000002"/>
    <n v="52.813708679359934"/>
    <x v="1"/>
  </r>
  <r>
    <d v="2025-05-19T00:00:00"/>
    <s v="Caribbean"/>
    <s v="COMPRADA"/>
    <n v="82.54"/>
    <n v="2.4128500000000002"/>
    <n v="53.419773819055244"/>
    <x v="1"/>
  </r>
  <r>
    <d v="2025-09-22T00:00:00"/>
    <s v="Gustavo Quesada"/>
    <s v="COMPRADA"/>
    <n v="43.08"/>
    <n v="2.42"/>
    <n v="52.687533632287"/>
    <x v="1"/>
  </r>
  <r>
    <d v="2025-01-27T00:00:00"/>
    <s v="Caribbean"/>
    <s v="COMPRADA"/>
    <n v="339.07"/>
    <n v="2.4235500000000001"/>
    <n v="53.291775000000001"/>
    <x v="1"/>
  </r>
  <r>
    <d v="2025-05-03T00:00:00"/>
    <s v="Caribbean"/>
    <s v="COMPRADA"/>
    <n v="394.57"/>
    <n v="2.4235500000000001"/>
    <n v="53.02664658909309"/>
    <x v="1"/>
  </r>
  <r>
    <d v="2025-09-19T00:00:00"/>
    <s v="Leonidas Rodriguez"/>
    <s v="COMPRADA"/>
    <n v="101.75"/>
    <n v="2.4300000000000002"/>
    <n v="53.174499612102402"/>
    <x v="2"/>
  </r>
  <r>
    <d v="2025-01-10T00:00:00"/>
    <s v="Malaga"/>
    <s v="COMPRADA"/>
    <n v="32.99"/>
    <n v="2.43425"/>
    <n v="52.39142212300991"/>
    <x v="2"/>
  </r>
  <r>
    <d v="2025-01-11T00:00:00"/>
    <s v="Caribbean"/>
    <s v="COMPRADA"/>
    <n v="335.36"/>
    <n v="2.4396"/>
    <n v="53.232114618746962"/>
    <x v="2"/>
  </r>
  <r>
    <d v="2025-06-07T00:00:00"/>
    <s v="Caribbean"/>
    <s v="COMPRADA"/>
    <n v="25.4"/>
    <n v="2.44"/>
    <n v="51.74842232202262"/>
    <x v="2"/>
  </r>
  <r>
    <d v="2025-09-12T00:00:00"/>
    <s v="Caribbean"/>
    <s v="COMPRADA"/>
    <n v="209.23"/>
    <n v="2.44"/>
    <n v="53.07240535818287"/>
    <x v="2"/>
  </r>
  <r>
    <d v="2026-01-28T00:00:00"/>
    <s v="Afloramiento 1 Sur"/>
    <s v="PROPIA"/>
    <n v="332.2"/>
    <n v="2.44"/>
    <n v="52.4"/>
    <x v="2"/>
  </r>
  <r>
    <d v="2025-01-31T00:00:00"/>
    <s v="Caribbean"/>
    <s v="COMPRADA"/>
    <n v="905.68"/>
    <n v="2.4422750000000004"/>
    <n v="53.375025565633408"/>
    <x v="2"/>
  </r>
  <r>
    <d v="2025-02-01T00:00:00"/>
    <s v="Caribbean"/>
    <s v="COMPRADA"/>
    <n v="137.19"/>
    <n v="2.4422750000000004"/>
    <n v="53.375025565633408"/>
    <x v="2"/>
  </r>
  <r>
    <d v="2025-06-09T00:00:00"/>
    <s v="Carbopar"/>
    <s v="COMPRADA"/>
    <n v="332.06"/>
    <n v="2.4500000000000002"/>
    <n v="52.74923729518423"/>
    <x v="2"/>
  </r>
  <r>
    <d v="2025-08-12T00:00:00"/>
    <s v="Leonidas Rodriguez"/>
    <s v="COMPRADA"/>
    <n v="218.95"/>
    <n v="2.4500000000000002"/>
    <n v="52.855878626208735"/>
    <x v="2"/>
  </r>
  <r>
    <d v="2025-09-17T00:00:00"/>
    <s v="Leonidas Rodriguez"/>
    <s v="COMPRADA"/>
    <n v="151.5"/>
    <n v="2.46"/>
    <n v="53.396123880958143"/>
    <x v="2"/>
  </r>
  <r>
    <d v="2025-10-03T00:00:00"/>
    <s v="Carbopar"/>
    <s v="COMPRADA"/>
    <n v="191.29"/>
    <n v="2.46"/>
    <n v="50.518567745155117"/>
    <x v="2"/>
  </r>
  <r>
    <d v="2025-05-05T00:00:00"/>
    <s v="Caliza Propia"/>
    <s v="PROPIA"/>
    <n v="271.113"/>
    <n v="2.4636750000000003"/>
    <n v="53.042758229665075"/>
    <x v="2"/>
  </r>
  <r>
    <d v="2025-05-19T00:00:00"/>
    <s v="Caliza Propia"/>
    <s v="PROPIA"/>
    <n v="155.34"/>
    <n v="2.4636750000000003"/>
    <n v="53.523927522797877"/>
    <x v="2"/>
  </r>
  <r>
    <d v="2025-02-03T00:00:00"/>
    <s v="Caribbean"/>
    <s v="COMPRADA"/>
    <n v="490.27"/>
    <n v="2.4850749999999997"/>
    <n v="52.858330744526647"/>
    <x v="2"/>
  </r>
  <r>
    <d v="2025-09-04T00:00:00"/>
    <s v="Caribbean"/>
    <s v="COMPRADA"/>
    <n v="111.59"/>
    <n v="2.4900000000000002"/>
    <n v="53.168836801203312"/>
    <x v="2"/>
  </r>
  <r>
    <d v="2025-12-03T00:00:00"/>
    <s v="Caribbean"/>
    <s v="COMPRADA"/>
    <n v="232.44"/>
    <n v="2.4900000000000002"/>
    <n v="52.6"/>
    <x v="2"/>
  </r>
  <r>
    <d v="2025-04-15T00:00:00"/>
    <s v="Caribbean"/>
    <s v="COMPRADA"/>
    <n v="238.69"/>
    <n v="2.4984500000000001"/>
    <n v="53.150148099538427"/>
    <x v="2"/>
  </r>
  <r>
    <d v="2025-02-04T00:00:00"/>
    <s v="Carbopar"/>
    <s v="COMPRADA"/>
    <n v="303.42"/>
    <n v="2.5"/>
    <n v="54.084384787542497"/>
    <x v="2"/>
  </r>
  <r>
    <d v="2025-08-11T00:00:00"/>
    <s v="Leonidas Rodriguez"/>
    <s v="COMPRADA"/>
    <n v="223.17"/>
    <n v="2.5"/>
    <n v="53.278666888851859"/>
    <x v="2"/>
  </r>
  <r>
    <d v="2025-08-28T00:00:00"/>
    <s v="Malaga"/>
    <s v="COMPRADA"/>
    <n v="106.64"/>
    <n v="2.5"/>
    <n v="52.753983029698027"/>
    <x v="2"/>
  </r>
  <r>
    <d v="2025-09-30T00:00:00"/>
    <s v="Gustavo Quesada"/>
    <s v="COMPRADA"/>
    <n v="90.98"/>
    <n v="2.5"/>
    <n v="52.3"/>
    <x v="2"/>
  </r>
  <r>
    <d v="2025-10-23T00:00:00"/>
    <s v="Leonidas Rodriguez"/>
    <s v="COMPRADA"/>
    <n v="153.31"/>
    <n v="2.5"/>
    <n v="53.2"/>
    <x v="2"/>
  </r>
  <r>
    <d v="2025-11-26T00:00:00"/>
    <s v="Gustavo Quesada"/>
    <s v="COMPRADA"/>
    <n v="90.28"/>
    <n v="2.5"/>
    <n v="51.9"/>
    <x v="2"/>
  </r>
  <r>
    <d v="2026-02-10T00:00:00"/>
    <s v="Gustavo Quesada"/>
    <s v="COMPRADA"/>
    <n v="72.84"/>
    <n v="2.5"/>
    <n v="52.8"/>
    <x v="2"/>
  </r>
  <r>
    <d v="2025-05-24T00:00:00"/>
    <s v="Leonidas Rodriguez"/>
    <s v="COMPRADA"/>
    <n v="97.72"/>
    <n v="2.501125"/>
    <n v="51.232135268437908"/>
    <x v="2"/>
  </r>
  <r>
    <d v="2025-03-14T00:00:00"/>
    <s v="Caribbean"/>
    <s v="COMPRADA"/>
    <n v="195.25"/>
    <n v="2.5091500000000004"/>
    <n v="52.540833029124279"/>
    <x v="2"/>
  </r>
  <r>
    <d v="2025-03-29T00:00:00"/>
    <s v="Malaga"/>
    <s v="COMPRADA"/>
    <n v="137.12"/>
    <n v="2.5091500000000004"/>
    <n v="51.905215503712618"/>
    <x v="2"/>
  </r>
  <r>
    <d v="2025-12-02T00:00:00"/>
    <s v="Afloramiento 1 "/>
    <s v="NA"/>
    <n v="65"/>
    <n v="2.5099999999999998"/>
    <n v="52.8"/>
    <x v="2"/>
  </r>
  <r>
    <d v="2025-12-23T00:00:00"/>
    <s v="Carbopar"/>
    <s v="COMPRADA"/>
    <n v="279.17"/>
    <n v="2.5099999999999998"/>
    <n v="51.45751608961303"/>
    <x v="2"/>
  </r>
  <r>
    <d v="2025-03-03T00:00:00"/>
    <s v="Gustavo Quesada"/>
    <s v="COMPRADA"/>
    <n v="29.428000000000001"/>
    <n v="2.5145000000000004"/>
    <n v="53.22151169643746"/>
    <x v="2"/>
  </r>
  <r>
    <d v="2026-01-16T00:00:00"/>
    <s v="Gustavo Quesada"/>
    <s v="COMPRADA"/>
    <n v="48.8"/>
    <n v="2.5198499999999999"/>
    <n v="51.595813035551508"/>
    <x v="2"/>
  </r>
  <r>
    <d v="2025-06-06T00:00:00"/>
    <s v="Caribbean"/>
    <s v="COMPRADA"/>
    <n v="25.4"/>
    <n v="2.52"/>
    <n v="52.978015965408282"/>
    <x v="2"/>
  </r>
  <r>
    <d v="2025-06-06T00:00:00"/>
    <s v="Lisandro Rojas"/>
    <s v="COMPRADA"/>
    <n v="71.14"/>
    <n v="2.52"/>
    <n v="53.478618766131049"/>
    <x v="2"/>
  </r>
  <r>
    <d v="2025-09-25T00:00:00"/>
    <s v="Malaga"/>
    <s v="COMPRADA"/>
    <n v="143.54"/>
    <n v="2.52"/>
    <n v="52.173846153846156"/>
    <x v="2"/>
  </r>
  <r>
    <d v="2025-01-14T00:00:00"/>
    <s v="Malaga"/>
    <s v="COMPRADA"/>
    <n v="67.37"/>
    <n v="2.5278749999999999"/>
    <n v="51.818886467670829"/>
    <x v="2"/>
  </r>
  <r>
    <d v="2025-05-06T00:00:00"/>
    <s v="Caribbean"/>
    <s v="COMPRADA"/>
    <n v="103.27"/>
    <n v="2.5305500000000003"/>
    <n v="53.110793464136691"/>
    <x v="2"/>
  </r>
  <r>
    <d v="2025-06-13T00:00:00"/>
    <s v="Calizas &amp; Granitos"/>
    <s v="COMPRADA"/>
    <n v="33.770000000000003"/>
    <n v="2.5499999999999998"/>
    <n v="52.78989674344718"/>
    <x v="2"/>
  </r>
  <r>
    <d v="2025-07-26T00:00:00"/>
    <s v="Gustavo Quesada"/>
    <s v="COMPRADA"/>
    <n v="44.94"/>
    <n v="2.5499999999999998"/>
    <n v="52.290654429369511"/>
    <x v="2"/>
  </r>
  <r>
    <d v="2025-02-24T00:00:00"/>
    <s v="Caribbean"/>
    <s v="COMPRADA"/>
    <n v="689.25"/>
    <n v="2.5546250000000001"/>
    <n v="52.926086525798034"/>
    <x v="2"/>
  </r>
  <r>
    <d v="2025-04-24T00:00:00"/>
    <s v="Leonidas Rodriguez"/>
    <s v="COMPRADA"/>
    <n v="148.94999999999999"/>
    <n v="2.5546250000000001"/>
    <n v="51.793917252747256"/>
    <x v="2"/>
  </r>
  <r>
    <d v="2025-04-10T00:00:00"/>
    <s v="Leonidas Rodriguez"/>
    <s v="COMPRADA"/>
    <n v="193.42"/>
    <n v="2.5573000000000001"/>
    <n v="53.20664690274841"/>
    <x v="2"/>
  </r>
  <r>
    <d v="2025-01-28T00:00:00"/>
    <s v="Caribbean"/>
    <s v="COMPRADA"/>
    <n v="649.92999999999995"/>
    <n v="2.5599750000000001"/>
    <n v="52.457728156952456"/>
    <x v="2"/>
  </r>
  <r>
    <d v="2025-09-08T00:00:00"/>
    <s v="Gustavo Quesada"/>
    <s v="COMPRADA"/>
    <n v="44.52"/>
    <n v="2.56"/>
    <n v="53.468205512532265"/>
    <x v="2"/>
  </r>
  <r>
    <d v="2025-03-05T00:00:00"/>
    <s v="Leonidas Rodriguez"/>
    <s v="COMPRADA"/>
    <n v="146.86000000000001"/>
    <n v="2.5626500000000001"/>
    <n v="53.023507499999994"/>
    <x v="2"/>
  </r>
  <r>
    <d v="2025-06-11T00:00:00"/>
    <s v="Calizas &amp; Granitos"/>
    <s v="COMPRADA"/>
    <n v="104.31"/>
    <n v="2.57"/>
    <n v="53.327369353410099"/>
    <x v="2"/>
  </r>
  <r>
    <d v="2025-02-06T00:00:00"/>
    <s v="Carbopar"/>
    <s v="COMPRADA"/>
    <n v="403.26"/>
    <n v="2.57335"/>
    <n v="50.245641967122459"/>
    <x v="2"/>
  </r>
  <r>
    <d v="2025-04-29T00:00:00"/>
    <s v="Caribbean"/>
    <s v="COMPRADA"/>
    <n v="313.3"/>
    <n v="2.5813750000000004"/>
    <n v="52.345682715589959"/>
    <x v="2"/>
  </r>
  <r>
    <d v="2025-05-20T00:00:00"/>
    <s v="Gustavo Quesada"/>
    <s v="COMPRADA"/>
    <n v="22.02"/>
    <n v="2.5867249999999999"/>
    <n v="52.589745575221237"/>
    <x v="2"/>
  </r>
  <r>
    <d v="2025-01-24T00:00:00"/>
    <s v="Caribbean"/>
    <s v="COMPRADA"/>
    <n v="572.64"/>
    <n v="2.5893999999999999"/>
    <n v="53.255459934308377"/>
    <x v="2"/>
  </r>
  <r>
    <d v="2025-12-11T00:00:00"/>
    <s v="Caribbean"/>
    <s v="COMPRADA"/>
    <n v="209.74"/>
    <n v="2.59"/>
    <n v="53.2"/>
    <x v="2"/>
  </r>
  <r>
    <d v="2025-02-14T00:00:00"/>
    <s v="Gustavo Quesada"/>
    <s v="COMPRADA"/>
    <n v="64.540000000000006"/>
    <n v="2.5947499999999999"/>
    <n v="53.028450220887521"/>
    <x v="2"/>
  </r>
  <r>
    <d v="2025-10-11T00:00:00"/>
    <s v="Malsitio"/>
    <s v="PROPIA"/>
    <n v="159.24"/>
    <n v="2.6"/>
    <n v="52.6"/>
    <x v="2"/>
  </r>
  <r>
    <d v="2025-10-17T00:00:00"/>
    <s v="Gustavo Quesada"/>
    <s v="COMPRADA"/>
    <n v="94.24"/>
    <n v="2.6"/>
    <n v="52.8"/>
    <x v="2"/>
  </r>
  <r>
    <d v="2025-10-20T00:00:00"/>
    <s v="Gustavo Quesada"/>
    <s v="COMPRADA"/>
    <n v="71.260000000000005"/>
    <n v="2.6"/>
    <n v="53.3"/>
    <x v="2"/>
  </r>
  <r>
    <d v="2025-03-03T00:00:00"/>
    <s v="Caribbean"/>
    <s v="COMPRADA"/>
    <n v="223.89"/>
    <n v="2.6027750000000003"/>
    <n v="52.395409632683652"/>
    <x v="2"/>
  </r>
  <r>
    <d v="2025-04-16T00:00:00"/>
    <s v="Caribbean"/>
    <s v="COMPRADA"/>
    <n v="691.7"/>
    <n v="2.6027750000000003"/>
    <n v="53.020877270169805"/>
    <x v="2"/>
  </r>
  <r>
    <d v="2025-04-04T00:00:00"/>
    <s v="Caribbean"/>
    <s v="COMPRADA"/>
    <n v="463.36"/>
    <n v="2.6081250000000002"/>
    <n v="52.30727036481759"/>
    <x v="2"/>
  </r>
  <r>
    <d v="2025-05-17T00:00:00"/>
    <s v="Caribbean"/>
    <s v="COMPRADA"/>
    <n v="399.21"/>
    <n v="2.6081250000000002"/>
    <n v="52.942992276055769"/>
    <x v="2"/>
  </r>
  <r>
    <d v="2025-09-06T00:00:00"/>
    <s v="Caribbean"/>
    <s v="COMPRADA"/>
    <n v="34.39"/>
    <n v="2.61"/>
    <n v="52.691281174409873"/>
    <x v="2"/>
  </r>
  <r>
    <d v="2025-09-13T00:00:00"/>
    <s v="Leonidas Rodriguez"/>
    <s v="COMPRADA"/>
    <n v="202.03"/>
    <n v="2.62"/>
    <n v="52.147257257257252"/>
    <x v="2"/>
  </r>
  <r>
    <d v="2025-05-26T00:00:00"/>
    <s v="Caliza Propia"/>
    <s v="PROPIA"/>
    <n v="318.45499999999998"/>
    <n v="2.62"/>
    <n v="52.7"/>
    <x v="2"/>
  </r>
  <r>
    <d v="2025-05-27T00:00:00"/>
    <s v="Caliza Propia"/>
    <s v="PROPIA"/>
    <n v="225.32900000000001"/>
    <n v="2.62"/>
    <n v="52.7"/>
    <x v="2"/>
  </r>
  <r>
    <d v="2025-05-28T00:00:00"/>
    <s v="Caliza Propia"/>
    <s v="PROPIA"/>
    <n v="306.16399999999999"/>
    <n v="2.62"/>
    <n v="52.7"/>
    <x v="2"/>
  </r>
  <r>
    <d v="2025-05-29T00:00:00"/>
    <s v="Caliza Propia"/>
    <s v="PROPIA"/>
    <n v="408.166"/>
    <n v="2.62"/>
    <n v="52.7"/>
    <x v="2"/>
  </r>
  <r>
    <d v="2025-10-30T00:00:00"/>
    <s v="Gustavo Quesada"/>
    <s v="COMPRADA"/>
    <n v="91.62"/>
    <n v="2.62"/>
    <n v="52.7"/>
    <x v="2"/>
  </r>
  <r>
    <d v="2025-03-22T00:00:00"/>
    <s v="Caribbean"/>
    <s v="COMPRADA"/>
    <n v="281.43"/>
    <n v="2.6215000000000002"/>
    <n v="52.398561007294887"/>
    <x v="2"/>
  </r>
  <r>
    <d v="2025-10-16T00:00:00"/>
    <s v="Lisandro Rojas"/>
    <s v="COMPRADA"/>
    <n v="25.87"/>
    <n v="2.63"/>
    <n v="52.66449860390906"/>
    <x v="2"/>
  </r>
  <r>
    <d v="2025-01-16T00:00:00"/>
    <s v="Caribbean"/>
    <s v="COMPRADA"/>
    <n v="314.39999999999998"/>
    <n v="2.6375500000000001"/>
    <n v="52.369473684210519"/>
    <x v="2"/>
  </r>
  <r>
    <d v="2025-07-26T00:00:00"/>
    <s v="Caliza Propia"/>
    <s v="PROPIA"/>
    <n v="124.7"/>
    <n v="2.64"/>
    <n v="52.8"/>
    <x v="2"/>
  </r>
  <r>
    <d v="2025-06-17T00:00:00"/>
    <s v="Caliza Propia"/>
    <s v="PROPIA"/>
    <n v="601.10400000000004"/>
    <n v="2.64"/>
    <n v="52.166716517115319"/>
    <x v="2"/>
  </r>
  <r>
    <d v="2025-02-11T00:00:00"/>
    <s v="Caribbean"/>
    <s v="COMPRADA"/>
    <n v="222.76"/>
    <n v="2.640225"/>
    <n v="52.462151493954231"/>
    <x v="2"/>
  </r>
  <r>
    <d v="2025-05-14T00:00:00"/>
    <s v="Calizas &amp; Granitos"/>
    <s v="COMPRADA"/>
    <n v="275.89999999999998"/>
    <n v="2.640225"/>
    <n v="52.64653073242382"/>
    <x v="2"/>
  </r>
  <r>
    <d v="2025-01-08T00:00:00"/>
    <s v="Caribbean"/>
    <s v="COMPRADA"/>
    <n v="129.80000000000001"/>
    <n v="2.6429000000000005"/>
    <n v="52.770127416790857"/>
    <x v="2"/>
  </r>
  <r>
    <d v="2025-06-13T00:00:00"/>
    <s v="Lisandro Rojas"/>
    <s v="COMPRADA"/>
    <n v="24.66"/>
    <n v="2.65"/>
    <n v="49.819784679420472"/>
    <x v="2"/>
  </r>
  <r>
    <d v="2025-09-20T00:00:00"/>
    <s v="Caliza Propia"/>
    <s v="PROPIA"/>
    <n v="117.621"/>
    <n v="2.65"/>
    <n v="53.1"/>
    <x v="2"/>
  </r>
  <r>
    <d v="2026-01-14T00:00:00"/>
    <s v="Caribbean"/>
    <s v="COMPRADA"/>
    <n v="190.54"/>
    <n v="2.65"/>
    <n v="52"/>
    <x v="2"/>
  </r>
  <r>
    <d v="2025-05-24T00:00:00"/>
    <s v="Caribbean"/>
    <s v="COMPRADA"/>
    <n v="364.89"/>
    <n v="2.650925"/>
    <n v="51.62347204161248"/>
    <x v="2"/>
  </r>
  <r>
    <d v="2025-06-21T00:00:00"/>
    <s v="Caliza Propia"/>
    <s v="PROPIA"/>
    <n v="569.68100000000004"/>
    <n v="2.66"/>
    <n v="52.764215650257157"/>
    <x v="2"/>
  </r>
  <r>
    <d v="2025-06-14T00:00:00"/>
    <s v="Calizas &amp; Granitos"/>
    <s v="COMPRADA"/>
    <n v="34.69"/>
    <n v="2.67"/>
    <n v="52.971069366580203"/>
    <x v="2"/>
  </r>
  <r>
    <d v="2026-01-05T00:00:00"/>
    <s v="Caribbean"/>
    <s v="COMPRADA"/>
    <n v="155.96"/>
    <n v="2.67"/>
    <n v="52.8"/>
    <x v="2"/>
  </r>
  <r>
    <d v="2025-02-10T00:00:00"/>
    <s v="Gustavo Quesada"/>
    <s v="COMPRADA"/>
    <n v="45.54"/>
    <n v="2.6803500000000002"/>
    <n v="53.028511046978522"/>
    <x v="2"/>
  </r>
  <r>
    <d v="2025-12-17T00:00:00"/>
    <s v="Gustavo Quesada"/>
    <s v="COMPRADA"/>
    <n v="91.36"/>
    <n v="2.7"/>
    <n v="50.3"/>
    <x v="2"/>
  </r>
  <r>
    <d v="2026-02-11T00:00:00"/>
    <s v="Leonidas Rodriguez"/>
    <s v="COMPRADA"/>
    <n v="72.97"/>
    <n v="2.7"/>
    <n v="52.5"/>
    <x v="2"/>
  </r>
  <r>
    <d v="2026-02-13T00:00:00"/>
    <s v="Gustavo Quesada"/>
    <s v="COMPRADA"/>
    <n v="88.38"/>
    <n v="2.7"/>
    <n v="52"/>
    <x v="2"/>
  </r>
  <r>
    <d v="2026-01-20T00:00:00"/>
    <s v="Gustavo Quesada"/>
    <s v="COMPRADA"/>
    <n v="90.94"/>
    <n v="2.7071000000000001"/>
    <n v="51.926318901266072"/>
    <x v="2"/>
  </r>
  <r>
    <d v="2026-01-21T00:00:00"/>
    <s v="Gustavo Quesada"/>
    <s v="COMPRADA"/>
    <n v="190.52"/>
    <n v="2.7071000000000001"/>
    <n v="51.926318901266072"/>
    <x v="2"/>
  </r>
  <r>
    <d v="2025-02-19T00:00:00"/>
    <s v="Gustavo Quesada"/>
    <s v="COMPRADA"/>
    <n v="21.32"/>
    <n v="2.7124500000000005"/>
    <n v="51.967276375664028"/>
    <x v="2"/>
  </r>
  <r>
    <d v="2025-09-09T00:00:00"/>
    <s v="Malaga"/>
    <s v="COMPRADA"/>
    <n v="106.65"/>
    <n v="2.72"/>
    <n v="52.742617840219467"/>
    <x v="2"/>
  </r>
  <r>
    <d v="2025-04-03T00:00:00"/>
    <s v="Caribbean"/>
    <s v="COMPRADA"/>
    <n v="275.32"/>
    <n v="2.7258249999999999"/>
    <n v="52.572026423292044"/>
    <x v="2"/>
  </r>
  <r>
    <d v="2025-06-20T00:00:00"/>
    <s v="Leonidas Rodriguez"/>
    <s v="COMPRADA"/>
    <n v="228.39"/>
    <n v="2.74"/>
    <n v="53.475581223281814"/>
    <x v="2"/>
  </r>
  <r>
    <d v="2025-12-22T00:00:00"/>
    <s v="Malaga"/>
    <s v="COMPRADA"/>
    <n v="67.11"/>
    <n v="2.74"/>
    <n v="53.308675220796538"/>
    <x v="2"/>
  </r>
  <r>
    <d v="2026-01-23T00:00:00"/>
    <s v="Caribbean"/>
    <s v="COMPRADA"/>
    <n v="134.36000000000001"/>
    <n v="2.74"/>
    <n v="52.4"/>
    <x v="2"/>
  </r>
  <r>
    <d v="2025-04-05T00:00:00"/>
    <s v="Calizas &amp; Granitos"/>
    <s v="COMPRADA"/>
    <n v="173.56"/>
    <n v="2.7418750000000003"/>
    <n v="52.769865731462929"/>
    <x v="2"/>
  </r>
  <r>
    <d v="2025-06-13T00:00:00"/>
    <s v="Gustavo Quesada"/>
    <s v="COMPRADA"/>
    <n v="248.72"/>
    <n v="2.75"/>
    <n v="53.132135922330093"/>
    <x v="2"/>
  </r>
  <r>
    <d v="2025-02-12T00:00:00"/>
    <s v="Carbopar"/>
    <s v="COMPRADA"/>
    <n v="278.82"/>
    <n v="2.7632750000000001"/>
    <n v="50.618307808601941"/>
    <x v="2"/>
  </r>
  <r>
    <d v="2025-03-15T00:00:00"/>
    <s v="Gustavo Quesada"/>
    <s v="COMPRADA"/>
    <n v="64.739999999999995"/>
    <n v="2.7659500000000001"/>
    <n v="52.562549808230123"/>
    <x v="2"/>
  </r>
  <r>
    <d v="2025-06-13T00:00:00"/>
    <s v="Leonidas Rodriguez"/>
    <s v="COMPRADA"/>
    <n v="212.19"/>
    <n v="2.77"/>
    <n v="53.184229906397455"/>
    <x v="2"/>
  </r>
  <r>
    <d v="2025-07-14T00:00:00"/>
    <s v="Leonidas Rodriguez"/>
    <s v="COMPRADA"/>
    <n v="79.63"/>
    <n v="2.77"/>
    <n v="53.311905519725272"/>
    <x v="2"/>
  </r>
  <r>
    <d v="2025-08-29T00:00:00"/>
    <s v="Caliza Propia"/>
    <s v="PROPIA"/>
    <n v="28.222000000000001"/>
    <n v="2.77"/>
    <n v="52.8"/>
    <x v="2"/>
  </r>
  <r>
    <d v="2025-04-12T00:00:00"/>
    <s v="Caribbean"/>
    <s v="COMPRADA"/>
    <n v="586.13"/>
    <n v="2.7713000000000001"/>
    <n v="52.824657023330651"/>
    <x v="2"/>
  </r>
  <r>
    <d v="2025-04-08T00:00:00"/>
    <s v="Caribbean"/>
    <s v="COMPRADA"/>
    <n v="277.3"/>
    <n v="2.7820000000000005"/>
    <n v="52.354538384845462"/>
    <x v="2"/>
  </r>
  <r>
    <d v="2025-04-14T00:00:00"/>
    <s v="Leonidas Rodriguez"/>
    <s v="COMPRADA"/>
    <n v="150.32"/>
    <n v="2.784675"/>
    <n v="52.141916768775694"/>
    <x v="2"/>
  </r>
  <r>
    <d v="2025-07-25T00:00:00"/>
    <s v="Gustavo Quesada"/>
    <s v="COMPRADA"/>
    <n v="0"/>
    <n v="2.8"/>
    <n v="52.035732135884416"/>
    <x v="2"/>
  </r>
  <r>
    <d v="2026-01-28T00:00:00"/>
    <s v="Gustavo Quesada"/>
    <s v="COMPRADA"/>
    <n v="62.72"/>
    <n v="2.8"/>
    <n v="52.8"/>
    <x v="2"/>
  </r>
  <r>
    <d v="2026-02-13T00:00:00"/>
    <s v="Caribbean"/>
    <s v="COMPRADA"/>
    <n v="82.04"/>
    <n v="2.8"/>
    <n v="53.6"/>
    <x v="2"/>
  </r>
  <r>
    <d v="2025-06-21T00:00:00"/>
    <s v="Gustavo Quesada"/>
    <s v="COMPRADA"/>
    <n v="63.38"/>
    <n v="2.81"/>
    <n v="52.785660802134572"/>
    <x v="2"/>
  </r>
  <r>
    <d v="2025-11-26T00:00:00"/>
    <s v="Afloramiento 1 "/>
    <s v="NA"/>
    <n v="453.12"/>
    <n v="2.83"/>
    <n v="50.9"/>
    <x v="2"/>
  </r>
  <r>
    <d v="2025-02-12T00:00:00"/>
    <s v="Caribbean"/>
    <s v="COMPRADA"/>
    <n v="35.21"/>
    <n v="2.8381750000000001"/>
    <n v="52.640434190844289"/>
    <x v="2"/>
  </r>
  <r>
    <d v="2025-05-27T00:00:00"/>
    <s v="Malaga"/>
    <s v="COMPRADA"/>
    <n v="195.92"/>
    <n v="2.8462000000000005"/>
    <n v="52.39685919275783"/>
    <x v="2"/>
  </r>
  <r>
    <d v="2025-10-10T00:00:00"/>
    <s v="Gustavo Quesada"/>
    <s v="COMPRADA"/>
    <n v="71.12"/>
    <n v="2.86"/>
    <n v="51.88333588370314"/>
    <x v="2"/>
  </r>
  <r>
    <d v="2025-01-18T00:00:00"/>
    <s v="Gustavo Quesada"/>
    <s v="COMPRADA"/>
    <n v="20.36"/>
    <n v="2.8649250000000004"/>
    <n v="52.905372300637964"/>
    <x v="2"/>
  </r>
  <r>
    <d v="2025-10-11T00:00:00"/>
    <s v="Gustavo Quesada"/>
    <s v="COMPRADA"/>
    <n v="46"/>
    <n v="2.87"/>
    <n v="52.30056207844116"/>
    <x v="2"/>
  </r>
  <r>
    <d v="2026-01-30T00:00:00"/>
    <s v="Afloramiento 1 Sur"/>
    <s v="PROPIA"/>
    <n v="267.44"/>
    <n v="2.87"/>
    <n v="52.3"/>
    <x v="2"/>
  </r>
  <r>
    <d v="2025-01-16T00:00:00"/>
    <s v="Carbopar"/>
    <s v="COMPRADA"/>
    <n v="249.64"/>
    <n v="2.8863249999999998"/>
    <n v="50.457904865771809"/>
    <x v="2"/>
  </r>
  <r>
    <d v="2025-05-02T00:00:00"/>
    <s v="Caribbean"/>
    <s v="COMPRADA"/>
    <n v="103.52"/>
    <n v="2.9050500000000001"/>
    <n v="51.837299996235316"/>
    <x v="2"/>
  </r>
  <r>
    <d v="2025-04-02T00:00:00"/>
    <s v="Caribbean"/>
    <s v="COMPRADA"/>
    <n v="342.49"/>
    <n v="2.92645"/>
    <n v="52.481170551948054"/>
    <x v="2"/>
  </r>
  <r>
    <d v="2025-06-10T00:00:00"/>
    <s v="Malaga"/>
    <s v="COMPRADA"/>
    <n v="68.53"/>
    <n v="2.94"/>
    <n v="51.904741717433026"/>
    <x v="2"/>
  </r>
  <r>
    <d v="2025-02-08T00:00:00"/>
    <s v="Gustavo Quesada"/>
    <s v="COMPRADA"/>
    <n v="93.34"/>
    <n v="2.9451750000000003"/>
    <n v="51.989616650019975"/>
    <x v="2"/>
  </r>
  <r>
    <d v="2025-07-09T00:00:00"/>
    <s v="Caliza Propia"/>
    <s v="PROPIA"/>
    <n v="235"/>
    <n v="2.95"/>
    <n v="52.265404418159683"/>
    <x v="2"/>
  </r>
  <r>
    <d v="2025-05-13T00:00:00"/>
    <s v="Gustavo Quesada"/>
    <s v="COMPRADA"/>
    <n v="23.42"/>
    <n v="2.9558750000000003"/>
    <n v="52.181094176706821"/>
    <x v="2"/>
  </r>
  <r>
    <d v="2025-09-22T00:00:00"/>
    <s v="Caliza Propia"/>
    <s v="PROPIA"/>
    <n v="196.02799999999999"/>
    <n v="2.97"/>
    <n v="52.6"/>
    <x v="2"/>
  </r>
  <r>
    <d v="2025-09-23T00:00:00"/>
    <s v="Caliza Propia"/>
    <s v="PROPIA"/>
    <n v="496.51"/>
    <n v="2.97"/>
    <n v="52.611787758696607"/>
    <x v="2"/>
  </r>
  <r>
    <d v="2025-05-24T00:00:00"/>
    <s v="Caliza Propia"/>
    <s v="PROPIA"/>
    <n v="271.81200000000001"/>
    <n v="2.9719250000000001"/>
    <n v="52.186490803787272"/>
    <x v="2"/>
  </r>
  <r>
    <d v="2025-05-27T00:00:00"/>
    <s v="Leonidas Rodriguez"/>
    <s v="COMPRADA"/>
    <n v="196.96"/>
    <n v="2.9772750000000006"/>
    <n v="52.977513169665045"/>
    <x v="2"/>
  </r>
  <r>
    <d v="2025-01-23T00:00:00"/>
    <s v="Gustavo Quesada"/>
    <s v="COMPRADA"/>
    <n v="46"/>
    <n v="2.9799500000000005"/>
    <n v="52.893719254786006"/>
    <x v="2"/>
  </r>
  <r>
    <d v="2025-07-12T00:00:00"/>
    <s v="Caliza Propia"/>
    <s v="PROPIA"/>
    <n v="186.83500000000001"/>
    <n v="2.98"/>
    <n v="52.6"/>
    <x v="2"/>
  </r>
  <r>
    <d v="2025-02-13T00:00:00"/>
    <s v="Gustavo Quesada"/>
    <s v="COMPRADA"/>
    <n v="89.16"/>
    <n v="2.996"/>
    <n v="52.118926946423201"/>
    <x v="2"/>
  </r>
  <r>
    <d v="2025-09-24T00:00:00"/>
    <s v="Leonidas Rodriguez"/>
    <s v="COMPRADA"/>
    <n v="74.67"/>
    <n v="3"/>
    <n v="52.4"/>
    <x v="2"/>
  </r>
  <r>
    <d v="2025-10-09T00:00:00"/>
    <s v="Gustavo Quesada"/>
    <s v="COMPRADA"/>
    <n v="71.92"/>
    <n v="3"/>
    <n v="50.9"/>
    <x v="2"/>
  </r>
  <r>
    <d v="2025-11-19T00:00:00"/>
    <s v="Gustavo Quesada"/>
    <s v="COMPRADA"/>
    <n v="92.1"/>
    <n v="3"/>
    <n v="50"/>
    <x v="2"/>
  </r>
  <r>
    <d v="2025-12-04T00:00:00"/>
    <s v="Leonidas Rodriguez"/>
    <s v="COMPRADA"/>
    <n v="126.91"/>
    <n v="3"/>
    <n v="52.6"/>
    <x v="2"/>
  </r>
  <r>
    <d v="2025-12-09T00:00:00"/>
    <s v="Gustavo Quesada"/>
    <s v="COMPRADA"/>
    <n v="93.56"/>
    <n v="3"/>
    <n v="54.2"/>
    <x v="2"/>
  </r>
  <r>
    <d v="2025-12-16T00:00:00"/>
    <s v="Gustavo Quesada"/>
    <s v="COMPRADA"/>
    <n v="46.4"/>
    <n v="3"/>
    <n v="52.5"/>
    <x v="2"/>
  </r>
  <r>
    <d v="2026-02-09T00:00:00"/>
    <s v="Gustavo Quesada"/>
    <s v="COMPRADA"/>
    <n v="68.8"/>
    <n v="3"/>
    <n v="52.1"/>
    <x v="2"/>
  </r>
  <r>
    <d v="2026-02-16T00:00:00"/>
    <s v="Gustavo Quesada"/>
    <s v="COMPRADA"/>
    <n v="67.3"/>
    <n v="3"/>
    <n v="51.8"/>
    <x v="2"/>
  </r>
  <r>
    <d v="2025-04-01T00:00:00"/>
    <s v="Leonidas Rodriguez"/>
    <s v="COMPRADA"/>
    <n v="146.94"/>
    <n v="3.0093750000000004"/>
    <n v="52.478972979813193"/>
    <x v="2"/>
  </r>
  <r>
    <d v="2025-06-13T00:00:00"/>
    <s v="Leonidas Rodriguez"/>
    <s v="COMPRADA"/>
    <n v="126.22"/>
    <n v="3.01"/>
    <n v="51.236813258943222"/>
    <x v="2"/>
  </r>
  <r>
    <d v="2025-03-28T00:00:00"/>
    <s v="Gustavo Quesada"/>
    <s v="COMPRADA"/>
    <n v="89.24"/>
    <n v="3.0120500000000003"/>
    <n v="51.493911719765926"/>
    <x v="2"/>
  </r>
  <r>
    <d v="2025-03-29T00:00:00"/>
    <s v="Gustavo Quesada"/>
    <s v="COMPRADA"/>
    <n v="72.88"/>
    <n v="3.0120500000000003"/>
    <n v="51.493911719765926"/>
    <x v="2"/>
  </r>
  <r>
    <d v="2025-04-28T00:00:00"/>
    <s v="Gustavo Quesada"/>
    <s v="COMPRADA"/>
    <n v="44.66"/>
    <n v="3.0120500000000003"/>
    <n v="52.982444933920704"/>
    <x v="2"/>
  </r>
  <r>
    <d v="2025-05-23T00:00:00"/>
    <s v="Caribbean"/>
    <s v="COMPRADA"/>
    <n v="172.21"/>
    <n v="3.0120500000000003"/>
    <n v="52.677937968984494"/>
    <x v="2"/>
  </r>
  <r>
    <d v="2025-03-25T00:00:00"/>
    <s v="Caribbean"/>
    <s v="COMPRADA"/>
    <n v="204.46"/>
    <n v="3.0307750000000002"/>
    <n v="52.343875263210172"/>
    <x v="2"/>
  </r>
  <r>
    <d v="2025-03-28T00:00:00"/>
    <s v="Caribbean"/>
    <s v="COMPRADA"/>
    <n v="247.26"/>
    <n v="3.0307750000000002"/>
    <n v="51.822821001907435"/>
    <x v="2"/>
  </r>
  <r>
    <d v="2025-08-13T00:00:00"/>
    <s v="Gustavo Quesada"/>
    <s v="COMPRADA"/>
    <n v="165.02"/>
    <n v="3.04"/>
    <n v="52.143208761809213"/>
    <x v="2"/>
  </r>
  <r>
    <d v="2025-10-07T00:00:00"/>
    <s v="Leonidas Rodriguez"/>
    <s v="COMPRADA"/>
    <n v="174.96"/>
    <n v="3.04"/>
    <n v="52.998327926129271"/>
    <x v="2"/>
  </r>
  <r>
    <d v="2025-03-12T00:00:00"/>
    <s v="Leonidas Rodriguez"/>
    <s v="COMPRADA"/>
    <n v="123.02"/>
    <n v="3.0495000000000001"/>
    <n v="52.673123559474895"/>
    <x v="2"/>
  </r>
  <r>
    <d v="2025-06-25T00:00:00"/>
    <s v="Carbopar"/>
    <s v="COMPRADA"/>
    <n v="570"/>
    <n v="3.05"/>
    <n v="51.193446092317949"/>
    <x v="2"/>
  </r>
  <r>
    <d v="2025-07-14T00:00:00"/>
    <s v="Carbopar"/>
    <s v="COMPRADA"/>
    <n v="212.49"/>
    <n v="3.05"/>
    <n v="53.026866439777542"/>
    <x v="2"/>
  </r>
  <r>
    <d v="2026-01-19T00:00:00"/>
    <s v="Caribbean"/>
    <s v="COMPRADA"/>
    <n v="129.16"/>
    <n v="3.0548500000000001"/>
    <n v="52.434208322784812"/>
    <x v="2"/>
  </r>
  <r>
    <d v="2025-10-29T00:00:00"/>
    <s v="Leonidas Rodriguez"/>
    <s v="COMPRADA"/>
    <n v="157.71"/>
    <n v="3.06"/>
    <n v="51.4"/>
    <x v="2"/>
  </r>
  <r>
    <d v="2025-05-31T00:00:00"/>
    <s v="Lisandro Rojas"/>
    <s v="COMPRADA"/>
    <n v="30"/>
    <n v="3.07"/>
    <n v="51.781112501042458"/>
    <x v="2"/>
  </r>
  <r>
    <d v="2025-04-10T00:00:00"/>
    <s v="Calizas &amp; Granitos"/>
    <s v="COMPRADA"/>
    <n v="104.29"/>
    <n v="3.0709000000000004"/>
    <n v="52.984523952695938"/>
    <x v="2"/>
  </r>
  <r>
    <d v="2025-04-10T00:00:00"/>
    <s v="Calizas &amp; Granitos"/>
    <s v="COMPRADA"/>
    <n v="104.29"/>
    <n v="3.0709000000000004"/>
    <n v="52.984523952695938"/>
    <x v="2"/>
  </r>
  <r>
    <d v="2025-04-05T00:00:00"/>
    <s v="Lisandro Rojas"/>
    <s v="COMPRADA"/>
    <n v="49.72"/>
    <n v="3.0789249999999999"/>
    <n v="52.878005376128378"/>
    <x v="2"/>
  </r>
  <r>
    <d v="2025-04-05T00:00:00"/>
    <s v="Lisandro Rojas"/>
    <s v="COMPRADA"/>
    <n v="49.72"/>
    <n v="3.0789249999999999"/>
    <n v="52.878005376128378"/>
    <x v="2"/>
  </r>
  <r>
    <d v="2025-11-05T00:00:00"/>
    <s v="Leonidas Rodriguez"/>
    <s v="COMPRADA"/>
    <n v="43.56"/>
    <n v="3.08"/>
    <n v="52.77380057212914"/>
    <x v="2"/>
  </r>
  <r>
    <d v="2025-06-05T00:00:00"/>
    <s v="Caribbean"/>
    <s v="COMPRADA"/>
    <n v="787.77"/>
    <n v="3.1"/>
    <n v="52.526128091946369"/>
    <x v="2"/>
  </r>
  <r>
    <d v="2026-02-03T00:00:00"/>
    <s v="Gustavo Quesada"/>
    <s v="COMPRADA"/>
    <n v="91.98"/>
    <n v="3.1"/>
    <n v="50.2"/>
    <x v="2"/>
  </r>
  <r>
    <d v="2025-07-04T00:00:00"/>
    <s v="Lisandro Rojas"/>
    <s v="COMPRADA"/>
    <n v="149.09"/>
    <n v="3.1003250000000002"/>
    <n v="48.782470908179633"/>
    <x v="2"/>
  </r>
  <r>
    <d v="2025-03-20T00:00:00"/>
    <s v="Caribbean"/>
    <s v="COMPRADA"/>
    <n v="258.37"/>
    <n v="3.1030000000000002"/>
    <n v="51.686341728308676"/>
    <x v="2"/>
  </r>
  <r>
    <d v="2025-05-29T00:00:00"/>
    <s v="Malaga"/>
    <s v="COMPRADA"/>
    <n v="105.8"/>
    <n v="3.1137000000000001"/>
    <n v="52.649524635941717"/>
    <x v="2"/>
  </r>
  <r>
    <d v="2025-04-24T00:00:00"/>
    <s v="Carbopar"/>
    <s v="COMPRADA"/>
    <n v="220.94"/>
    <n v="3.1190500000000001"/>
    <n v="51.753741216623169"/>
    <x v="2"/>
  </r>
  <r>
    <d v="2025-03-21T00:00:00"/>
    <s v="Leonidas Rodriguez"/>
    <s v="COMPRADA"/>
    <n v="74.91"/>
    <n v="3.12975"/>
    <n v="52.719316237942124"/>
    <x v="2"/>
  </r>
  <r>
    <d v="2025-05-23T00:00:00"/>
    <s v="Leonidas Rodriguez"/>
    <s v="COMPRADA"/>
    <n v="48.51"/>
    <n v="3.1351000000000004"/>
    <n v="52.215603139904609"/>
    <x v="2"/>
  </r>
  <r>
    <d v="2025-02-12T00:00:00"/>
    <s v="Gustavo Quesada"/>
    <s v="COMPRADA"/>
    <n v="91.34"/>
    <n v="3.1377750000000004"/>
    <n v="49.871142775779376"/>
    <x v="2"/>
  </r>
  <r>
    <d v="2025-07-11T00:00:00"/>
    <s v="Leonidas Rodriguez"/>
    <s v="COMPRADA"/>
    <n v="269.20999999999998"/>
    <n v="3.14"/>
    <n v="52.28930483452303"/>
    <x v="2"/>
  </r>
  <r>
    <d v="2025-05-06T00:00:00"/>
    <s v="Gustavo Quesada"/>
    <s v="COMPRADA"/>
    <n v="43.56"/>
    <n v="3.1404500000000004"/>
    <n v="52.193658308090875"/>
    <x v="2"/>
  </r>
  <r>
    <d v="2025-07-28T00:00:00"/>
    <s v="Caliza Propia"/>
    <s v="PROPIA"/>
    <n v="99.563000000000002"/>
    <n v="3.15"/>
    <n v="50.7"/>
    <x v="2"/>
  </r>
  <r>
    <d v="2025-01-22T00:00:00"/>
    <s v="Caribbean"/>
    <s v="COMPRADA"/>
    <n v="209.66"/>
    <n v="3.1538249999999999"/>
    <n v="52.914745405513386"/>
    <x v="2"/>
  </r>
  <r>
    <d v="2025-05-28T00:00:00"/>
    <s v="Leonidas Rodriguez"/>
    <s v="COMPRADA"/>
    <n v="97.75"/>
    <n v="3.1645250000000003"/>
    <n v="52.416843547017095"/>
    <x v="2"/>
  </r>
  <r>
    <d v="2025-04-15T00:00:00"/>
    <s v="Calizas &amp; Granitos"/>
    <s v="COMPRADA"/>
    <n v="172.56"/>
    <n v="3.1698750000000002"/>
    <n v="52.261611355457816"/>
    <x v="2"/>
  </r>
  <r>
    <d v="2025-09-03T00:00:00"/>
    <s v="Carbopar"/>
    <s v="COMPRADA"/>
    <n v="244.08"/>
    <n v="3.17"/>
    <n v="50.230147874306837"/>
    <x v="2"/>
  </r>
  <r>
    <d v="2025-03-05T00:00:00"/>
    <s v="Caribbean"/>
    <s v="COMPRADA"/>
    <n v="416.24"/>
    <n v="3.1779000000000006"/>
    <n v="52.045027282554052"/>
    <x v="2"/>
  </r>
  <r>
    <d v="2025-01-24T00:00:00"/>
    <s v="Gustavo Quesada"/>
    <s v="COMPRADA"/>
    <n v="86"/>
    <n v="3.1993000000000005"/>
    <n v="52.392762074038558"/>
    <x v="2"/>
  </r>
  <r>
    <d v="2025-11-22T00:00:00"/>
    <s v="Leonidas Rodriguez"/>
    <s v="COMPRADA"/>
    <n v="250.58"/>
    <n v="3.2"/>
    <n v="52.599999999999994"/>
    <x v="2"/>
  </r>
  <r>
    <d v="2025-03-26T00:00:00"/>
    <s v="Caribbean"/>
    <s v="COMPRADA"/>
    <n v="264.52"/>
    <n v="3.21"/>
    <n v="52.283891891891891"/>
    <x v="2"/>
  </r>
  <r>
    <d v="2025-10-09T00:00:00"/>
    <s v="Leonidas Rodriguez"/>
    <s v="COMPRADA"/>
    <n v="207.68"/>
    <n v="3.21"/>
    <n v="51.724508100885252"/>
    <x v="2"/>
  </r>
  <r>
    <d v="2025-08-19T00:00:00"/>
    <s v="Leonidas Rodriguez"/>
    <s v="COMPRADA"/>
    <n v="250.22"/>
    <n v="3.24"/>
    <n v="51.093820598006644"/>
    <x v="2"/>
  </r>
  <r>
    <d v="2025-09-27T00:00:00"/>
    <s v="Leonidas Rodriguez"/>
    <s v="COMPRADA"/>
    <n v="48.78"/>
    <n v="3.25"/>
    <n v="52.970746953763971"/>
    <x v="3"/>
  </r>
  <r>
    <d v="2025-07-09T00:00:00"/>
    <s v="Caliza Propia"/>
    <s v="PROPIA"/>
    <n v="235"/>
    <n v="3.26"/>
    <n v="52.429602385685882"/>
    <x v="3"/>
  </r>
  <r>
    <d v="2025-05-20T00:00:00"/>
    <s v="Caliza Propia"/>
    <s v="PROPIA"/>
    <n v="199.19900000000001"/>
    <n v="3.27"/>
    <n v="52.6"/>
    <x v="3"/>
  </r>
  <r>
    <d v="2025-05-21T00:00:00"/>
    <s v="Caliza Propia"/>
    <s v="PROPIA"/>
    <n v="76.903999999999996"/>
    <n v="3.27"/>
    <n v="52.6"/>
    <x v="3"/>
  </r>
  <r>
    <d v="2025-05-22T00:00:00"/>
    <s v="Caliza Propia"/>
    <s v="PROPIA"/>
    <n v="416.45"/>
    <n v="3.27"/>
    <n v="52.6"/>
    <x v="3"/>
  </r>
  <r>
    <d v="2025-03-14T00:00:00"/>
    <s v="Gustavo Quesada"/>
    <s v="COMPRADA"/>
    <n v="80.739999999999995"/>
    <n v="3.2715250000000005"/>
    <n v="51.166329723656766"/>
    <x v="3"/>
  </r>
  <r>
    <d v="2025-06-12T00:00:00"/>
    <s v="Leonidas Rodriguez"/>
    <s v="COMPRADA"/>
    <n v="96.13"/>
    <n v="3.28"/>
    <n v="52.099954682779455"/>
    <x v="3"/>
  </r>
  <r>
    <d v="2025-11-27T00:00:00"/>
    <s v="Gustavo Quesada"/>
    <s v="COMPRADA"/>
    <n v="90.28"/>
    <n v="3.28"/>
    <n v="51.091323283082076"/>
    <x v="3"/>
  </r>
  <r>
    <d v="2025-04-25T00:00:00"/>
    <s v="Gustavo Quesada"/>
    <s v="COMPRADA"/>
    <n v="87.5"/>
    <n v="3.2822249999999999"/>
    <n v="52.572848905642509"/>
    <x v="3"/>
  </r>
  <r>
    <d v="2025-01-20T00:00:00"/>
    <s v="Malaga"/>
    <s v="COMPRADA"/>
    <n v="213.26"/>
    <n v="3.2848999999999999"/>
    <n v="51.720139770908368"/>
    <x v="3"/>
  </r>
  <r>
    <d v="2025-09-06T00:00:00"/>
    <s v="Gustavo Quesada"/>
    <s v="COMPRADA"/>
    <n v="68.92"/>
    <n v="3.29"/>
    <n v="52.266311236796142"/>
    <x v="3"/>
  </r>
  <r>
    <d v="2025-10-30T00:00:00"/>
    <s v="Afloramiento 1 Sur"/>
    <s v="PROPIA"/>
    <n v="227.6"/>
    <n v="3.29"/>
    <n v="53.2"/>
    <x v="3"/>
  </r>
  <r>
    <d v="2026-01-27T00:00:00"/>
    <s v="Carbopar"/>
    <s v="COMPRADA"/>
    <n v="358.78"/>
    <n v="3.29"/>
    <n v="49.8"/>
    <x v="3"/>
  </r>
  <r>
    <d v="2025-01-18T00:00:00"/>
    <s v="Caribbean"/>
    <s v="COMPRADA"/>
    <n v="384.74"/>
    <n v="3.2929250000000003"/>
    <n v="52.38972972972973"/>
    <x v="3"/>
  </r>
  <r>
    <d v="2025-10-07T00:00:00"/>
    <s v="Afloramiento 1"/>
    <s v="PROPIA"/>
    <n v="169.66"/>
    <n v="3.3"/>
    <n v="52.209841468502297"/>
    <x v="3"/>
  </r>
  <r>
    <d v="2025-11-11T00:00:00"/>
    <s v="Leonidas Rodriguez"/>
    <s v="COMPRADA"/>
    <n v="45.96"/>
    <n v="3.3"/>
    <n v="52.9"/>
    <x v="3"/>
  </r>
  <r>
    <d v="2025-06-19T00:00:00"/>
    <s v="Leonidas Rodriguez"/>
    <s v="COMPRADA"/>
    <n v="272.36"/>
    <n v="3.31"/>
    <n v="50.618333333333339"/>
    <x v="3"/>
  </r>
  <r>
    <d v="2025-06-20T00:00:00"/>
    <s v="Caliza Propia"/>
    <s v="PROPIA"/>
    <n v="684.45399999999995"/>
    <n v="3.32"/>
    <n v="52.428369710096625"/>
    <x v="3"/>
  </r>
  <r>
    <d v="2026-01-16T00:00:00"/>
    <s v="Afloramiento 1 Sur"/>
    <s v="PROPIA"/>
    <n v="299.52"/>
    <n v="3.33"/>
    <n v="51.9"/>
    <x v="3"/>
  </r>
  <r>
    <d v="2025-05-29T00:00:00"/>
    <s v="Caribbean"/>
    <s v="COMPRADA"/>
    <n v="68.89"/>
    <n v="3.3303750000000001"/>
    <n v="50.984553383458639"/>
    <x v="3"/>
  </r>
  <r>
    <d v="2025-10-29T00:00:00"/>
    <s v="Gustavo Quesada"/>
    <s v="COMPRADA"/>
    <n v="68.459999999999994"/>
    <n v="3.34"/>
    <n v="51.4"/>
    <x v="3"/>
  </r>
  <r>
    <d v="2026-01-21T00:00:00"/>
    <s v="Afloramiento 1 Sur"/>
    <s v="PROPIA"/>
    <n v="322.52"/>
    <n v="3.34"/>
    <n v="52.1"/>
    <x v="3"/>
  </r>
  <r>
    <d v="2025-03-19T00:00:00"/>
    <s v="Caribbean"/>
    <s v="COMPRADA"/>
    <n v="324.97000000000003"/>
    <n v="3.3410750000000005"/>
    <n v="52.282724368573426"/>
    <x v="3"/>
  </r>
  <r>
    <d v="2025-01-23T00:00:00"/>
    <s v="Malaga"/>
    <s v="COMPRADA"/>
    <n v="169.16"/>
    <n v="3.3491"/>
    <n v="51.803621792101339"/>
    <x v="3"/>
  </r>
  <r>
    <d v="2025-09-24T00:00:00"/>
    <s v="Caliza Propia"/>
    <s v="PROPIA"/>
    <n v="488.75400000000002"/>
    <n v="3.351"/>
    <n v="52.9"/>
    <x v="3"/>
  </r>
  <r>
    <d v="2025-01-29T00:00:00"/>
    <s v="Caribbean"/>
    <s v="COMPRADA"/>
    <n v="487.05"/>
    <n v="3.3517749999999999"/>
    <n v="52.484571428571428"/>
    <x v="3"/>
  </r>
  <r>
    <d v="2025-07-15T00:00:00"/>
    <s v="Caliza Propia"/>
    <s v="PROPIA"/>
    <n v="235"/>
    <n v="3.37"/>
    <n v="49.099693919305999"/>
    <x v="3"/>
  </r>
  <r>
    <d v="2025-07-15T00:00:00"/>
    <s v="Caliza Propia"/>
    <s v="PROPIA"/>
    <n v="131.33799999999999"/>
    <n v="3.37"/>
    <n v="49.099693919305999"/>
    <x v="3"/>
  </r>
  <r>
    <d v="2025-10-22T00:00:00"/>
    <s v="Afloramiento 1"/>
    <s v="PROPIA"/>
    <n v="193.94"/>
    <n v="3.37"/>
    <n v="52.4"/>
    <x v="3"/>
  </r>
  <r>
    <d v="2025-07-09T00:00:00"/>
    <s v="Caliza Propia"/>
    <s v="PROPIA"/>
    <n v="235"/>
    <n v="3.4"/>
    <n v="52.042179487179489"/>
    <x v="3"/>
  </r>
  <r>
    <d v="2025-11-29T00:00:00"/>
    <s v="Carbopar"/>
    <s v="COMPRADA"/>
    <n v="69"/>
    <n v="3.4"/>
    <n v="51.9"/>
    <x v="3"/>
  </r>
  <r>
    <d v="2025-11-13T00:00:00"/>
    <s v="Afloramiento 1 Sur"/>
    <s v="PROPIA"/>
    <n v="160.22"/>
    <n v="3.41"/>
    <n v="52.5"/>
    <x v="3"/>
  </r>
  <r>
    <d v="2025-05-21T00:00:00"/>
    <s v="Caribbean"/>
    <s v="COMPRADA"/>
    <n v="34.369999999999997"/>
    <n v="3.4266750000000004"/>
    <n v="52.321138745980704"/>
    <x v="3"/>
  </r>
  <r>
    <d v="2025-06-16T00:00:00"/>
    <s v="Leonidas Rodriguez"/>
    <s v="COMPRADA"/>
    <n v="47.89"/>
    <n v="3.43"/>
    <n v="52.151931238995459"/>
    <x v="3"/>
  </r>
  <r>
    <d v="2025-07-24T00:00:00"/>
    <s v="Caliza Propia"/>
    <s v="PROPIA"/>
    <n v="235"/>
    <n v="3.45"/>
    <n v="50.877602436785445"/>
    <x v="3"/>
  </r>
  <r>
    <d v="2025-07-24T00:00:00"/>
    <s v="Caliza Propia"/>
    <s v="PROPIA"/>
    <n v="815.15"/>
    <n v="3.45"/>
    <n v="50.9"/>
    <x v="3"/>
  </r>
  <r>
    <d v="2025-05-22T00:00:00"/>
    <s v="Caribbean"/>
    <s v="COMPRADA"/>
    <n v="103.92"/>
    <n v="3.4587750000000002"/>
    <n v="52.561121785249675"/>
    <x v="3"/>
  </r>
  <r>
    <d v="2026-01-14T00:00:00"/>
    <s v="Malaga"/>
    <s v="COMPRADA"/>
    <n v="35.67"/>
    <n v="3.46"/>
    <n v="51.7"/>
    <x v="3"/>
  </r>
  <r>
    <d v="2025-01-31T00:00:00"/>
    <s v="Gustavo Quesada"/>
    <s v="COMPRADA"/>
    <n v="153.26"/>
    <n v="3.4614500000000001"/>
    <n v="52.41897081002098"/>
    <x v="3"/>
  </r>
  <r>
    <d v="2025-06-16T00:00:00"/>
    <s v="Gustavo Quesada"/>
    <s v="COMPRADA"/>
    <n v="20.5"/>
    <n v="3.48"/>
    <n v="51.388081457663446"/>
    <x v="3"/>
  </r>
  <r>
    <d v="2025-07-18T00:00:00"/>
    <s v="Gustavo Quesada"/>
    <s v="COMPRADA"/>
    <n v="45.44"/>
    <n v="3.48"/>
    <n v="52.184516827724096"/>
    <x v="3"/>
  </r>
  <r>
    <d v="2025-10-15T00:00:00"/>
    <s v="Malsitio"/>
    <s v="PROPIA"/>
    <n v="24.72"/>
    <n v="3.48"/>
    <n v="52.3"/>
    <x v="3"/>
  </r>
  <r>
    <d v="2025-05-24T00:00:00"/>
    <s v="Gustavo Quesada"/>
    <s v="COMPRADA"/>
    <n v="22.36"/>
    <n v="3.48285"/>
    <n v="52.295324348260699"/>
    <x v="3"/>
  </r>
  <r>
    <d v="2025-01-29T00:00:00"/>
    <s v="Gustavo Quesada"/>
    <s v="COMPRADA"/>
    <n v="43.32"/>
    <n v="3.485525"/>
    <n v="50.449958732369709"/>
    <x v="3"/>
  </r>
  <r>
    <d v="2025-03-28T00:00:00"/>
    <s v="Calizas &amp; Granitos"/>
    <s v="COMPRADA"/>
    <n v="139.66"/>
    <n v="3.485525"/>
    <n v="52.483330668939921"/>
    <x v="3"/>
  </r>
  <r>
    <d v="2025-07-11T00:00:00"/>
    <s v="Gustavo Quesada"/>
    <s v="COMPRADA"/>
    <n v="91.4"/>
    <n v="3.49"/>
    <n v="51.971717180244823"/>
    <x v="3"/>
  </r>
  <r>
    <d v="2025-07-14T00:00:00"/>
    <s v="Gustavo Quesada"/>
    <s v="COMPRADA"/>
    <n v="89.7"/>
    <n v="3.49"/>
    <n v="51.971717180244823"/>
    <x v="3"/>
  </r>
  <r>
    <d v="2025-08-08T00:00:00"/>
    <s v="Gustavo Quesada"/>
    <s v="COMPRADA"/>
    <n v="63.06"/>
    <n v="3.49"/>
    <n v="52.208815603426764"/>
    <x v="3"/>
  </r>
  <r>
    <d v="2025-03-04T00:00:00"/>
    <s v="Leonidas Rodriguez"/>
    <s v="COMPRADA"/>
    <n v="51.06"/>
    <n v="3.4935500000000004"/>
    <n v="51.811511079915775"/>
    <x v="3"/>
  </r>
  <r>
    <d v="2026-01-27T00:00:00"/>
    <s v="Gustavo Quesada"/>
    <s v="COMPRADA"/>
    <n v="23.9"/>
    <n v="3.5"/>
    <n v="52.3"/>
    <x v="3"/>
  </r>
  <r>
    <d v="2025-04-15T00:00:00"/>
    <s v="Leonidas Rodriguez"/>
    <s v="COMPRADA"/>
    <n v="100.35"/>
    <n v="3.5015750000000003"/>
    <n v="52.608269578957895"/>
    <x v="3"/>
  </r>
  <r>
    <d v="2025-03-05T00:00:00"/>
    <s v="Malaga"/>
    <s v="COMPRADA"/>
    <n v="220.58"/>
    <n v="3.5069249999999998"/>
    <n v="51.805284070033871"/>
    <x v="3"/>
  </r>
  <r>
    <d v="2025-05-15T00:00:00"/>
    <s v="Lisandro Rojas"/>
    <s v="COMPRADA"/>
    <n v="75.91"/>
    <n v="3.5095999999999998"/>
    <n v="51.961352084541552"/>
    <x v="3"/>
  </r>
  <r>
    <d v="2025-01-21T00:00:00"/>
    <s v="Malaga"/>
    <s v="COMPRADA"/>
    <n v="108.29"/>
    <n v="3.5149500000000002"/>
    <n v="51.811445586061481"/>
    <x v="3"/>
  </r>
  <r>
    <d v="2025-03-21T00:00:00"/>
    <s v="Caribbean"/>
    <s v="COMPRADA"/>
    <n v="34.15"/>
    <n v="3.5203000000000002"/>
    <n v="52.213659634036595"/>
    <x v="3"/>
  </r>
  <r>
    <d v="2025-02-07T00:00:00"/>
    <s v="Gustavo Quesada"/>
    <s v="COMPRADA"/>
    <n v="89.42"/>
    <n v="3.5390250000000005"/>
    <n v="50.8691282633512"/>
    <x v="3"/>
  </r>
  <r>
    <d v="2025-11-07T00:00:00"/>
    <s v="Leonidas Rodriguez"/>
    <s v="COMPRADA"/>
    <n v="141.1"/>
    <n v="3.54"/>
    <n v="52.179267343851308"/>
    <x v="3"/>
  </r>
  <r>
    <d v="2025-10-31T00:00:00"/>
    <s v="Afloramiento 1 Sur"/>
    <s v="PROPIA"/>
    <n v="291.62"/>
    <n v="3.55"/>
    <n v="51.5"/>
    <x v="3"/>
  </r>
  <r>
    <d v="2025-11-20T00:00:00"/>
    <s v="Leonidas Rodriguez"/>
    <s v="COMPRADA"/>
    <n v="121.86"/>
    <n v="3.56"/>
    <n v="52.497419971730267"/>
    <x v="3"/>
  </r>
  <r>
    <d v="2025-11-21T00:00:00"/>
    <s v="Leonidas Rodriguez"/>
    <s v="COMPRADA"/>
    <n v="74.25"/>
    <n v="3.56"/>
    <n v="52.497419971730267"/>
    <x v="3"/>
  </r>
  <r>
    <d v="2025-10-08T00:00:00"/>
    <s v="Afloramiento 1"/>
    <s v="PROPIA"/>
    <n v="385.08"/>
    <n v="3.59"/>
    <n v="51.362233820459288"/>
    <x v="3"/>
  </r>
  <r>
    <d v="2025-10-09T00:00:00"/>
    <s v="Afloramiento 1"/>
    <s v="PROPIA"/>
    <n v="347.38"/>
    <n v="3.59"/>
    <n v="51.362233820459288"/>
    <x v="3"/>
  </r>
  <r>
    <d v="2026-01-30T00:00:00"/>
    <s v="Gustavo Quesada"/>
    <s v="COMPRADA"/>
    <n v="23.1"/>
    <n v="3.6"/>
    <n v="52.3"/>
    <x v="3"/>
  </r>
  <r>
    <d v="2025-07-19T00:00:00"/>
    <s v="Gustavo Quesada"/>
    <s v="COMPRADA"/>
    <n v="23.06"/>
    <n v="3.61"/>
    <n v="52.025266183454143"/>
    <x v="3"/>
  </r>
  <r>
    <d v="2025-07-10T00:00:00"/>
    <s v="Caliza Propia"/>
    <s v="PROPIA"/>
    <n v="235"/>
    <n v="3.61"/>
    <n v="52.49330788002834"/>
    <x v="3"/>
  </r>
  <r>
    <d v="2025-07-14T00:00:00"/>
    <s v="Caliza Propia"/>
    <s v="PROPIA"/>
    <n v="222.16800000000001"/>
    <n v="3.61"/>
    <n v="52.49330788002834"/>
    <x v="3"/>
  </r>
  <r>
    <d v="2025-05-09T00:00:00"/>
    <s v="Calizas &amp; Granitos"/>
    <s v="COMPRADA"/>
    <n v="170.46"/>
    <n v="3.6166"/>
    <n v="52.382002207948609"/>
    <x v="3"/>
  </r>
  <r>
    <d v="2026-01-07T00:00:00"/>
    <s v="Afloramiento 1 Sur"/>
    <s v="PROPIA"/>
    <n v="300"/>
    <n v="3.62"/>
    <n v="51.3"/>
    <x v="3"/>
  </r>
  <r>
    <d v="2025-11-24T00:00:00"/>
    <s v="Afloramiento 1 Sur"/>
    <s v="PROPIA"/>
    <n v="163"/>
    <n v="3.65"/>
    <n v="49"/>
    <x v="3"/>
  </r>
  <r>
    <d v="2025-08-21T00:00:00"/>
    <s v="Leonidas Rodriguez"/>
    <s v="COMPRADA"/>
    <n v="155.52000000000001"/>
    <n v="3.67"/>
    <n v="51.088549786965437"/>
    <x v="3"/>
  </r>
  <r>
    <d v="2025-04-09T00:00:00"/>
    <s v="Malaga"/>
    <s v="COMPRADA"/>
    <n v="33.799999999999997"/>
    <n v="3.6754500000000001"/>
    <n v="52.453542061762946"/>
    <x v="3"/>
  </r>
  <r>
    <d v="2025-04-09T00:00:00"/>
    <s v="Malaga"/>
    <s v="COMPRADA"/>
    <n v="33.799999999999997"/>
    <n v="3.6754500000000001"/>
    <n v="52.453542061762946"/>
    <x v="3"/>
  </r>
  <r>
    <d v="2025-05-23T00:00:00"/>
    <s v="Gustavo Quesada"/>
    <s v="COMPRADA"/>
    <n v="45.22"/>
    <n v="3.6808000000000001"/>
    <n v="51.586297335203369"/>
    <x v="3"/>
  </r>
  <r>
    <d v="2025-06-12T00:00:00"/>
    <s v="Gustavo Quesada"/>
    <s v="COMPRADA"/>
    <n v="24.39"/>
    <n v="3.69"/>
    <n v="51.82959960857864"/>
    <x v="3"/>
  </r>
  <r>
    <d v="2025-03-11T00:00:00"/>
    <s v="Leonidas Rodriguez"/>
    <s v="COMPRADA"/>
    <n v="24.01"/>
    <n v="3.6941750000000004"/>
    <n v="52.323937079643819"/>
    <x v="3"/>
  </r>
  <r>
    <d v="2025-03-01T00:00:00"/>
    <s v="Malaga"/>
    <s v="COMPRADA"/>
    <n v="64.63"/>
    <n v="3.6968500000000004"/>
    <n v="51.851464684466023"/>
    <x v="3"/>
  </r>
  <r>
    <d v="2025-03-01T00:00:00"/>
    <s v="Malaga"/>
    <s v="COMPRADA"/>
    <n v="127.58"/>
    <n v="3.6968500000000004"/>
    <n v="51.851464684466023"/>
    <x v="3"/>
  </r>
  <r>
    <d v="2026-01-22T00:00:00"/>
    <s v="Gustavo Quesada"/>
    <s v="COMPRADA"/>
    <n v="191.54"/>
    <n v="3.7"/>
    <n v="50.3"/>
    <x v="3"/>
  </r>
  <r>
    <d v="2025-05-20T00:00:00"/>
    <s v="Caribbean"/>
    <s v="COMPRADA"/>
    <n v="34.79"/>
    <n v="3.7155750000000003"/>
    <n v="51.615550444955502"/>
    <x v="3"/>
  </r>
  <r>
    <d v="2025-04-24T00:00:00"/>
    <s v="Leonidas Rodriguez"/>
    <s v="COMPRADA"/>
    <n v="198.84"/>
    <n v="3.7343000000000006"/>
    <n v="52.449675921351634"/>
    <x v="3"/>
  </r>
  <r>
    <d v="2025-04-24T00:00:00"/>
    <s v="Leonidas Rodriguez"/>
    <s v="COMPRADA"/>
    <n v="148.94999999999999"/>
    <n v="3.7343000000000006"/>
    <n v="52.449675921351634"/>
    <x v="3"/>
  </r>
  <r>
    <d v="2025-07-15T00:00:00"/>
    <s v="Gustavo Quesada"/>
    <s v="COMPRADA"/>
    <n v="87.38"/>
    <n v="3.74"/>
    <n v="51.920830822895198"/>
    <x v="3"/>
  </r>
  <r>
    <d v="2025-09-20T00:00:00"/>
    <s v="Gustavo Quesada"/>
    <s v="COMPRADA"/>
    <n v="87.62"/>
    <n v="3.75"/>
    <n v="52.765077191235065"/>
    <x v="3"/>
  </r>
  <r>
    <d v="2025-09-20T00:00:00"/>
    <s v="Gustavo Quesada"/>
    <s v="COMPRADA"/>
    <n v="87.62"/>
    <n v="3.75"/>
    <n v="52.765077191235065"/>
    <x v="3"/>
  </r>
  <r>
    <d v="2025-05-03T00:00:00"/>
    <s v="Malaga"/>
    <s v="COMPRADA"/>
    <n v="101.66"/>
    <n v="3.7530250000000001"/>
    <n v="51.43989131926385"/>
    <x v="3"/>
  </r>
  <r>
    <d v="2025-03-07T00:00:00"/>
    <s v="Leonidas Rodriguez"/>
    <s v="COMPRADA"/>
    <n v="26.5"/>
    <n v="3.7878000000000003"/>
    <n v="51.366474499648341"/>
    <x v="3"/>
  </r>
  <r>
    <d v="2025-07-25T00:00:00"/>
    <s v="Caliza Propia"/>
    <s v="PROPIA"/>
    <n v="836.62"/>
    <n v="3.8"/>
    <n v="49.9"/>
    <x v="3"/>
  </r>
  <r>
    <d v="2025-10-10T00:00:00"/>
    <s v="Malsitio"/>
    <s v="PROPIA"/>
    <n v="110.88"/>
    <n v="3.8"/>
    <n v="50"/>
    <x v="3"/>
  </r>
  <r>
    <d v="2026-01-29T00:00:00"/>
    <s v="Gustavo Quesada"/>
    <s v="COMPRADA"/>
    <n v="45.04"/>
    <n v="3.8"/>
    <n v="50.3"/>
    <x v="3"/>
  </r>
  <r>
    <d v="2026-02-01T00:00:00"/>
    <s v="Gustavo Quesada"/>
    <s v="COMPRADA"/>
    <n v="397"/>
    <n v="3.8"/>
    <n v="51.3"/>
    <x v="3"/>
  </r>
  <r>
    <d v="2026-02-02T00:00:00"/>
    <s v="Gustavo Quesada"/>
    <s v="COMPRADA"/>
    <n v="396.14"/>
    <n v="3.8"/>
    <n v="51.3"/>
    <x v="3"/>
  </r>
  <r>
    <d v="2025-04-16T00:00:00"/>
    <s v="Gustavo Quesada"/>
    <s v="COMPRADA"/>
    <n v="62.36"/>
    <n v="3.8065250000000002"/>
    <n v="51.534112353529295"/>
    <x v="3"/>
  </r>
  <r>
    <d v="2026-01-13T00:00:00"/>
    <s v="Afloramiento 1 Sur"/>
    <s v="PROPIA"/>
    <n v="212.86"/>
    <n v="3.81"/>
    <n v="50.7"/>
    <x v="3"/>
  </r>
  <r>
    <d v="2025-01-23T00:00:00"/>
    <s v="Caribbean"/>
    <s v="COMPRADA"/>
    <n v="1066.32"/>
    <n v="3.8252500000000005"/>
    <n v="52.207476318675837"/>
    <x v="3"/>
  </r>
  <r>
    <d v="2025-03-12T00:00:00"/>
    <s v="Caribbean"/>
    <s v="COMPRADA"/>
    <n v="243.23"/>
    <n v="3.8332750000000004"/>
    <n v="51.930575601094269"/>
    <x v="3"/>
  </r>
  <r>
    <d v="2025-04-09T00:00:00"/>
    <s v="Gustavo Quesada"/>
    <s v="COMPRADA"/>
    <n v="88.02"/>
    <n v="3.8520000000000003"/>
    <n v="52.555038503850383"/>
    <x v="3"/>
  </r>
  <r>
    <d v="2025-04-09T00:00:00"/>
    <s v="Gustavo Quesada"/>
    <s v="COMPRADA"/>
    <n v="88.02"/>
    <n v="3.8520000000000003"/>
    <n v="52.555038503850383"/>
    <x v="3"/>
  </r>
  <r>
    <d v="2025-07-04T00:00:00"/>
    <s v="Gustavo Quesada"/>
    <s v="COMPRADA"/>
    <n v="88.92"/>
    <n v="3.8573500000000003"/>
    <n v="51.718755925039872"/>
    <x v="3"/>
  </r>
  <r>
    <d v="2025-06-18T00:00:00"/>
    <s v="Malaga"/>
    <s v="COMPRADA"/>
    <n v="71.069999999999993"/>
    <n v="3.86"/>
    <n v="52.139772708350684"/>
    <x v="3"/>
  </r>
  <r>
    <d v="2025-06-26T00:00:00"/>
    <s v="Leonidas Rodriguez"/>
    <s v="COMPRADA"/>
    <n v="151.22999999999999"/>
    <n v="3.86"/>
    <n v="52.460254442312497"/>
    <x v="3"/>
  </r>
  <r>
    <d v="2025-09-16T00:00:00"/>
    <s v="Leonidas Rodriguez"/>
    <s v="COMPRADA"/>
    <n v="100.79"/>
    <n v="3.89"/>
    <n v="47.421306288969291"/>
    <x v="3"/>
  </r>
  <r>
    <d v="2025-09-16T00:00:00"/>
    <s v="Leonidas Rodriguez"/>
    <s v="COMPRADA"/>
    <n v="100.79"/>
    <n v="3.89"/>
    <n v="47.421306288969291"/>
    <x v="3"/>
  </r>
  <r>
    <d v="2025-08-14T00:00:00"/>
    <s v="Gustavo Quesada"/>
    <s v="COMPRADA"/>
    <n v="65.400000000000006"/>
    <n v="3.92"/>
    <n v="51.503240540090019"/>
    <x v="3"/>
  </r>
  <r>
    <d v="2025-11-19T00:00:00"/>
    <s v="Carbopar"/>
    <s v="COMPRADA"/>
    <n v="581.28"/>
    <n v="3.94"/>
    <n v="50.7"/>
    <x v="3"/>
  </r>
  <r>
    <d v="2025-09-22T00:00:00"/>
    <s v="Carbopar"/>
    <s v="COMPRADA"/>
    <n v="94.48"/>
    <n v="3.96"/>
    <n v="49.333444537114261"/>
    <x v="3"/>
  </r>
  <r>
    <d v="2025-09-02T00:00:00"/>
    <s v="Caribbean"/>
    <s v="COMPRADA"/>
    <n v="134.88999999999999"/>
    <n v="3.97"/>
    <n v="51.868448117539025"/>
    <x v="3"/>
  </r>
  <r>
    <d v="2025-10-07T00:00:00"/>
    <s v="Gustavo Quesada"/>
    <s v="COMPRADA"/>
    <n v="91.1"/>
    <n v="3.97"/>
    <n v="52.326912595546702"/>
    <x v="3"/>
  </r>
  <r>
    <d v="2025-08-09T00:00:00"/>
    <s v="Gustavo Quesada"/>
    <s v="COMPRADA"/>
    <n v="41.44"/>
    <n v="3.98"/>
    <n v="50.84726364014994"/>
    <x v="3"/>
  </r>
  <r>
    <d v="2025-05-22T00:00:00"/>
    <s v="Calizas &amp; Granitos"/>
    <s v="COMPRADA"/>
    <n v="241.16"/>
    <n v="3.9964500000000003"/>
    <n v="52.294329852470497"/>
    <x v="3"/>
  </r>
  <r>
    <d v="2025-08-15T00:00:00"/>
    <s v="Malaga"/>
    <s v="COMPRADA"/>
    <n v="101.2"/>
    <n v="4"/>
    <n v="51.053073845640938"/>
    <x v="3"/>
  </r>
  <r>
    <d v="2026-01-23T00:00:00"/>
    <s v="Gustavo Quesada"/>
    <s v="COMPRADA"/>
    <n v="190.74"/>
    <n v="4"/>
    <n v="52.1"/>
    <x v="3"/>
  </r>
  <r>
    <d v="2025-09-26T00:00:00"/>
    <s v="Leonidas Rodriguez"/>
    <s v="COMPRADA"/>
    <n v="102.34"/>
    <n v="4.0599999999999996"/>
    <n v="52.012539109506619"/>
    <x v="3"/>
  </r>
  <r>
    <d v="2025-05-23T00:00:00"/>
    <s v="Caliza Propia"/>
    <s v="PROPIA"/>
    <n v="314.80500000000001"/>
    <n v="4.0713500000000007"/>
    <n v="51.747938041901691"/>
    <x v="3"/>
  </r>
  <r>
    <d v="2025-12-02T00:00:00"/>
    <s v="Gustavo Quesada"/>
    <s v="COMPRADA"/>
    <n v="90.56"/>
    <n v="4.0999999999999996"/>
    <n v="50.6"/>
    <x v="3"/>
  </r>
  <r>
    <d v="2025-11-20T00:00:00"/>
    <s v="Malaga"/>
    <s v="COMPRADA"/>
    <n v="35.534999999999997"/>
    <n v="4.13"/>
    <n v="51.993772997452595"/>
    <x v="3"/>
  </r>
  <r>
    <d v="2025-05-13T00:00:00"/>
    <s v="Malaga"/>
    <s v="COMPRADA"/>
    <n v="66.59"/>
    <n v="4.1409000000000002"/>
    <n v="50.594148006379584"/>
    <x v="3"/>
  </r>
  <r>
    <d v="2025-01-17T00:00:00"/>
    <s v="Caribbean"/>
    <s v="COMPRADA"/>
    <n v="249.64"/>
    <n v="4.1435750000000002"/>
    <n v="51.783585459847799"/>
    <x v="3"/>
  </r>
  <r>
    <d v="2025-04-25T00:00:00"/>
    <s v="Leonidas Rodriguez"/>
    <s v="COMPRADA"/>
    <n v="198.84"/>
    <n v="4.1676500000000001"/>
    <n v="51.655544028319824"/>
    <x v="3"/>
  </r>
  <r>
    <d v="2025-02-11T00:00:00"/>
    <s v="Malaga"/>
    <s v="COMPRADA"/>
    <n v="221.06"/>
    <n v="4.173"/>
    <n v="51.433164861612511"/>
    <x v="3"/>
  </r>
  <r>
    <d v="2025-10-27T00:00:00"/>
    <s v="Afloramiento 1"/>
    <s v="PROPIA"/>
    <n v="210.74"/>
    <n v="4.18"/>
    <n v="52.1"/>
    <x v="3"/>
  </r>
  <r>
    <d v="2025-10-25T00:00:00"/>
    <s v="Leonidas Rodriguez"/>
    <s v="COMPRADA"/>
    <n v="106"/>
    <n v="4.2"/>
    <n v="51.6"/>
    <x v="3"/>
  </r>
  <r>
    <d v="2025-12-02T00:00:00"/>
    <s v="Caribbean"/>
    <s v="COMPRADA"/>
    <n v="188.3"/>
    <n v="4.21"/>
    <n v="52.2"/>
    <x v="3"/>
  </r>
  <r>
    <d v="2025-05-10T00:00:00"/>
    <s v="Malaga"/>
    <s v="COMPRADA"/>
    <n v="65.260000000000005"/>
    <n v="4.2452250000000005"/>
    <n v="51.115608003106829"/>
    <x v="3"/>
  </r>
  <r>
    <d v="2025-03-06T00:00:00"/>
    <s v="Leonidas Rodriguez"/>
    <s v="COMPRADA"/>
    <n v="72.58"/>
    <n v="4.2532500000000004"/>
    <n v="51.532872745490984"/>
    <x v="3"/>
  </r>
  <r>
    <d v="2025-11-29T00:00:00"/>
    <s v="Afloramiento 1 Sur"/>
    <s v="PROPIA"/>
    <n v="245.78"/>
    <n v="4.26"/>
    <n v="50.6"/>
    <x v="3"/>
  </r>
  <r>
    <d v="2025-07-07T00:00:00"/>
    <s v="Gustavo Quesada"/>
    <s v="COMPRADA"/>
    <n v="108.6"/>
    <n v="4.28"/>
    <n v="46.640357583230582"/>
    <x v="3"/>
  </r>
  <r>
    <d v="2025-12-01T00:00:00"/>
    <s v="Leonidas Rodriguez"/>
    <s v="COMPRADA"/>
    <n v="97.72"/>
    <n v="4.28"/>
    <n v="51.2"/>
    <x v="3"/>
  </r>
  <r>
    <d v="2025-02-21T00:00:00"/>
    <s v="Gustavo Quesada"/>
    <s v="COMPRADA"/>
    <n v="90.38"/>
    <n v="4.2907000000000002"/>
    <n v="51.306954175422796"/>
    <x v="3"/>
  </r>
  <r>
    <d v="2025-08-29T00:00:00"/>
    <s v="Leonidas Rodriguez"/>
    <s v="COMPRADA"/>
    <n v="77.19"/>
    <n v="4.3099999999999996"/>
    <n v="50.691300813008127"/>
    <x v="3"/>
  </r>
  <r>
    <d v="2025-10-14T00:00:00"/>
    <s v="Leonidas Rodriguez"/>
    <s v="COMPRADA"/>
    <n v="77.75"/>
    <n v="4.3099999999999996"/>
    <n v="51.695023596419851"/>
    <x v="3"/>
  </r>
  <r>
    <d v="2025-11-15T00:00:00"/>
    <s v="Malaga"/>
    <s v="COMPRADA"/>
    <n v="109.13"/>
    <n v="4.34"/>
    <n v="52.1"/>
    <x v="3"/>
  </r>
  <r>
    <d v="2025-01-08T00:00:00"/>
    <s v="Malaga"/>
    <s v="COMPRADA"/>
    <n v="238.34"/>
    <n v="4.3468749999999998"/>
    <n v="51.838560785498494"/>
    <x v="3"/>
  </r>
  <r>
    <d v="2025-08-30T00:00:00"/>
    <s v="Lisandro Rojas"/>
    <s v="COMPRADA"/>
    <n v="45.16"/>
    <n v="4.3600000000000003"/>
    <n v="51.290926870037602"/>
    <x v="3"/>
  </r>
  <r>
    <d v="2025-02-28T00:00:00"/>
    <s v="Leonidas Rodriguez"/>
    <s v="COMPRADA"/>
    <n v="190.64"/>
    <n v="4.3629249999999997"/>
    <n v="51.460735900271438"/>
    <x v="3"/>
  </r>
  <r>
    <d v="2025-11-15T00:00:00"/>
    <s v="Afloramiento 1 Sur"/>
    <s v="PROPIA"/>
    <n v="138.66"/>
    <n v="4.37"/>
    <n v="49.5"/>
    <x v="3"/>
  </r>
  <r>
    <d v="2025-01-14T00:00:00"/>
    <s v="Carbopar"/>
    <s v="COMPRADA"/>
    <n v="334.78"/>
    <n v="4.3843250000000005"/>
    <n v="49.201108341274576"/>
    <x v="3"/>
  </r>
  <r>
    <d v="2025-11-21T00:00:00"/>
    <s v="Gustavo Quesada"/>
    <s v="COMPRADA"/>
    <n v="89.9"/>
    <n v="4.46"/>
    <n v="51.94495304579074"/>
    <x v="3"/>
  </r>
  <r>
    <d v="2025-01-24T00:00:00"/>
    <s v="Malaga"/>
    <s v="COMPRADA"/>
    <n v="205.75"/>
    <n v="4.4699250000000008"/>
    <n v="51.604925380629737"/>
    <x v="3"/>
  </r>
  <r>
    <d v="2025-10-08T00:00:00"/>
    <s v="Gustavo Quesada"/>
    <s v="COMPRADA"/>
    <n v="70.900000000000006"/>
    <n v="4.5"/>
    <n v="51.11533155614795"/>
    <x v="3"/>
  </r>
  <r>
    <d v="2025-12-03T00:00:00"/>
    <s v="Gustavo Quesada"/>
    <s v="COMPRADA"/>
    <n v="91.7"/>
    <n v="4.5"/>
    <n v="50.9"/>
    <x v="3"/>
  </r>
  <r>
    <d v="2025-12-01T00:00:00"/>
    <s v="Afloramiento 1 Sur"/>
    <s v="PROPIA"/>
    <n v="246.82"/>
    <n v="4.5199999999999996"/>
    <n v="50.3"/>
    <x v="3"/>
  </r>
  <r>
    <d v="2025-02-11T00:00:00"/>
    <s v="Gustavo Quesada"/>
    <s v="COMPRADA"/>
    <n v="66.400000000000006"/>
    <n v="4.5207499999999996"/>
    <n v="50.389767969293452"/>
    <x v="3"/>
  </r>
  <r>
    <d v="2025-09-25T00:00:00"/>
    <s v="Caliza Propia"/>
    <s v="PROPIA"/>
    <n v="531.46100000000001"/>
    <n v="4.54"/>
    <n v="51.700071099958173"/>
    <x v="3"/>
  </r>
  <r>
    <d v="2025-05-16T00:00:00"/>
    <s v="Gustavo Quesada"/>
    <s v="COMPRADA"/>
    <n v="65.819999999999993"/>
    <n v="4.5448249999999994"/>
    <n v="51.45393716644849"/>
    <x v="3"/>
  </r>
  <r>
    <d v="2025-01-28T00:00:00"/>
    <s v="Gustavo Quesada"/>
    <s v="COMPRADA"/>
    <n v="21.86"/>
    <n v="4.5635500000000002"/>
    <n v="49.804938453865333"/>
    <x v="3"/>
  </r>
  <r>
    <d v="2025-11-26T00:00:00"/>
    <s v="Afloramiento 1 Sur"/>
    <s v="PROPIA"/>
    <n v="943.06"/>
    <n v="4.57"/>
    <n v="49.8"/>
    <x v="3"/>
  </r>
  <r>
    <d v="2026-01-05T00:00:00"/>
    <s v="Volador"/>
    <s v="NA"/>
    <n v="653.55999999999995"/>
    <n v="4.57"/>
    <n v="50.2"/>
    <x v="3"/>
  </r>
  <r>
    <d v="2025-07-16T00:00:00"/>
    <s v="Lisandro Rojas"/>
    <s v="COMPRADA"/>
    <n v="50.06"/>
    <n v="4.59"/>
    <n v="51.01153373762186"/>
    <x v="3"/>
  </r>
  <r>
    <d v="2025-10-08T00:00:00"/>
    <s v="Malaga"/>
    <s v="COMPRADA"/>
    <n v="111.73"/>
    <n v="4.5999999999999996"/>
    <n v="48.303670256835126"/>
    <x v="3"/>
  </r>
  <r>
    <d v="2025-11-12T00:00:00"/>
    <s v="Gustavo Quesada"/>
    <s v="COMPRADA"/>
    <n v="93.76"/>
    <n v="4.5999999999999996"/>
    <n v="52.1"/>
    <x v="3"/>
  </r>
  <r>
    <d v="2026-02-04T00:00:00"/>
    <s v="Gustavo Quesada"/>
    <s v="COMPRADA"/>
    <n v="66.44"/>
    <n v="4.5999999999999996"/>
    <n v="48.5"/>
    <x v="3"/>
  </r>
  <r>
    <d v="2025-05-14T00:00:00"/>
    <s v="Caribbean"/>
    <s v="COMPRADA"/>
    <n v="519.47"/>
    <n v="4.601"/>
    <n v="51.458522078702309"/>
    <x v="3"/>
  </r>
  <r>
    <d v="2025-06-20T00:00:00"/>
    <s v="Gustavo Quesada"/>
    <s v="COMPRADA"/>
    <n v="91.02"/>
    <n v="4.62"/>
    <n v="51.331341051616015"/>
    <x v="3"/>
  </r>
  <r>
    <d v="2025-11-04T00:00:00"/>
    <s v="Afloramiento 1"/>
    <s v="PROPIA"/>
    <n v="351.7"/>
    <n v="4.68"/>
    <n v="49.5"/>
    <x v="3"/>
  </r>
  <r>
    <d v="2025-07-21T00:00:00"/>
    <s v="Gustavo Quesada"/>
    <s v="COMPRADA"/>
    <n v="67.58"/>
    <n v="4.7"/>
    <n v="51.672894824707846"/>
    <x v="3"/>
  </r>
  <r>
    <d v="2026-02-12T00:00:00"/>
    <s v="Leonidas Rodriguez"/>
    <s v="COMPRADA"/>
    <n v="89.7"/>
    <n v="4.7"/>
    <n v="51.2"/>
    <x v="3"/>
  </r>
  <r>
    <d v="2025-02-14T00:00:00"/>
    <s v="Caribbean"/>
    <s v="COMPRADA"/>
    <n v="308.08999999999997"/>
    <n v="4.7080000000000011"/>
    <n v="51.2896191904048"/>
    <x v="3"/>
  </r>
  <r>
    <d v="2025-04-07T00:00:00"/>
    <s v="Malaga"/>
    <s v="COMPRADA"/>
    <n v="29.42"/>
    <n v="4.7106750000000002"/>
    <n v="50.996195456547859"/>
    <x v="3"/>
  </r>
  <r>
    <d v="2025-04-07T00:00:00"/>
    <s v="Malaga"/>
    <s v="COMPRADA"/>
    <n v="29.42"/>
    <n v="4.7106750000000002"/>
    <n v="50.996195456547859"/>
    <x v="3"/>
  </r>
  <r>
    <d v="2025-06-17T00:00:00"/>
    <s v="Gustavo Quesada"/>
    <s v="COMPRADA"/>
    <n v="43.86"/>
    <n v="4.7300000000000004"/>
    <n v="45.155236673399493"/>
    <x v="3"/>
  </r>
  <r>
    <d v="2026-01-27T00:00:00"/>
    <s v="Afloramiento 1 Sur"/>
    <s v="PROPIA"/>
    <n v="75.87"/>
    <n v="4.7300000000000004"/>
    <n v="50.3"/>
    <x v="3"/>
  </r>
  <r>
    <d v="2025-07-18T00:00:00"/>
    <s v="Caliza Propia"/>
    <s v="PROPIA"/>
    <n v="235"/>
    <n v="4.75"/>
    <n v="47.894978828792844"/>
    <x v="3"/>
  </r>
  <r>
    <d v="2025-07-18T00:00:00"/>
    <s v="Caliza Propia"/>
    <s v="PROPIA"/>
    <n v="11.228999999999999"/>
    <n v="4.75"/>
    <n v="47.9"/>
    <x v="3"/>
  </r>
  <r>
    <d v="2025-05-07T00:00:00"/>
    <s v="Gustavo Quesada"/>
    <s v="COMPRADA"/>
    <n v="66.540000000000006"/>
    <n v="4.7668500000000007"/>
    <n v="48.044410770094856"/>
    <x v="3"/>
  </r>
  <r>
    <d v="2025-08-23T00:00:00"/>
    <s v="Gustavo Quesada"/>
    <s v="COMPRADA"/>
    <n v="95.5"/>
    <n v="4.79"/>
    <n v="51.945763521583345"/>
    <x v="3"/>
  </r>
  <r>
    <d v="2025-03-19T00:00:00"/>
    <s v="Leonidas Rodriguez"/>
    <s v="COMPRADA"/>
    <n v="75.33"/>
    <n v="4.7909250000000005"/>
    <n v="50.979802380059979"/>
    <x v="3"/>
  </r>
  <r>
    <d v="2025-02-13T00:00:00"/>
    <s v="Malaga"/>
    <s v="COMPRADA"/>
    <n v="70.87"/>
    <n v="4.876525"/>
    <n v="50.764396088537005"/>
    <x v="3"/>
  </r>
  <r>
    <d v="2025-06-07T00:00:00"/>
    <s v="Gustavo Quesada"/>
    <s v="COMPRADA"/>
    <n v="0"/>
    <n v="4.8899999999999997"/>
    <n v="51.017186564682405"/>
    <x v="3"/>
  </r>
  <r>
    <d v="2025-07-17T00:00:00"/>
    <s v="Gustavo Quesada"/>
    <s v="COMPRADA"/>
    <n v="86.7"/>
    <n v="4.8899999999999997"/>
    <n v="50.76369429404415"/>
    <x v="3"/>
  </r>
  <r>
    <d v="2025-07-22T00:00:00"/>
    <s v="Gustavo Quesada"/>
    <s v="COMPRADA"/>
    <n v="43.66"/>
    <n v="4.9000000000000004"/>
    <n v="50.345135360266561"/>
    <x v="3"/>
  </r>
  <r>
    <d v="2026-02-09T00:00:00"/>
    <s v="Carbopar"/>
    <s v="COMPRADA"/>
    <n v="458.25"/>
    <n v="4.9000000000000004"/>
    <n v="49.8"/>
    <x v="3"/>
  </r>
  <r>
    <d v="2025-11-06T00:00:00"/>
    <s v="Leonidas Rodriguez"/>
    <s v="COMPRADA"/>
    <n v="72.58"/>
    <n v="4.9139750000000006"/>
    <n v="50.007290491240298"/>
    <x v="3"/>
  </r>
  <r>
    <d v="2025-09-18T00:00:00"/>
    <s v="Gustavo Quesada"/>
    <s v="COMPRADA"/>
    <n v="89.4"/>
    <n v="4.9400000000000004"/>
    <n v="51.294882876938303"/>
    <x v="3"/>
  </r>
  <r>
    <d v="2025-10-31T00:00:00"/>
    <s v="Gustavo Quesada"/>
    <s v="COMPRADA"/>
    <n v="92.62"/>
    <n v="4.95"/>
    <n v="49.52"/>
    <x v="3"/>
  </r>
  <r>
    <d v="2026-01-24T00:00:00"/>
    <s v="Afloramiento 1 Sur"/>
    <s v="PROPIA"/>
    <n v="268.04000000000002"/>
    <n v="5.03"/>
    <n v="48.7"/>
    <x v="3"/>
  </r>
  <r>
    <d v="2025-01-29T00:00:00"/>
    <s v="Carbopar"/>
    <s v="COMPRADA"/>
    <n v="384"/>
    <n v="5.0958750000000004"/>
    <n v="49.432427920873735"/>
    <x v="3"/>
  </r>
  <r>
    <d v="2025-07-09T00:00:00"/>
    <s v="Leonidas Rodriguez"/>
    <s v="COMPRADA"/>
    <n v="230.01"/>
    <n v="5.0999999999999996"/>
    <n v="51.336386233269593"/>
    <x v="3"/>
  </r>
  <r>
    <d v="2026-02-11T00:00:00"/>
    <s v="Gustavo Quesada"/>
    <s v="COMPRADA"/>
    <n v="90.44"/>
    <n v="5.0999999999999996"/>
    <n v="50.1"/>
    <x v="3"/>
  </r>
  <r>
    <d v="2026-01-19T00:00:00"/>
    <s v="Gustavo Quesada"/>
    <s v="COMPRADA"/>
    <n v="114.14"/>
    <n v="5.1360000000000001"/>
    <n v="49.258751199126465"/>
    <x v="3"/>
  </r>
  <r>
    <d v="2025-05-12T00:00:00"/>
    <s v="Caliza Propia"/>
    <s v="PROPIA"/>
    <n v="193.893"/>
    <n v="5.2109000000000005"/>
    <n v="50.512002681663496"/>
    <x v="3"/>
  </r>
  <r>
    <d v="2025-02-08T00:00:00"/>
    <s v="Malaga"/>
    <s v="COMPRADA"/>
    <n v="103.4"/>
    <n v="5.2135749999999996"/>
    <n v="50.829813238506603"/>
    <x v="3"/>
  </r>
  <r>
    <d v="2025-10-15T00:00:00"/>
    <s v="Malaga"/>
    <s v="COMPRADA"/>
    <n v="217.71"/>
    <n v="5.22"/>
    <n v="47.704382302405499"/>
    <x v="3"/>
  </r>
  <r>
    <d v="2025-06-18T00:00:00"/>
    <s v="Caliza Propia"/>
    <s v="PROPIA"/>
    <n v="545.67899999999997"/>
    <n v="5.25"/>
    <n v="50.97434404865335"/>
    <x v="3"/>
  </r>
  <r>
    <d v="2025-08-25T00:00:00"/>
    <s v="Leonidas Rodriguez"/>
    <s v="COMPRADA"/>
    <n v="232.03"/>
    <n v="5.27"/>
    <n v="50.863771120013936"/>
    <x v="3"/>
  </r>
  <r>
    <d v="2025-02-03T00:00:00"/>
    <s v="Gustavo Quesada"/>
    <s v="COMPRADA"/>
    <n v="84.92"/>
    <n v="5.2911500000000009"/>
    <n v="49.797517315194554"/>
    <x v="3"/>
  </r>
  <r>
    <d v="2025-02-15T00:00:00"/>
    <s v="Malaga"/>
    <s v="COMPRADA"/>
    <n v="34.44"/>
    <n v="5.2965000000000009"/>
    <n v="51.540861298086504"/>
    <x v="3"/>
  </r>
  <r>
    <d v="2025-07-24T00:00:00"/>
    <s v="Gustavo Quesada"/>
    <s v="COMPRADA"/>
    <n v="44.74"/>
    <n v="5.3"/>
    <n v="50.321877554424887"/>
    <x v="3"/>
  </r>
  <r>
    <d v="2025-10-28T00:00:00"/>
    <s v="Afloramiento 1 Sur"/>
    <s v="PROPIA"/>
    <n v="53"/>
    <n v="5.34"/>
    <n v="50.6"/>
    <x v="3"/>
  </r>
  <r>
    <d v="2025-03-10T00:00:00"/>
    <s v="Gustavo Quesada"/>
    <s v="COMPRADA"/>
    <n v="62.9"/>
    <n v="5.3473249999999997"/>
    <n v="49.867104310827003"/>
    <x v="3"/>
  </r>
  <r>
    <d v="2025-11-22T00:00:00"/>
    <s v="Gustavo Quesada"/>
    <s v="COMPRADA"/>
    <n v="24.68"/>
    <n v="5.41"/>
    <n v="49.695372581309179"/>
    <x v="3"/>
  </r>
  <r>
    <d v="2025-03-26T00:00:00"/>
    <s v="Gustavo Quesada"/>
    <s v="COMPRADA"/>
    <n v="39.92"/>
    <n v="5.4436250000000008"/>
    <n v="49.89836359077232"/>
    <x v="3"/>
  </r>
  <r>
    <d v="2025-10-08T00:00:00"/>
    <s v="Malsitio"/>
    <s v="PROPIA"/>
    <n v="345.32"/>
    <n v="5.5"/>
    <n v="50.4"/>
    <x v="3"/>
  </r>
  <r>
    <d v="2025-07-02T00:00:00"/>
    <s v="Gustavo Quesada"/>
    <s v="COMPRADA"/>
    <n v="0"/>
    <n v="5.5934250000000008"/>
    <n v="50.644120097240275"/>
    <x v="3"/>
  </r>
  <r>
    <d v="2025-07-22T00:00:00"/>
    <s v="Gustavo Quesada"/>
    <s v="COMPRADA"/>
    <n v="87.68"/>
    <n v="5.61"/>
    <n v="49.933769198837695"/>
    <x v="3"/>
  </r>
  <r>
    <d v="2025-01-16T00:00:00"/>
    <s v="Malaga"/>
    <s v="COMPRADA"/>
    <n v="147.21"/>
    <n v="5.6469250000000004"/>
    <n v="49.698865976049703"/>
    <x v="3"/>
  </r>
  <r>
    <d v="2025-06-03T00:00:00"/>
    <s v="Gustavo Quesada"/>
    <s v="COMPRADA"/>
    <n v="85.04"/>
    <n v="5.68"/>
    <n v="48.423351671251147"/>
    <x v="3"/>
  </r>
  <r>
    <d v="2025-07-05T00:00:00"/>
    <s v="Lisandro Rojas"/>
    <s v="COMPRADA"/>
    <n v="22.66"/>
    <n v="5.687050000000001"/>
    <n v="49.868117439939937"/>
    <x v="3"/>
  </r>
  <r>
    <d v="2025-09-26T00:00:00"/>
    <s v="Gustavo Quesada"/>
    <s v="COMPRADA"/>
    <n v="97.18"/>
    <n v="5.7"/>
    <n v="47.694395811175653"/>
    <x v="3"/>
  </r>
  <r>
    <d v="2025-10-23T00:00:00"/>
    <s v="Afloramiento 1"/>
    <s v="PROPIA"/>
    <n v="139.13999999999999"/>
    <n v="5.72"/>
    <n v="51.1"/>
    <x v="3"/>
  </r>
  <r>
    <d v="2025-03-13T00:00:00"/>
    <s v="Gustavo Quesada"/>
    <s v="COMPRADA"/>
    <n v="63.94"/>
    <n v="5.7485749999999998"/>
    <n v="44.207239619619621"/>
    <x v="3"/>
  </r>
  <r>
    <d v="2025-06-18T00:00:00"/>
    <s v="Gustavo Quesada"/>
    <s v="COMPRADA"/>
    <n v="21.42"/>
    <n v="5.75"/>
    <n v="50.726895977346544"/>
    <x v="3"/>
  </r>
  <r>
    <d v="2025-05-19T00:00:00"/>
    <s v="Gustavo Quesada"/>
    <s v="COMPRADA"/>
    <n v="89.96"/>
    <n v="5.7833500000000004"/>
    <n v="50.520128788670149"/>
    <x v="3"/>
  </r>
  <r>
    <d v="2025-05-13T00:00:00"/>
    <s v="Caliza Propia"/>
    <s v="PROPIA"/>
    <n v="154.041"/>
    <n v="5.7940500000000004"/>
    <n v="49.106017984976809"/>
    <x v="3"/>
  </r>
  <r>
    <d v="2025-01-29T00:00:00"/>
    <s v="Carbopar"/>
    <s v="COMPRADA"/>
    <n v="384"/>
    <n v="5.7967250000000003"/>
    <n v="49.44838730950471"/>
    <x v="3"/>
  </r>
  <r>
    <d v="2025-08-28T00:00:00"/>
    <s v="Leonidas Rodriguez"/>
    <s v="COMPRADA"/>
    <n v="199.97"/>
    <n v="5.81"/>
    <n v="49.75858676207514"/>
    <x v="3"/>
  </r>
  <r>
    <d v="2025-09-04T00:00:00"/>
    <s v="Gustavo Quesada"/>
    <s v="COMPRADA"/>
    <n v="100.19"/>
    <n v="5.82"/>
    <n v="47.276061743846476"/>
    <x v="3"/>
  </r>
  <r>
    <d v="2025-11-15T00:00:00"/>
    <s v="Leonidas Rodriguez"/>
    <s v="COMPRADA"/>
    <n v="95.34"/>
    <n v="5.83"/>
    <n v="50.642238979118332"/>
    <x v="3"/>
  </r>
  <r>
    <d v="2025-07-16T00:00:00"/>
    <s v="Gustavo Quesada"/>
    <s v="COMPRADA"/>
    <n v="86.26"/>
    <n v="5.91"/>
    <n v="48.420552212972886"/>
    <x v="3"/>
  </r>
  <r>
    <d v="2025-10-23T00:00:00"/>
    <s v="Carbopar"/>
    <s v="COMPRADA"/>
    <n v="422.12"/>
    <n v="5.97"/>
    <n v="49.1"/>
    <x v="3"/>
  </r>
  <r>
    <d v="2025-10-24T00:00:00"/>
    <s v="Malaga"/>
    <s v="COMPRADA"/>
    <n v="177.09"/>
    <n v="5.98"/>
    <n v="54.3"/>
    <x v="3"/>
  </r>
  <r>
    <d v="2025-04-23T00:00:00"/>
    <s v="Leonidas Rodriguez"/>
    <s v="COMPRADA"/>
    <n v="73.42"/>
    <n v="5.9893250000000009"/>
    <n v="48.982605724299063"/>
    <x v="3"/>
  </r>
  <r>
    <d v="2025-01-30T00:00:00"/>
    <s v="Gustavo Quesada"/>
    <s v="COMPRADA"/>
    <n v="80.94"/>
    <n v="6.0160749999999998"/>
    <n v="49.258315831253128"/>
    <x v="3"/>
  </r>
  <r>
    <d v="2025-03-11T00:00:00"/>
    <s v="Gustavo Quesada"/>
    <s v="COMPRADA"/>
    <n v="21.64"/>
    <n v="6.0856250000000003"/>
    <n v="49.854532139278554"/>
    <x v="3"/>
  </r>
  <r>
    <d v="2025-06-05T00:00:00"/>
    <s v="Gustavo Quesada"/>
    <s v="COMPRADA"/>
    <n v="113.04"/>
    <n v="6.21"/>
    <n v="50.745998359983602"/>
    <x v="3"/>
  </r>
  <r>
    <d v="2025-09-08T00:00:00"/>
    <s v="Carbopar"/>
    <s v="COMPRADA"/>
    <n v="86.96"/>
    <n v="6.25"/>
    <n v="49.191946755407656"/>
    <x v="3"/>
  </r>
  <r>
    <d v="2025-04-23T00:00:00"/>
    <s v="Gustavo Quesada"/>
    <s v="COMPRADA"/>
    <n v="20.82"/>
    <n v="6.2568250000000001"/>
    <n v="47.40006537695448"/>
    <x v="3"/>
  </r>
  <r>
    <d v="2025-10-08T00:00:00"/>
    <s v="Leonidas Rodriguez"/>
    <s v="COMPRADA"/>
    <n v="205.8"/>
    <n v="6.27"/>
    <n v="49.268030836266135"/>
    <x v="3"/>
  </r>
  <r>
    <d v="2025-05-21T00:00:00"/>
    <s v="Leonidas Rodriguez"/>
    <s v="COMPRADA"/>
    <n v="187.42"/>
    <n v="6.3558000000000012"/>
    <n v="50.423376527092351"/>
    <x v="3"/>
  </r>
  <r>
    <d v="2025-12-11T00:00:00"/>
    <s v="Leonidas Rodriguez"/>
    <s v="COMPRADA"/>
    <n v="151.47"/>
    <n v="6.4"/>
    <n v="49.9"/>
    <x v="3"/>
  </r>
  <r>
    <d v="2025-06-06T00:00:00"/>
    <s v="Gustavo Quesada"/>
    <s v="COMPRADA"/>
    <n v="68.260000000000005"/>
    <n v="6.47"/>
    <n v="48.797771124417835"/>
    <x v="3"/>
  </r>
  <r>
    <d v="2025-06-19T00:00:00"/>
    <s v="Gustavo Quesada"/>
    <s v="COMPRADA"/>
    <n v="90.12"/>
    <n v="6.49"/>
    <n v="49.863679237463728"/>
    <x v="3"/>
  </r>
  <r>
    <d v="2025-06-27T00:00:00"/>
    <s v="Leonidas Rodriguez"/>
    <s v="COMPRADA"/>
    <n v="125.84"/>
    <n v="6.6366750000000003"/>
    <n v="50.385091094140584"/>
    <x v="3"/>
  </r>
  <r>
    <d v="2025-07-07T00:00:00"/>
    <s v="Caliza Propia"/>
    <s v="PROPIA"/>
    <n v="235"/>
    <n v="6.8"/>
    <n v="50.390722466201666"/>
    <x v="3"/>
  </r>
  <r>
    <d v="2025-08-23T00:00:00"/>
    <s v="Carbopar"/>
    <s v="COMPRADA"/>
    <n v="235.95"/>
    <n v="6.87"/>
    <n v="50.226056226315322"/>
    <x v="3"/>
  </r>
  <r>
    <d v="2026-02-13T00:00:00"/>
    <s v="Leonidas Rodriguez"/>
    <s v="COMPRADA"/>
    <n v="74.14"/>
    <n v="6.9"/>
    <n v="49.2"/>
    <x v="3"/>
  </r>
  <r>
    <d v="2025-10-14T00:00:00"/>
    <s v="Gustavo Quesada"/>
    <s v="COMPRADA"/>
    <n v="70.680000000000007"/>
    <n v="7"/>
    <n v="48.9"/>
    <x v="3"/>
  </r>
  <r>
    <d v="2025-12-03T00:00:00"/>
    <s v="Leonidas Rodriguez"/>
    <s v="COMPRADA"/>
    <n v="73.17"/>
    <n v="7"/>
    <n v="49.7"/>
    <x v="3"/>
  </r>
  <r>
    <d v="2025-04-02T00:00:00"/>
    <s v="Lisandro Rojas"/>
    <s v="COMPRADA"/>
    <n v="49.95"/>
    <n v="7.2171500000000002"/>
    <n v="50.074874981985595"/>
    <x v="3"/>
  </r>
  <r>
    <d v="2025-04-02T00:00:00"/>
    <s v="Lisandro Rojas"/>
    <s v="COMPRADA"/>
    <n v="49.95"/>
    <n v="7.2171500000000002"/>
    <n v="50.074874981985595"/>
    <x v="3"/>
  </r>
  <r>
    <d v="2025-03-26T00:00:00"/>
    <s v="Malaga"/>
    <s v="COMPRADA"/>
    <n v="34.049999999999997"/>
    <n v="7.2706500000000007"/>
    <n v="48.197679736524535"/>
    <x v="3"/>
  </r>
  <r>
    <d v="2025-06-12T00:00:00"/>
    <s v="Lisandro Rojas"/>
    <s v="COMPRADA"/>
    <n v="248.72"/>
    <n v="7.28"/>
    <n v="49.896037664066959"/>
    <x v="3"/>
  </r>
  <r>
    <d v="2025-05-20T00:00:00"/>
    <s v="Leonidas Rodriguez"/>
    <s v="COMPRADA"/>
    <n v="94.25"/>
    <n v="7.3375250000000003"/>
    <n v="49.880538446965907"/>
    <x v="3"/>
  </r>
  <r>
    <d v="2025-11-19T00:00:00"/>
    <s v="Malaga"/>
    <s v="COMPRADA"/>
    <n v="108.67"/>
    <n v="7.34"/>
    <n v="48.8"/>
    <x v="3"/>
  </r>
  <r>
    <d v="2025-11-21T00:00:00"/>
    <s v="Afloramiento 1 Sur"/>
    <s v="PROPIA"/>
    <n v="123.14"/>
    <n v="7.37"/>
    <n v="47.6"/>
    <x v="3"/>
  </r>
  <r>
    <d v="2025-10-09T00:00:00"/>
    <s v="Lisandro Rojas"/>
    <s v="COMPRADA"/>
    <n v="49.13"/>
    <n v="7.38"/>
    <n v="48.35857047595232"/>
    <x v="3"/>
  </r>
  <r>
    <d v="2025-10-06T00:00:00"/>
    <s v="Gustavo Quesada"/>
    <s v="COMPRADA"/>
    <n v="92.74"/>
    <n v="7.46"/>
    <n v="48.287742586554884"/>
    <x v="3"/>
  </r>
  <r>
    <d v="2025-06-27T00:00:00"/>
    <s v="Gustavo Quesada"/>
    <s v="COMPRADA"/>
    <n v="69.66"/>
    <n v="8.0624500000000001"/>
    <n v="47.194087973642098"/>
    <x v="3"/>
  </r>
  <r>
    <d v="2025-03-19T00:00:00"/>
    <s v="Malaga"/>
    <s v="COMPRADA"/>
    <n v="113.6"/>
    <n v="8.196200000000001"/>
    <n v="45.765658009968945"/>
    <x v="3"/>
  </r>
  <r>
    <d v="2025-12-05T00:00:00"/>
    <s v="Leonidas Rodriguez"/>
    <s v="COMPRADA"/>
    <n v="127.56"/>
    <n v="8.1999999999999993"/>
    <n v="49.6"/>
    <x v="3"/>
  </r>
  <r>
    <d v="2026-01-26T00:00:00"/>
    <s v="Gustavo Quesada"/>
    <s v="COMPRADA"/>
    <n v="46.44"/>
    <n v="8.1999999999999993"/>
    <n v="48.1"/>
    <x v="3"/>
  </r>
  <r>
    <d v="2025-06-03T00:00:00"/>
    <s v="Carbopar"/>
    <s v="COMPRADA"/>
    <n v="92.62"/>
    <n v="8.5"/>
    <n v="48.473037827028818"/>
    <x v="3"/>
  </r>
  <r>
    <d v="2025-03-04T00:00:00"/>
    <s v="Malaga"/>
    <s v="COMPRADA"/>
    <n v="127.66"/>
    <n v="8.5493000000000006"/>
    <n v="48.822079991297862"/>
    <x v="3"/>
  </r>
  <r>
    <d v="2025-08-25T00:00:00"/>
    <s v="Gustavo Quesada"/>
    <s v="COMPRADA"/>
    <n v="44.68"/>
    <n v="8.7100000000000009"/>
    <n v="47.682249633399465"/>
    <x v="3"/>
  </r>
  <r>
    <d v="2025-09-27T00:00:00"/>
    <s v="Caliza Propia"/>
    <s v="PROPIA"/>
    <n v="730.15300000000002"/>
    <n v="8.77"/>
    <n v="48.2"/>
    <x v="3"/>
  </r>
  <r>
    <d v="2025-07-01T00:00:00"/>
    <s v="Gustavo Quesada"/>
    <s v="COMPRADA"/>
    <n v="0"/>
    <n v="8.8596000000000004"/>
    <n v="45.61347943779905"/>
    <x v="3"/>
  </r>
  <r>
    <d v="2025-12-12T00:00:00"/>
    <s v="Gustavo Quesada"/>
    <s v="COMPRADA"/>
    <n v="109.26"/>
    <n v="8.9"/>
    <n v="54.2"/>
    <x v="3"/>
  </r>
  <r>
    <d v="2025-09-17T00:00:00"/>
    <s v="Caliza Propia"/>
    <s v="PROPIA"/>
    <n v="112.452"/>
    <n v="8.9600000000000009"/>
    <n v="48.5"/>
    <x v="3"/>
  </r>
  <r>
    <d v="2025-04-22T00:00:00"/>
    <s v="Gustavo Quesada"/>
    <s v="COMPRADA"/>
    <n v="65.62"/>
    <n v="9.1378000000000004"/>
    <n v="46.775905250225662"/>
    <x v="3"/>
  </r>
  <r>
    <d v="2025-10-09T00:00:00"/>
    <s v="Malaga"/>
    <s v="COMPRADA"/>
    <n v="31.15"/>
    <n v="9.2200000000000006"/>
    <n v="48.504209213371027"/>
    <x v="3"/>
  </r>
  <r>
    <d v="2026-01-24T00:00:00"/>
    <s v="Gustavo Quesada"/>
    <s v="COMPRADA"/>
    <n v="24.86"/>
    <n v="9.3000000000000007"/>
    <n v="47.1"/>
    <x v="3"/>
  </r>
  <r>
    <d v="2025-05-21T00:00:00"/>
    <s v="Gustavo Quesada"/>
    <s v="COMPRADA"/>
    <n v="20.440000000000001"/>
    <n v="9.4828750000000017"/>
    <n v="44.562087750200163"/>
    <x v="3"/>
  </r>
  <r>
    <d v="2025-02-06T00:00:00"/>
    <s v="Gustavo Quesada"/>
    <s v="COMPRADA"/>
    <n v="65.2"/>
    <n v="9.5791750000000011"/>
    <n v="46.641063004243634"/>
    <x v="3"/>
  </r>
  <r>
    <d v="2026-02-09T00:00:00"/>
    <s v="Leonidas Rodriguez"/>
    <s v="COMPRADA"/>
    <n v="67.56"/>
    <n v="9.6"/>
    <n v="48.1"/>
    <x v="3"/>
  </r>
  <r>
    <d v="2025-03-19T00:00:00"/>
    <s v="Gustavo Quesada"/>
    <s v="COMPRADA"/>
    <n v="83.98"/>
    <n v="9.7584"/>
    <n v="45.901043377563333"/>
    <x v="3"/>
  </r>
  <r>
    <d v="2025-03-12T00:00:00"/>
    <s v="Gustavo Quesada"/>
    <s v="COMPRADA"/>
    <n v="63.94"/>
    <n v="10.2934"/>
    <n v="46.446163199440448"/>
    <x v="3"/>
  </r>
  <r>
    <d v="2025-03-05T00:00:00"/>
    <s v="Gustavo Quesada"/>
    <s v="COMPRADA"/>
    <n v="29.428000000000001"/>
    <n v="10.849800000000002"/>
    <n v="45.867528460155782"/>
    <x v="3"/>
  </r>
  <r>
    <d v="2025-03-08T00:00:00"/>
    <s v="Gustavo Quesada"/>
    <s v="COMPRADA"/>
    <n v="70.680000000000007"/>
    <n v="11.253725000000001"/>
    <n v="43.36679557356608"/>
    <x v="3"/>
  </r>
  <r>
    <d v="2025-07-05T00:00:00"/>
    <s v="Gustavo Quesada"/>
    <s v="COMPRADA"/>
    <n v="22.04"/>
    <n v="11.422250000000002"/>
    <n v="42.69572906908256"/>
    <x v="3"/>
  </r>
  <r>
    <d v="2025-06-26T00:00:00"/>
    <s v="Gustavo Quesada"/>
    <s v="COMPRADA"/>
    <n v="63.38"/>
    <n v="11.76"/>
    <n v="44.7235802983582"/>
    <x v="3"/>
  </r>
  <r>
    <d v="2025-02-14T00:00:00"/>
    <s v="Malaga"/>
    <s v="COMPRADA"/>
    <n v="137.74"/>
    <n v="11.906425"/>
    <n v="46.282837993716335"/>
    <x v="3"/>
  </r>
  <r>
    <d v="2025-09-13T00:00:00"/>
    <s v="Gustavo Quesada"/>
    <s v="COMPRADA"/>
    <n v="91.34"/>
    <n v="12.29"/>
    <n v="46.263455149501667"/>
    <x v="3"/>
  </r>
  <r>
    <d v="2025-11-22T00:00:00"/>
    <s v="Malaga"/>
    <s v="COMPRADA"/>
    <n v="35.534999999999997"/>
    <n v="12.42"/>
    <n v="43.972077365056244"/>
    <x v="3"/>
  </r>
  <r>
    <d v="2025-04-12T00:00:00"/>
    <s v="Malaga"/>
    <s v="COMPRADA"/>
    <n v="166.98"/>
    <n v="12.55645"/>
    <n v="46.029955900321539"/>
    <x v="3"/>
  </r>
  <r>
    <d v="2025-04-12T00:00:00"/>
    <s v="Malaga"/>
    <s v="COMPRADA"/>
    <n v="233.1"/>
    <n v="12.55645"/>
    <n v="46.029955900321539"/>
    <x v="3"/>
  </r>
  <r>
    <d v="2025-09-08T00:00:00"/>
    <s v="Caliza Propia"/>
    <s v="PROPIA"/>
    <n v="231.64500000000001"/>
    <n v="12.59"/>
    <n v="47.2"/>
    <x v="3"/>
  </r>
  <r>
    <d v="2025-09-11T00:00:00"/>
    <s v="Gustavo Quesada"/>
    <s v="COMPRADA"/>
    <n v="90.82"/>
    <n v="12.64"/>
    <n v="46.206567164179106"/>
    <x v="3"/>
  </r>
  <r>
    <d v="2025-11-22T00:00:00"/>
    <s v="Afloramiento 1 Sur"/>
    <s v="PROPIA"/>
    <n v="137.82"/>
    <n v="12.91"/>
    <n v="45.1"/>
    <x v="3"/>
  </r>
  <r>
    <d v="2025-04-15T00:00:00"/>
    <s v="Lisandro Rojas"/>
    <s v="COMPRADA"/>
    <n v="99.97"/>
    <n v="13.623775"/>
    <n v="45.925466270712718"/>
    <x v="3"/>
  </r>
  <r>
    <d v="2025-09-20T00:00:00"/>
    <s v="Lisandro Rojas"/>
    <s v="COMPRADA"/>
    <n v="0"/>
    <n v="13.65"/>
    <n v="46.262724180837829"/>
    <x v="3"/>
  </r>
  <r>
    <d v="2025-12-17T00:00:00"/>
    <s v="Malaga"/>
    <s v="COMPRADA"/>
    <n v="107.19"/>
    <n v="13.68"/>
    <n v="44.17427585001311"/>
    <x v="3"/>
  </r>
  <r>
    <d v="2025-10-10T00:00:00"/>
    <s v="Lisandro Rojas"/>
    <s v="COMPRADA"/>
    <n v="98.75"/>
    <n v="15.5"/>
    <n v="44.173759788970401"/>
    <x v="3"/>
  </r>
  <r>
    <d v="2025-09-09T00:00:00"/>
    <s v="Leonidas Rodriguez"/>
    <s v="COMPRADA"/>
    <n v="75.19"/>
    <n v="15.96"/>
    <n v="44.320659102286001"/>
    <x v="3"/>
  </r>
  <r>
    <d v="2025-09-05T00:00:00"/>
    <s v="Caliza Propia"/>
    <s v="PROPIA"/>
    <n v="587.78800000000001"/>
    <n v="16.760000000000002"/>
    <n v="43.4"/>
    <x v="3"/>
  </r>
  <r>
    <d v="2025-09-06T00:00:00"/>
    <s v="Caliza Propia"/>
    <s v="PROPIA"/>
    <n v="145.51"/>
    <n v="16.760000000000002"/>
    <n v="43.4"/>
    <x v="3"/>
  </r>
  <r>
    <d v="2025-05-15T00:00:00"/>
    <s v="Caliza Propia"/>
    <s v="PROPIA"/>
    <n v="212.98599999999999"/>
    <n v="17.494500000000002"/>
    <n v="42.911461589775563"/>
    <x v="3"/>
  </r>
  <r>
    <d v="2025-03-21T00:00:00"/>
    <s v="Gustavo Quesada"/>
    <s v="COMPRADA"/>
    <n v="43.38"/>
    <n v="17.762000000000004"/>
    <n v="37.853916283716273"/>
    <x v="3"/>
  </r>
  <r>
    <d v="2025-09-02T00:00:00"/>
    <s v="Gustavo Quesada"/>
    <s v="COMPRADA"/>
    <n v="90.66"/>
    <n v="20.05"/>
    <n v="41.064506620034976"/>
    <x v="3"/>
  </r>
  <r>
    <d v="2025-09-01T00:00:00"/>
    <s v="Gustavo Quesada"/>
    <s v="COMPRADA"/>
    <n v="46.72"/>
    <n v="23.56"/>
    <n v="38.161040404878456"/>
    <x v="3"/>
  </r>
  <r>
    <d v="2025-09-01T00:00:00"/>
    <s v="Caliza Propia"/>
    <s v="PROPIA"/>
    <n v="0"/>
    <n v="2.0499999999999998"/>
    <m/>
    <x v="1"/>
  </r>
  <r>
    <d v="2025-05-14T00:00:00"/>
    <s v="Caliza Propia"/>
    <s v="PROPIA"/>
    <n v="266.13"/>
    <n v="2.0499999999999998"/>
    <m/>
    <x v="1"/>
  </r>
  <r>
    <d v="2025-11-01T00:00:00"/>
    <m/>
    <s v="NA"/>
    <n v="291.62"/>
    <n v="2.0499999999999998"/>
    <m/>
    <x v="1"/>
  </r>
  <r>
    <d v="2025-11-01T00:00:00"/>
    <m/>
    <s v="NA"/>
    <n v="93.665999999999997"/>
    <n v="2.0499999999999998"/>
    <m/>
    <x v="1"/>
  </r>
  <r>
    <d v="2025-11-01T00:00:00"/>
    <m/>
    <s v="NA"/>
    <n v="19.86"/>
    <n v="2.0499999999999998"/>
    <m/>
    <x v="1"/>
  </r>
  <r>
    <d v="2025-11-04T00:00:00"/>
    <m/>
    <s v="NA"/>
    <n v="84.18"/>
    <n v="2.0499999999999998"/>
    <m/>
    <x v="1"/>
  </r>
  <r>
    <d v="2025-11-16T00:00:00"/>
    <m/>
    <s v="NA"/>
    <n v="543.38"/>
    <n v="2.0499999999999998"/>
    <m/>
    <x v="1"/>
  </r>
  <r>
    <d v="2025-11-17T00:00:00"/>
    <m/>
    <s v="NA"/>
    <n v="237.18"/>
    <n v="2.0499999999999998"/>
    <m/>
    <x v="1"/>
  </r>
  <r>
    <d v="2025-11-17T00:00:00"/>
    <m/>
    <s v="NA"/>
    <n v="238.3"/>
    <n v="2.0499999999999998"/>
    <m/>
    <x v="1"/>
  </r>
  <r>
    <d v="2025-11-18T00:00:00"/>
    <m/>
    <s v="NA"/>
    <n v="46.16"/>
    <n v="2.0499999999999998"/>
    <m/>
    <x v="1"/>
  </r>
  <r>
    <d v="2025-11-30T00:00:00"/>
    <m/>
    <s v="NA"/>
    <n v="499.5"/>
    <n v="2.0499999999999998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05BFE-D911-43F2-B182-B9249B2F186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4">
  <location ref="L20:N25" firstHeaderRow="0" firstDataRow="1" firstDataCol="1"/>
  <pivotFields count="7">
    <pivotField numFmtId="14" showAll="0"/>
    <pivotField showAll="0"/>
    <pivotField showAll="0"/>
    <pivotField dataField="1" numFmtId="43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NC" fld="3" baseField="0" baseItem="0"/>
    <dataField name="Suma de TONC2" fld="3" showDataAs="percentOfTotal" baseField="6" baseItem="2" numFmtId="10"/>
  </dataFields>
  <formats count="4">
    <format dxfId="31">
      <pivotArea collapsedLevelsAreSubtotals="1" fieldPosition="0">
        <references count="1">
          <reference field="6" count="0"/>
        </references>
      </pivotArea>
    </format>
    <format dxfId="30">
      <pivotArea outline="0" fieldPosition="0">
        <references count="1">
          <reference field="4294967294" count="1">
            <x v="1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28">
      <pivotArea collapsedLevelsAreSubtotals="1" fieldPosition="0">
        <references count="2">
          <reference field="4294967294" count="1" selected="0">
            <x v="1"/>
          </reference>
          <reference field="6" count="1">
            <x v="3"/>
          </reference>
        </references>
      </pivotArea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A2159-BF62-4208-BE4F-AC622A0C124F}" name="ING_PRV" displayName="ING_PRV" ref="B2:G3607" totalsRowShown="0" headerRowDxfId="8" dataDxfId="7">
  <autoFilter ref="B2:G3607" xr:uid="{00000000-0009-0000-0100-000009000000}"/>
  <tableColumns count="6">
    <tableColumn id="1" xr3:uid="{8FAA078E-013F-4789-9C9F-6BEC38195EFE}" name="Fecha" dataDxfId="6"/>
    <tableColumn id="7" xr3:uid="{D1E2AF69-D626-4534-B40B-84CF7757AA4F}" name="Proveedor" dataDxfId="5">
      <calculatedColumnFormula>#REF!*#REF!</calculatedColumnFormula>
    </tableColumn>
    <tableColumn id="6" xr3:uid="{C683047B-0D3B-4C9F-885F-C8EEE13765C8}" name="FUENTE" dataDxfId="4">
      <calculatedColumnFormula>IF(ISNUMBER(MATCH(ING_PRV[[#This Row],[Proveedor]],PARAMETROS!$A$2:$A$8,0)),"COMPRADA",
                    IF(ISNUMBER(MATCH(ING_PRV[[#This Row],[Proveedor]],PARAMETROS!$B$2:$B$8,0)),"PROPIA","NA")
)</calculatedColumnFormula>
    </tableColumn>
    <tableColumn id="3" xr3:uid="{5342237D-CACB-47D5-A797-BF163A89BD00}" name="TONC" dataDxfId="3"/>
    <tableColumn id="2" xr3:uid="{57957D5E-8DE2-4841-9203-C8C568A15B7C}" name="%SiO2" dataDxfId="2"/>
    <tableColumn id="5" xr3:uid="{82F132A8-B4F0-4FE3-BA94-F6A41006EF39}" name="%CaO2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F44B24-50CE-4EC5-9490-4037E360405B}" name="VERIF" displayName="VERIF" ref="A1:G1263" totalsRowCount="1" headerRowDxfId="27" dataDxfId="25" headerRowBorderDxfId="26" tableBorderDxfId="24" totalsRowBorderDxfId="23">
  <autoFilter ref="A1:G1262" xr:uid="{3AF44B24-50CE-4EC5-9490-4037E360405B}"/>
  <tableColumns count="7">
    <tableColumn id="1" xr3:uid="{1DDA5011-B328-46F5-8DD5-F1EF3801A823}" name="Fecha" totalsRowLabel="Total" dataDxfId="22" totalsRowDxfId="21"/>
    <tableColumn id="2" xr3:uid="{A8089F9A-0818-4A3C-8292-29D265F1F1FA}" name="Proveedor" dataDxfId="20" totalsRowDxfId="19"/>
    <tableColumn id="3" xr3:uid="{ABAD3098-B54F-4204-945B-39F0EB30C731}" name="FUENTE" dataDxfId="18" totalsRowDxfId="17"/>
    <tableColumn id="4" xr3:uid="{7157030F-DB0D-4445-9A01-B34D36DC14FA}" name="TONC" totalsRowFunction="sum" dataDxfId="16" totalsRowDxfId="15"/>
    <tableColumn id="5" xr3:uid="{6CAB795E-65A8-4C11-8EBA-07F3B489AE4B}" name="%SiO2" dataDxfId="14" totalsRowDxfId="13"/>
    <tableColumn id="6" xr3:uid="{6EAA4D25-FB05-4035-9936-7938F4163186}" name="%CaO2" totalsRowFunction="sum" dataDxfId="12" totalsRowDxfId="11"/>
    <tableColumn id="7" xr3:uid="{A9192D7A-2B5F-44D8-9531-CABC172E8193}" name="Tipo" dataDxfId="10" totalsRowDxfId="9">
      <calculatedColumnFormula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EC6C-18C8-4648-A43E-B335A461F845}">
  <dimension ref="A1:J3609"/>
  <sheetViews>
    <sheetView topLeftCell="A16" workbookViewId="0">
      <selection activeCell="B33" sqref="B33"/>
    </sheetView>
  </sheetViews>
  <sheetFormatPr baseColWidth="10" defaultColWidth="11.54296875" defaultRowHeight="14.5" x14ac:dyDescent="0.35"/>
  <cols>
    <col min="2" max="2" width="34.1796875" customWidth="1"/>
    <col min="3" max="5" width="21.54296875" customWidth="1"/>
    <col min="6" max="6" width="24.54296875" customWidth="1"/>
    <col min="7" max="7" width="21.54296875" customWidth="1"/>
    <col min="8" max="8" width="19.1796875" bestFit="1" customWidth="1"/>
    <col min="9" max="9" width="14.1796875" bestFit="1" customWidth="1"/>
    <col min="10" max="10" width="13.453125" bestFit="1" customWidth="1"/>
    <col min="11" max="11" width="31.54296875" bestFit="1" customWidth="1"/>
    <col min="12" max="12" width="27.1796875" customWidth="1"/>
    <col min="13" max="13" width="31.81640625" customWidth="1"/>
    <col min="14" max="14" width="25.54296875" bestFit="1" customWidth="1"/>
    <col min="15" max="15" width="12" bestFit="1" customWidth="1"/>
    <col min="16" max="16" width="13.453125" bestFit="1" customWidth="1"/>
    <col min="17" max="17" width="21.54296875" bestFit="1" customWidth="1"/>
    <col min="18" max="18" width="21" bestFit="1" customWidth="1"/>
    <col min="19" max="19" width="24.54296875" bestFit="1" customWidth="1"/>
    <col min="20" max="20" width="18.54296875" bestFit="1" customWidth="1"/>
    <col min="21" max="21" width="9.54296875" bestFit="1" customWidth="1"/>
    <col min="22" max="22" width="30.453125" bestFit="1" customWidth="1"/>
    <col min="23" max="23" width="8.453125" bestFit="1" customWidth="1"/>
    <col min="24" max="24" width="30.453125" bestFit="1" customWidth="1"/>
    <col min="25" max="25" width="23.453125" bestFit="1" customWidth="1"/>
    <col min="26" max="26" width="40.1796875" bestFit="1" customWidth="1"/>
    <col min="27" max="27" width="39.453125" bestFit="1" customWidth="1"/>
  </cols>
  <sheetData>
    <row r="1" spans="1:9" x14ac:dyDescent="0.35">
      <c r="I1" s="1"/>
    </row>
    <row r="2" spans="1:9" x14ac:dyDescent="0.35">
      <c r="B2" s="3" t="s">
        <v>0</v>
      </c>
      <c r="C2" s="3" t="s">
        <v>1</v>
      </c>
      <c r="D2" s="3" t="s">
        <v>28</v>
      </c>
      <c r="E2" s="3" t="s">
        <v>23</v>
      </c>
      <c r="F2" s="3" t="s">
        <v>24</v>
      </c>
      <c r="G2" s="3" t="s">
        <v>25</v>
      </c>
    </row>
    <row r="3" spans="1:9" x14ac:dyDescent="0.35">
      <c r="A3" s="1"/>
      <c r="B3" s="4">
        <v>44805</v>
      </c>
      <c r="C3" s="6" t="s">
        <v>2</v>
      </c>
      <c r="D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" s="7">
        <v>64.53</v>
      </c>
      <c r="F3" s="5">
        <v>1.6692</v>
      </c>
      <c r="G3" s="5">
        <v>52.671785821417856</v>
      </c>
    </row>
    <row r="4" spans="1:9" x14ac:dyDescent="0.35">
      <c r="B4" s="4">
        <v>44806</v>
      </c>
      <c r="C4" s="6" t="s">
        <v>2</v>
      </c>
      <c r="D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" s="7">
        <v>166.15</v>
      </c>
      <c r="F4" s="5">
        <v>2.854225</v>
      </c>
      <c r="G4" s="5">
        <v>51.947974090682607</v>
      </c>
    </row>
    <row r="5" spans="1:9" ht="15" customHeight="1" x14ac:dyDescent="0.35">
      <c r="B5" s="4">
        <v>44809</v>
      </c>
      <c r="C5" s="6" t="s">
        <v>2</v>
      </c>
      <c r="D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" s="7">
        <v>173.9</v>
      </c>
      <c r="F5" s="5">
        <v>6.0990000000000002</v>
      </c>
      <c r="G5" s="5">
        <v>48.496958432207634</v>
      </c>
    </row>
    <row r="6" spans="1:9" ht="15" customHeight="1" x14ac:dyDescent="0.35">
      <c r="B6" s="4">
        <v>44810</v>
      </c>
      <c r="C6" s="6" t="s">
        <v>2</v>
      </c>
      <c r="D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" s="7">
        <v>198.47</v>
      </c>
      <c r="F6" s="5">
        <v>1.6130250000000002</v>
      </c>
      <c r="G6" s="5">
        <v>52.499806997302969</v>
      </c>
    </row>
    <row r="7" spans="1:9" ht="15" customHeight="1" x14ac:dyDescent="0.35">
      <c r="B7" s="4">
        <v>44811</v>
      </c>
      <c r="C7" s="6" t="s">
        <v>2</v>
      </c>
      <c r="D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" s="7">
        <v>259.95999999999998</v>
      </c>
      <c r="F7" s="5">
        <v>4.6277500000000007</v>
      </c>
      <c r="G7" s="5">
        <v>50.195522463334328</v>
      </c>
    </row>
    <row r="8" spans="1:9" x14ac:dyDescent="0.35">
      <c r="B8" s="4">
        <v>44812</v>
      </c>
      <c r="C8" s="6" t="s">
        <v>2</v>
      </c>
      <c r="D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" s="7">
        <v>161.07</v>
      </c>
      <c r="F8" s="5">
        <v>3.6460250000000003</v>
      </c>
      <c r="G8" s="5">
        <v>50.956348095571329</v>
      </c>
    </row>
    <row r="9" spans="1:9" ht="15" customHeight="1" x14ac:dyDescent="0.35">
      <c r="B9" s="4">
        <v>44813</v>
      </c>
      <c r="C9" s="6" t="s">
        <v>2</v>
      </c>
      <c r="D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" s="7">
        <v>292.94</v>
      </c>
      <c r="F9" s="5">
        <v>5.2858000000000009</v>
      </c>
      <c r="G9" s="5">
        <v>50.655297833935009</v>
      </c>
    </row>
    <row r="10" spans="1:9" ht="15.65" customHeight="1" x14ac:dyDescent="0.35">
      <c r="B10" s="4">
        <v>44814</v>
      </c>
      <c r="C10" s="6" t="s">
        <v>2</v>
      </c>
      <c r="D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" s="7">
        <v>133.81</v>
      </c>
      <c r="F10" s="5">
        <v>2.0758000000000001</v>
      </c>
      <c r="G10" s="5">
        <v>49.703921831479811</v>
      </c>
    </row>
    <row r="11" spans="1:9" ht="18.649999999999999" customHeight="1" x14ac:dyDescent="0.35">
      <c r="B11" s="4">
        <v>44816</v>
      </c>
      <c r="C11" s="6" t="s">
        <v>2</v>
      </c>
      <c r="D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" s="7">
        <v>137.22</v>
      </c>
      <c r="F11" s="5">
        <v>2.083825</v>
      </c>
      <c r="G11" s="5">
        <v>52.525884611613876</v>
      </c>
    </row>
    <row r="12" spans="1:9" ht="14.5" customHeight="1" x14ac:dyDescent="0.35">
      <c r="B12" s="4">
        <v>44817</v>
      </c>
      <c r="C12" s="6" t="s">
        <v>2</v>
      </c>
      <c r="D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" s="7">
        <v>170.4</v>
      </c>
      <c r="F12" s="5">
        <v>2.1</v>
      </c>
      <c r="G12" s="5">
        <v>51.7</v>
      </c>
    </row>
    <row r="13" spans="1:9" ht="14.5" customHeight="1" x14ac:dyDescent="0.35">
      <c r="B13" s="4">
        <v>44818</v>
      </c>
      <c r="C13" s="6" t="s">
        <v>2</v>
      </c>
      <c r="D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" s="7">
        <v>234.24</v>
      </c>
      <c r="F13" s="5">
        <v>4.84</v>
      </c>
      <c r="G13" s="5">
        <v>51</v>
      </c>
    </row>
    <row r="14" spans="1:9" ht="18.649999999999999" customHeight="1" x14ac:dyDescent="0.35">
      <c r="B14" s="4">
        <v>44819</v>
      </c>
      <c r="C14" s="6" t="s">
        <v>2</v>
      </c>
      <c r="D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" s="7">
        <v>231.94</v>
      </c>
      <c r="F14" s="5">
        <v>0.61</v>
      </c>
      <c r="G14" s="5">
        <v>52.8</v>
      </c>
    </row>
    <row r="15" spans="1:9" ht="18.649999999999999" customHeight="1" x14ac:dyDescent="0.35">
      <c r="B15" s="4">
        <v>44820</v>
      </c>
      <c r="C15" s="6" t="s">
        <v>2</v>
      </c>
      <c r="D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" s="7">
        <v>233.07</v>
      </c>
      <c r="F15" s="5">
        <v>0.44</v>
      </c>
      <c r="G15" s="5">
        <v>52.2</v>
      </c>
    </row>
    <row r="16" spans="1:9" ht="18.649999999999999" customHeight="1" x14ac:dyDescent="0.35">
      <c r="B16" s="4">
        <v>44821</v>
      </c>
      <c r="C16" s="6" t="s">
        <v>2</v>
      </c>
      <c r="D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" s="7">
        <v>74.5</v>
      </c>
      <c r="F16" s="5">
        <v>0.5</v>
      </c>
      <c r="G16" s="5">
        <v>52.7</v>
      </c>
    </row>
    <row r="17" spans="2:7" ht="18.649999999999999" customHeight="1" x14ac:dyDescent="0.35">
      <c r="B17" s="4">
        <v>44823</v>
      </c>
      <c r="C17" s="6" t="s">
        <v>2</v>
      </c>
      <c r="D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" s="7">
        <v>213.09</v>
      </c>
      <c r="F17" s="5">
        <v>2.66</v>
      </c>
      <c r="G17" s="5">
        <v>50.8</v>
      </c>
    </row>
    <row r="18" spans="2:7" ht="14.5" customHeight="1" x14ac:dyDescent="0.35">
      <c r="B18" s="4">
        <v>44824</v>
      </c>
      <c r="C18" s="6" t="s">
        <v>2</v>
      </c>
      <c r="D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" s="7">
        <v>158.26</v>
      </c>
      <c r="F18" s="5">
        <v>1.47</v>
      </c>
      <c r="G18" s="5">
        <v>52.8</v>
      </c>
    </row>
    <row r="19" spans="2:7" ht="14.5" customHeight="1" x14ac:dyDescent="0.35">
      <c r="B19" s="4">
        <v>44825</v>
      </c>
      <c r="C19" s="6" t="s">
        <v>2</v>
      </c>
      <c r="D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" s="7">
        <v>184.74</v>
      </c>
      <c r="F19" s="5">
        <v>0.52</v>
      </c>
      <c r="G19" s="5">
        <v>52.6</v>
      </c>
    </row>
    <row r="20" spans="2:7" ht="14.5" customHeight="1" x14ac:dyDescent="0.35">
      <c r="B20" s="4">
        <v>44827</v>
      </c>
      <c r="C20" s="6" t="s">
        <v>2</v>
      </c>
      <c r="D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" s="7">
        <v>309.55</v>
      </c>
      <c r="F20" s="5">
        <v>0.95</v>
      </c>
      <c r="G20" s="5">
        <v>50.2</v>
      </c>
    </row>
    <row r="21" spans="2:7" ht="14.5" customHeight="1" x14ac:dyDescent="0.35">
      <c r="B21" s="4">
        <v>44830</v>
      </c>
      <c r="C21" s="6" t="s">
        <v>2</v>
      </c>
      <c r="D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" s="7">
        <v>210.25</v>
      </c>
      <c r="F21" s="5">
        <v>0.55105000000000004</v>
      </c>
      <c r="G21" s="5">
        <v>53.98025336658354</v>
      </c>
    </row>
    <row r="22" spans="2:7" ht="14.5" customHeight="1" x14ac:dyDescent="0.35">
      <c r="B22" s="4">
        <v>44831</v>
      </c>
      <c r="C22" s="6" t="s">
        <v>2</v>
      </c>
      <c r="D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" s="7">
        <v>297.19</v>
      </c>
      <c r="F22" s="5">
        <v>2.1078999999999999</v>
      </c>
      <c r="G22" s="5">
        <v>52.623838075557558</v>
      </c>
    </row>
    <row r="23" spans="2:7" ht="14.5" customHeight="1" x14ac:dyDescent="0.35">
      <c r="B23" s="4">
        <v>44832</v>
      </c>
      <c r="C23" s="6" t="s">
        <v>2</v>
      </c>
      <c r="D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" s="7">
        <v>233.63</v>
      </c>
      <c r="F23" s="5">
        <v>1.1984000000000001</v>
      </c>
      <c r="G23" s="5">
        <v>51.630775596605091</v>
      </c>
    </row>
    <row r="24" spans="2:7" ht="14.5" customHeight="1" x14ac:dyDescent="0.35">
      <c r="B24" s="4">
        <v>44833</v>
      </c>
      <c r="C24" s="6" t="s">
        <v>2</v>
      </c>
      <c r="D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" s="7">
        <v>320.86</v>
      </c>
      <c r="F24" s="5">
        <v>2.0704500000000001</v>
      </c>
      <c r="G24" s="5">
        <v>51.358560284147551</v>
      </c>
    </row>
    <row r="25" spans="2:7" ht="14.5" customHeight="1" x14ac:dyDescent="0.35">
      <c r="B25" s="4">
        <v>44834</v>
      </c>
      <c r="C25" s="6" t="s">
        <v>2</v>
      </c>
      <c r="D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" s="7">
        <v>208.91</v>
      </c>
      <c r="F25" s="5">
        <v>0.27552500000000002</v>
      </c>
      <c r="G25" s="5">
        <v>53.209785877900607</v>
      </c>
    </row>
    <row r="26" spans="2:7" ht="14.5" customHeight="1" x14ac:dyDescent="0.35">
      <c r="B26" s="4">
        <v>44837</v>
      </c>
      <c r="C26" s="6" t="s">
        <v>2</v>
      </c>
      <c r="D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" s="7">
        <v>78.08</v>
      </c>
      <c r="F26" s="8">
        <v>0.59920000000000007</v>
      </c>
      <c r="G26" s="8">
        <v>52.936616272508999</v>
      </c>
    </row>
    <row r="27" spans="2:7" ht="14.5" customHeight="1" x14ac:dyDescent="0.35">
      <c r="B27" s="4">
        <v>44839</v>
      </c>
      <c r="C27" s="6" t="s">
        <v>2</v>
      </c>
      <c r="D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" s="7">
        <v>169.12</v>
      </c>
      <c r="F27" s="8">
        <v>0.53500000000000003</v>
      </c>
      <c r="G27" s="8">
        <v>52.763756355602162</v>
      </c>
    </row>
    <row r="28" spans="2:7" ht="14.5" customHeight="1" x14ac:dyDescent="0.35">
      <c r="B28" s="4">
        <v>44840</v>
      </c>
      <c r="C28" s="6" t="s">
        <v>2</v>
      </c>
      <c r="D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" s="7">
        <v>141.39000000000004</v>
      </c>
      <c r="F28" s="8">
        <v>0.35042500000000004</v>
      </c>
      <c r="G28" s="8">
        <v>53.843529882871152</v>
      </c>
    </row>
    <row r="29" spans="2:7" ht="14.5" customHeight="1" x14ac:dyDescent="0.35">
      <c r="B29" s="4">
        <v>44841</v>
      </c>
      <c r="C29" s="6" t="s">
        <v>2</v>
      </c>
      <c r="D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" s="7">
        <v>167.26</v>
      </c>
      <c r="F29" s="8">
        <v>0.45742500000000003</v>
      </c>
      <c r="G29" s="8">
        <v>53.706271818046012</v>
      </c>
    </row>
    <row r="30" spans="2:7" ht="14.5" customHeight="1" x14ac:dyDescent="0.35">
      <c r="B30" s="4">
        <v>44844</v>
      </c>
      <c r="C30" s="6" t="s">
        <v>2</v>
      </c>
      <c r="D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" s="7">
        <v>171.59000000000003</v>
      </c>
      <c r="F30" s="8">
        <v>0.64734999999999998</v>
      </c>
      <c r="G30" s="8">
        <v>51.378210610291184</v>
      </c>
    </row>
    <row r="31" spans="2:7" ht="14.5" customHeight="1" x14ac:dyDescent="0.35">
      <c r="B31" s="4">
        <v>44845</v>
      </c>
      <c r="C31" s="6" t="s">
        <v>2</v>
      </c>
      <c r="D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" s="7">
        <v>338.53999999999996</v>
      </c>
      <c r="F31" s="8">
        <v>0.32100000000000001</v>
      </c>
      <c r="G31" s="8">
        <v>53.111875624875019</v>
      </c>
    </row>
    <row r="32" spans="2:7" ht="14.5" customHeight="1" x14ac:dyDescent="0.35">
      <c r="B32" s="4">
        <v>44846</v>
      </c>
      <c r="C32" s="6" t="s">
        <v>2</v>
      </c>
      <c r="D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" s="7">
        <v>340.24</v>
      </c>
      <c r="F32" s="8">
        <v>0.312975</v>
      </c>
      <c r="G32" s="8">
        <v>53.916084126189283</v>
      </c>
    </row>
    <row r="33" spans="2:7" ht="14.5" customHeight="1" x14ac:dyDescent="0.35">
      <c r="B33" s="4">
        <v>44847</v>
      </c>
      <c r="C33" s="6" t="s">
        <v>2</v>
      </c>
      <c r="D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3" s="7">
        <v>248.23000000000002</v>
      </c>
      <c r="F33" s="8">
        <v>1.3374999999999999</v>
      </c>
      <c r="G33" s="8">
        <v>52.731435931411731</v>
      </c>
    </row>
    <row r="34" spans="2:7" ht="14.5" customHeight="1" x14ac:dyDescent="0.35">
      <c r="B34" s="4">
        <v>44852</v>
      </c>
      <c r="C34" s="6" t="s">
        <v>2</v>
      </c>
      <c r="D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" s="7">
        <v>461.01</v>
      </c>
      <c r="F34" s="8">
        <v>0.382525</v>
      </c>
      <c r="G34" s="8">
        <v>54.237864192096048</v>
      </c>
    </row>
    <row r="35" spans="2:7" ht="14.5" customHeight="1" x14ac:dyDescent="0.35">
      <c r="B35" s="4">
        <v>44853</v>
      </c>
      <c r="C35" s="6" t="s">
        <v>2</v>
      </c>
      <c r="D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" s="7">
        <v>132.73000000000002</v>
      </c>
      <c r="F35" s="8">
        <v>4.3121000000000009</v>
      </c>
      <c r="G35" s="8">
        <v>50.501274593040698</v>
      </c>
    </row>
    <row r="36" spans="2:7" ht="14.5" customHeight="1" x14ac:dyDescent="0.35">
      <c r="B36" s="4">
        <v>44854</v>
      </c>
      <c r="C36" s="6" t="s">
        <v>2</v>
      </c>
      <c r="D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" s="7">
        <v>97.47</v>
      </c>
      <c r="F36" s="8">
        <v>0.32635000000000003</v>
      </c>
      <c r="G36" s="8">
        <v>53.351259583789705</v>
      </c>
    </row>
    <row r="37" spans="2:7" ht="19.399999999999999" customHeight="1" x14ac:dyDescent="0.35">
      <c r="B37" s="4">
        <v>44855</v>
      </c>
      <c r="C37" s="6" t="s">
        <v>2</v>
      </c>
      <c r="D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" s="7">
        <v>192.75</v>
      </c>
      <c r="F37" s="8">
        <v>1.6531500000000001</v>
      </c>
      <c r="G37" s="8">
        <v>52.873852699360448</v>
      </c>
    </row>
    <row r="38" spans="2:7" ht="19.399999999999999" customHeight="1" x14ac:dyDescent="0.35">
      <c r="B38" s="4">
        <v>44856</v>
      </c>
      <c r="C38" s="6" t="s">
        <v>2</v>
      </c>
      <c r="D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" s="7">
        <v>132.88999999999999</v>
      </c>
      <c r="F38" s="8">
        <v>1.6531500000000001</v>
      </c>
      <c r="G38" s="8">
        <v>52.873852699360448</v>
      </c>
    </row>
    <row r="39" spans="2:7" ht="19.399999999999999" customHeight="1" x14ac:dyDescent="0.35">
      <c r="B39" s="4">
        <v>44858</v>
      </c>
      <c r="C39" s="6" t="s">
        <v>2</v>
      </c>
      <c r="D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" s="7">
        <v>110.11</v>
      </c>
      <c r="F39" s="8">
        <v>0.23005</v>
      </c>
      <c r="G39" s="8">
        <v>53.550834414403127</v>
      </c>
    </row>
    <row r="40" spans="2:7" ht="19.399999999999999" customHeight="1" x14ac:dyDescent="0.35">
      <c r="B40" s="4">
        <v>44859</v>
      </c>
      <c r="C40" s="6" t="s">
        <v>2</v>
      </c>
      <c r="D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" s="7">
        <v>201.97</v>
      </c>
      <c r="F40" s="8">
        <v>0.51092499999999996</v>
      </c>
      <c r="G40" s="8">
        <v>51.84732893396977</v>
      </c>
    </row>
    <row r="41" spans="2:7" ht="14.5" customHeight="1" x14ac:dyDescent="0.35">
      <c r="B41" s="4">
        <v>44860</v>
      </c>
      <c r="C41" s="6" t="s">
        <v>2</v>
      </c>
      <c r="D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" s="7">
        <v>144.33000000000001</v>
      </c>
      <c r="F41" s="8">
        <v>0.28355000000000002</v>
      </c>
      <c r="G41" s="8">
        <v>54.103110516903108</v>
      </c>
    </row>
    <row r="42" spans="2:7" ht="14.5" customHeight="1" x14ac:dyDescent="0.35">
      <c r="B42" s="4">
        <v>44861</v>
      </c>
      <c r="C42" s="6" t="s">
        <v>2</v>
      </c>
      <c r="D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" s="7">
        <v>238.47</v>
      </c>
      <c r="F42" s="8">
        <v>0.39055000000000001</v>
      </c>
      <c r="G42" s="8">
        <v>51.437670766325418</v>
      </c>
    </row>
    <row r="43" spans="2:7" ht="14.5" customHeight="1" x14ac:dyDescent="0.35">
      <c r="B43" s="4">
        <v>44862</v>
      </c>
      <c r="C43" s="6" t="s">
        <v>2</v>
      </c>
      <c r="D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" s="7">
        <v>162.83000000000001</v>
      </c>
      <c r="F43" s="8">
        <v>1.5836000000000001</v>
      </c>
      <c r="G43" s="8">
        <v>51.481609810496352</v>
      </c>
    </row>
    <row r="44" spans="2:7" ht="14.5" customHeight="1" x14ac:dyDescent="0.35">
      <c r="B44" s="4">
        <v>44863</v>
      </c>
      <c r="C44" s="6" t="s">
        <v>2</v>
      </c>
      <c r="D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" s="7">
        <v>242.73</v>
      </c>
      <c r="F44" s="8">
        <v>0.22737499999999999</v>
      </c>
      <c r="G44" s="8">
        <v>53.595404919016197</v>
      </c>
    </row>
    <row r="45" spans="2:7" ht="14.5" customHeight="1" x14ac:dyDescent="0.35">
      <c r="B45" s="4">
        <v>44865</v>
      </c>
      <c r="C45" s="6" t="s">
        <v>2</v>
      </c>
      <c r="D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" s="7">
        <v>200.31</v>
      </c>
      <c r="F45" s="8">
        <v>2.0356750000000003</v>
      </c>
      <c r="G45" s="8">
        <v>53.364748836935853</v>
      </c>
    </row>
    <row r="46" spans="2:7" ht="14.5" customHeight="1" x14ac:dyDescent="0.35">
      <c r="B46" s="4">
        <v>44866</v>
      </c>
      <c r="C46" s="6" t="s">
        <v>2</v>
      </c>
      <c r="D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6" s="7">
        <v>129.49</v>
      </c>
      <c r="F46" s="8">
        <v>1.1609499999999999</v>
      </c>
      <c r="G46" s="8">
        <v>53.438618468378465</v>
      </c>
    </row>
    <row r="47" spans="2:7" ht="14.5" customHeight="1" x14ac:dyDescent="0.35">
      <c r="B47" s="4">
        <v>44867</v>
      </c>
      <c r="C47" s="6" t="s">
        <v>2</v>
      </c>
      <c r="D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7" s="7">
        <v>168.15</v>
      </c>
      <c r="F47" s="8">
        <v>1.7815500000000002</v>
      </c>
      <c r="G47" s="8">
        <v>51.924398181818191</v>
      </c>
    </row>
    <row r="48" spans="2:7" ht="14.5" customHeight="1" x14ac:dyDescent="0.35">
      <c r="B48" s="4">
        <v>44868</v>
      </c>
      <c r="C48" s="6" t="s">
        <v>2</v>
      </c>
      <c r="D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" s="7">
        <v>167.13</v>
      </c>
      <c r="F48" s="8">
        <v>2.2844500000000001</v>
      </c>
      <c r="G48" s="8">
        <v>52.682935182317678</v>
      </c>
    </row>
    <row r="49" spans="2:7" ht="14.5" customHeight="1" x14ac:dyDescent="0.35">
      <c r="B49" s="4">
        <v>44869</v>
      </c>
      <c r="C49" s="6" t="s">
        <v>2</v>
      </c>
      <c r="D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" s="7">
        <v>136.66999999999999</v>
      </c>
      <c r="F49" s="8">
        <v>5.3901250000000003</v>
      </c>
      <c r="G49" s="8">
        <v>48.874839392864281</v>
      </c>
    </row>
    <row r="50" spans="2:7" ht="14.5" customHeight="1" x14ac:dyDescent="0.35">
      <c r="B50" s="4">
        <v>44874</v>
      </c>
      <c r="C50" s="6" t="s">
        <v>2</v>
      </c>
      <c r="D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" s="7">
        <v>38</v>
      </c>
      <c r="F50" s="8">
        <v>4.3334999999999999</v>
      </c>
      <c r="G50" s="8">
        <v>48.824806456066099</v>
      </c>
    </row>
    <row r="51" spans="2:7" ht="14.5" customHeight="1" x14ac:dyDescent="0.35">
      <c r="B51" s="4">
        <v>44876</v>
      </c>
      <c r="C51" s="6" t="s">
        <v>2</v>
      </c>
      <c r="D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" s="7">
        <v>140.82</v>
      </c>
      <c r="F51" s="8">
        <v>0.34775000000000006</v>
      </c>
      <c r="G51" s="8">
        <v>54.027334675958542</v>
      </c>
    </row>
    <row r="52" spans="2:7" ht="14.5" customHeight="1" x14ac:dyDescent="0.35">
      <c r="B52" s="4">
        <v>44880</v>
      </c>
      <c r="C52" s="6" t="s">
        <v>2</v>
      </c>
      <c r="D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" s="7">
        <v>202.39</v>
      </c>
      <c r="F52" s="8">
        <v>3.4587750000000002</v>
      </c>
      <c r="G52" s="8">
        <v>48.138065511748309</v>
      </c>
    </row>
    <row r="53" spans="2:7" ht="14.5" customHeight="1" x14ac:dyDescent="0.35">
      <c r="B53" s="4">
        <v>44882</v>
      </c>
      <c r="C53" s="6" t="s">
        <v>2</v>
      </c>
      <c r="D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" s="7">
        <v>340.75</v>
      </c>
      <c r="F53" s="8">
        <v>1.6825750000000002</v>
      </c>
      <c r="G53" s="8">
        <v>51.307708844221104</v>
      </c>
    </row>
    <row r="54" spans="2:7" ht="14.5" customHeight="1" x14ac:dyDescent="0.35">
      <c r="B54" s="4">
        <v>44883</v>
      </c>
      <c r="C54" s="6" t="s">
        <v>2</v>
      </c>
      <c r="D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4" s="7">
        <v>276.29000000000002</v>
      </c>
      <c r="F54" s="8">
        <v>2.3540000000000005</v>
      </c>
      <c r="G54" s="8">
        <v>52.126909309571289</v>
      </c>
    </row>
    <row r="55" spans="2:7" ht="14.5" customHeight="1" x14ac:dyDescent="0.35">
      <c r="B55" s="4">
        <v>44884</v>
      </c>
      <c r="C55" s="6" t="s">
        <v>2</v>
      </c>
      <c r="D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5" s="7">
        <v>136.46</v>
      </c>
      <c r="F55" s="8">
        <v>0.35310000000000002</v>
      </c>
      <c r="G55" s="8">
        <v>53.163901170351103</v>
      </c>
    </row>
    <row r="56" spans="2:7" ht="14.5" customHeight="1" x14ac:dyDescent="0.35">
      <c r="B56" s="4">
        <v>44886</v>
      </c>
      <c r="C56" s="6" t="s">
        <v>2</v>
      </c>
      <c r="D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6" s="7">
        <v>133.35</v>
      </c>
      <c r="F56" s="8">
        <v>2.7953749999999999</v>
      </c>
      <c r="G56" s="8">
        <v>51.857776119402985</v>
      </c>
    </row>
    <row r="57" spans="2:7" ht="14.5" customHeight="1" x14ac:dyDescent="0.35">
      <c r="B57" s="4">
        <v>44887</v>
      </c>
      <c r="C57" s="6" t="s">
        <v>2</v>
      </c>
      <c r="D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7" s="7">
        <v>241.92</v>
      </c>
      <c r="F57" s="8">
        <v>1.1128</v>
      </c>
      <c r="G57" s="8">
        <v>53.703341029705442</v>
      </c>
    </row>
    <row r="58" spans="2:7" ht="14.5" customHeight="1" x14ac:dyDescent="0.35">
      <c r="B58" s="4">
        <v>44888</v>
      </c>
      <c r="C58" s="6" t="s">
        <v>2</v>
      </c>
      <c r="D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8" s="7">
        <v>266.64</v>
      </c>
      <c r="F58" s="8">
        <v>0.36914999999999998</v>
      </c>
      <c r="G58" s="8">
        <v>51.775374238033379</v>
      </c>
    </row>
    <row r="59" spans="2:7" ht="14.5" customHeight="1" x14ac:dyDescent="0.35">
      <c r="B59" s="4">
        <v>44889</v>
      </c>
      <c r="C59" s="6" t="s">
        <v>2</v>
      </c>
      <c r="D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9" s="7">
        <v>214.75</v>
      </c>
      <c r="F59" s="8">
        <v>0.43067500000000003</v>
      </c>
      <c r="G59" s="8">
        <v>53.575312468753125</v>
      </c>
    </row>
    <row r="60" spans="2:7" ht="14.5" customHeight="1" x14ac:dyDescent="0.35">
      <c r="B60" s="4">
        <v>44890</v>
      </c>
      <c r="C60" s="6" t="s">
        <v>2</v>
      </c>
      <c r="D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0" s="7">
        <v>168.86</v>
      </c>
      <c r="F60" s="8">
        <v>3.0735750000000004</v>
      </c>
      <c r="G60" s="8">
        <v>52.166938325991183</v>
      </c>
    </row>
    <row r="61" spans="2:7" ht="14.5" customHeight="1" x14ac:dyDescent="0.35">
      <c r="B61" s="4">
        <v>44891</v>
      </c>
      <c r="C61" s="6" t="s">
        <v>2</v>
      </c>
      <c r="D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1" s="7">
        <v>131.58000000000001</v>
      </c>
      <c r="F61" s="8">
        <v>0.78644999999999998</v>
      </c>
      <c r="G61" s="8">
        <v>52.930463324327022</v>
      </c>
    </row>
    <row r="62" spans="2:7" ht="14.5" customHeight="1" x14ac:dyDescent="0.35">
      <c r="B62" s="4">
        <v>44893</v>
      </c>
      <c r="C62" s="6" t="s">
        <v>2</v>
      </c>
      <c r="D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2" s="7">
        <v>24.87</v>
      </c>
      <c r="F62" s="8">
        <v>0.57245000000000001</v>
      </c>
      <c r="G62" s="8">
        <v>53.804585695812193</v>
      </c>
    </row>
    <row r="63" spans="2:7" ht="14.5" customHeight="1" x14ac:dyDescent="0.35">
      <c r="B63" s="4">
        <v>44894</v>
      </c>
      <c r="C63" s="6" t="s">
        <v>2</v>
      </c>
      <c r="D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3" s="7">
        <v>302.75</v>
      </c>
      <c r="F63" s="8">
        <v>0.22737499999999999</v>
      </c>
      <c r="G63" s="8">
        <v>54.369818999899941</v>
      </c>
    </row>
    <row r="64" spans="2:7" ht="14.5" customHeight="1" x14ac:dyDescent="0.35">
      <c r="B64" s="4">
        <v>44895</v>
      </c>
      <c r="C64" s="6" t="s">
        <v>2</v>
      </c>
      <c r="D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4" s="7">
        <v>90.9</v>
      </c>
      <c r="F64" s="8">
        <v>0.10165</v>
      </c>
      <c r="G64" s="8">
        <v>54.921441109005684</v>
      </c>
    </row>
    <row r="65" spans="2:7" ht="14.5" customHeight="1" x14ac:dyDescent="0.35">
      <c r="B65" s="4">
        <v>44896</v>
      </c>
      <c r="C65" s="6" t="s">
        <v>2</v>
      </c>
      <c r="D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5" s="7">
        <v>195.03</v>
      </c>
      <c r="F65" s="8">
        <v>0.82122499999999998</v>
      </c>
      <c r="G65" s="8">
        <v>54.441023316062179</v>
      </c>
    </row>
    <row r="66" spans="2:7" ht="14.5" customHeight="1" x14ac:dyDescent="0.35">
      <c r="B66" s="4">
        <v>44897</v>
      </c>
      <c r="C66" s="6" t="s">
        <v>2</v>
      </c>
      <c r="D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" s="7">
        <v>275.95</v>
      </c>
      <c r="F66" s="8">
        <v>1.9607750000000002</v>
      </c>
      <c r="G66" s="8">
        <v>53.026884249303066</v>
      </c>
    </row>
    <row r="67" spans="2:7" ht="14.5" customHeight="1" x14ac:dyDescent="0.35">
      <c r="B67" s="4">
        <v>44898</v>
      </c>
      <c r="C67" s="6" t="s">
        <v>2</v>
      </c>
      <c r="D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" s="7">
        <v>104.65</v>
      </c>
      <c r="F67" s="8">
        <v>0.62595000000000001</v>
      </c>
      <c r="G67" s="8">
        <v>54.282342171085531</v>
      </c>
    </row>
    <row r="68" spans="2:7" ht="14.5" customHeight="1" x14ac:dyDescent="0.35">
      <c r="B68" s="4">
        <v>44900</v>
      </c>
      <c r="C68" s="6" t="s">
        <v>2</v>
      </c>
      <c r="D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" s="7">
        <v>171.47</v>
      </c>
      <c r="F68" s="8">
        <v>0.2782</v>
      </c>
      <c r="G68" s="8">
        <v>54.881659481357794</v>
      </c>
    </row>
    <row r="69" spans="2:7" ht="14.5" customHeight="1" x14ac:dyDescent="0.35">
      <c r="B69" s="4">
        <v>44901</v>
      </c>
      <c r="C69" s="6" t="s">
        <v>2</v>
      </c>
      <c r="D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" s="7">
        <v>214.11</v>
      </c>
      <c r="F69" s="8">
        <v>0.12037500000000001</v>
      </c>
      <c r="G69" s="8">
        <v>54.188626538461534</v>
      </c>
    </row>
    <row r="70" spans="2:7" ht="14.5" customHeight="1" x14ac:dyDescent="0.35">
      <c r="B70" s="4">
        <v>44902</v>
      </c>
      <c r="C70" s="6" t="s">
        <v>2</v>
      </c>
      <c r="D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" s="7">
        <v>93.87</v>
      </c>
      <c r="F70" s="8">
        <v>0.44405</v>
      </c>
      <c r="G70" s="8">
        <v>53.648370904522615</v>
      </c>
    </row>
    <row r="71" spans="2:7" ht="14.5" customHeight="1" x14ac:dyDescent="0.35">
      <c r="B71" s="4">
        <v>44907</v>
      </c>
      <c r="C71" s="6" t="s">
        <v>2</v>
      </c>
      <c r="D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" s="7">
        <v>92.5</v>
      </c>
      <c r="F71" s="8">
        <v>3.1859250000000001</v>
      </c>
      <c r="G71" s="8">
        <v>50.948771932159296</v>
      </c>
    </row>
    <row r="72" spans="2:7" ht="14.5" customHeight="1" x14ac:dyDescent="0.35">
      <c r="B72" s="4">
        <v>44908</v>
      </c>
      <c r="C72" s="6" t="s">
        <v>2</v>
      </c>
      <c r="D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2" s="7">
        <v>272.73</v>
      </c>
      <c r="F72" s="8">
        <v>1.2545750000000002</v>
      </c>
      <c r="G72" s="8">
        <v>53.884526966404138</v>
      </c>
    </row>
    <row r="73" spans="2:7" ht="14.5" customHeight="1" x14ac:dyDescent="0.35">
      <c r="B73" s="4">
        <v>44909</v>
      </c>
      <c r="C73" s="6" t="s">
        <v>2</v>
      </c>
      <c r="D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" s="7">
        <v>235.08</v>
      </c>
      <c r="F73" s="8">
        <v>0.74632500000000002</v>
      </c>
      <c r="G73" s="8">
        <v>54.197284294234592</v>
      </c>
    </row>
    <row r="74" spans="2:7" ht="19.75" customHeight="1" x14ac:dyDescent="0.35">
      <c r="B74" s="4">
        <v>44910</v>
      </c>
      <c r="C74" s="6" t="s">
        <v>2</v>
      </c>
      <c r="D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" s="7">
        <v>164.49</v>
      </c>
      <c r="F74" s="8">
        <v>0.52965000000000007</v>
      </c>
      <c r="G74" s="8">
        <v>53.323063253012052</v>
      </c>
    </row>
    <row r="75" spans="2:7" ht="19.75" customHeight="1" x14ac:dyDescent="0.35">
      <c r="B75" s="4">
        <v>44911</v>
      </c>
      <c r="C75" s="6" t="s">
        <v>2</v>
      </c>
      <c r="D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" s="7">
        <v>174.26</v>
      </c>
      <c r="F75" s="8">
        <v>0.382525</v>
      </c>
      <c r="G75" s="8">
        <v>53.771033723606521</v>
      </c>
    </row>
    <row r="76" spans="2:7" ht="19.75" customHeight="1" x14ac:dyDescent="0.35">
      <c r="B76" s="4">
        <v>44914</v>
      </c>
      <c r="C76" s="6" t="s">
        <v>2</v>
      </c>
      <c r="D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6" s="7">
        <v>253.83</v>
      </c>
      <c r="F76" s="8">
        <v>0.40927500000000006</v>
      </c>
      <c r="G76" s="8">
        <v>54.816331592689295</v>
      </c>
    </row>
    <row r="77" spans="2:7" ht="19.75" customHeight="1" x14ac:dyDescent="0.35">
      <c r="B77" s="4">
        <v>44915</v>
      </c>
      <c r="C77" s="6" t="s">
        <v>2</v>
      </c>
      <c r="D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7" s="7">
        <v>283.95999999999998</v>
      </c>
      <c r="F77" s="8">
        <v>0.61524999999999996</v>
      </c>
      <c r="G77" s="8">
        <v>53.903928962292312</v>
      </c>
    </row>
    <row r="78" spans="2:7" ht="19.75" customHeight="1" x14ac:dyDescent="0.35">
      <c r="B78" s="4">
        <v>44916</v>
      </c>
      <c r="C78" s="6" t="s">
        <v>2</v>
      </c>
      <c r="D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8" s="7">
        <v>100.68</v>
      </c>
      <c r="F78" s="8">
        <v>0.35042500000000004</v>
      </c>
      <c r="G78" s="8">
        <v>54.684690685133376</v>
      </c>
    </row>
    <row r="79" spans="2:7" ht="19.75" customHeight="1" x14ac:dyDescent="0.35">
      <c r="B79" s="4">
        <v>44917</v>
      </c>
      <c r="C79" s="6" t="s">
        <v>2</v>
      </c>
      <c r="D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9" s="7">
        <v>164.77</v>
      </c>
      <c r="F79" s="8">
        <v>0.20330000000000001</v>
      </c>
      <c r="G79" s="8">
        <v>53.788886312425085</v>
      </c>
    </row>
    <row r="80" spans="2:7" ht="19.75" customHeight="1" x14ac:dyDescent="0.35">
      <c r="B80" s="4">
        <v>44918</v>
      </c>
      <c r="C80" s="6" t="s">
        <v>2</v>
      </c>
      <c r="D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" s="7">
        <v>233.02</v>
      </c>
      <c r="F80" s="8">
        <v>0.26750000000000002</v>
      </c>
      <c r="G80" s="8">
        <v>54.806716194586208</v>
      </c>
    </row>
    <row r="81" spans="2:7" ht="14.5" customHeight="1" x14ac:dyDescent="0.35">
      <c r="B81" s="4">
        <v>44921</v>
      </c>
      <c r="C81" s="6" t="s">
        <v>2</v>
      </c>
      <c r="D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" s="7">
        <v>298.23</v>
      </c>
      <c r="F81" s="8">
        <v>1.52475</v>
      </c>
      <c r="G81" s="8">
        <v>53.165372636262511</v>
      </c>
    </row>
    <row r="82" spans="2:7" ht="19.75" customHeight="1" x14ac:dyDescent="0.35">
      <c r="B82" s="4">
        <v>44922</v>
      </c>
      <c r="C82" s="6" t="s">
        <v>2</v>
      </c>
      <c r="D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" s="7">
        <v>208.07</v>
      </c>
      <c r="F82" s="8">
        <v>0.29960000000000003</v>
      </c>
      <c r="G82" s="8">
        <v>53.624143541625074</v>
      </c>
    </row>
    <row r="83" spans="2:7" ht="19.75" customHeight="1" x14ac:dyDescent="0.35">
      <c r="B83" s="4">
        <v>44923</v>
      </c>
      <c r="C83" s="6" t="s">
        <v>2</v>
      </c>
      <c r="D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" s="7">
        <v>143.94</v>
      </c>
      <c r="F83" s="8">
        <v>0.49487500000000006</v>
      </c>
      <c r="G83" s="8">
        <v>53.723224098311519</v>
      </c>
    </row>
    <row r="84" spans="2:7" ht="19.75" customHeight="1" x14ac:dyDescent="0.35">
      <c r="B84" s="4">
        <v>44924</v>
      </c>
      <c r="C84" s="6" t="s">
        <v>2</v>
      </c>
      <c r="D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" s="7">
        <v>162.22999999999999</v>
      </c>
      <c r="F84" s="8">
        <v>0.28355000000000002</v>
      </c>
      <c r="G84" s="8">
        <v>53.878312650120094</v>
      </c>
    </row>
    <row r="85" spans="2:7" ht="19.75" customHeight="1" x14ac:dyDescent="0.35">
      <c r="B85" s="4">
        <v>44925</v>
      </c>
      <c r="C85" s="6" t="s">
        <v>2</v>
      </c>
      <c r="D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" s="7">
        <v>140.19</v>
      </c>
      <c r="F85" s="8">
        <v>0.33705000000000002</v>
      </c>
      <c r="G85" s="8">
        <v>54.636246385940318</v>
      </c>
    </row>
    <row r="86" spans="2:7" ht="19.75" customHeight="1" x14ac:dyDescent="0.35">
      <c r="B86" s="4">
        <v>44929</v>
      </c>
      <c r="C86" s="6" t="s">
        <v>2</v>
      </c>
      <c r="D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" s="7">
        <v>99.45</v>
      </c>
      <c r="F86" s="8">
        <v>0.95497500000000002</v>
      </c>
      <c r="G86" s="8">
        <v>53.473944055204889</v>
      </c>
    </row>
    <row r="87" spans="2:7" ht="19.75" customHeight="1" x14ac:dyDescent="0.35">
      <c r="B87" s="4">
        <v>44930</v>
      </c>
      <c r="C87" s="6" t="s">
        <v>2</v>
      </c>
      <c r="D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7" s="7">
        <v>202.4</v>
      </c>
      <c r="F87" s="8">
        <v>0.46812500000000001</v>
      </c>
      <c r="G87" s="8">
        <v>54.102887500000001</v>
      </c>
    </row>
    <row r="88" spans="2:7" ht="14.5" customHeight="1" x14ac:dyDescent="0.35">
      <c r="B88" s="4">
        <v>44931</v>
      </c>
      <c r="C88" s="6" t="s">
        <v>2</v>
      </c>
      <c r="D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8" s="7">
        <v>206.5</v>
      </c>
      <c r="F88" s="8">
        <v>0.54302499999999998</v>
      </c>
      <c r="G88" s="8">
        <v>53.568700450508885</v>
      </c>
    </row>
    <row r="89" spans="2:7" ht="19.75" customHeight="1" x14ac:dyDescent="0.35">
      <c r="B89" s="4">
        <v>44932</v>
      </c>
      <c r="C89" s="6" t="s">
        <v>2</v>
      </c>
      <c r="D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9" s="7">
        <v>235.76</v>
      </c>
      <c r="F89" s="8">
        <v>0.26750000000000002</v>
      </c>
      <c r="G89" s="8">
        <v>53.113723838119455</v>
      </c>
    </row>
    <row r="90" spans="2:7" ht="14.5" customHeight="1" x14ac:dyDescent="0.35">
      <c r="B90" s="4">
        <v>44936</v>
      </c>
      <c r="C90" s="1" t="s">
        <v>2</v>
      </c>
      <c r="D90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90" s="7">
        <v>176.9</v>
      </c>
      <c r="F90" s="8">
        <v>0.48685000000000006</v>
      </c>
      <c r="G90" s="8">
        <v>53.223613989637307</v>
      </c>
    </row>
    <row r="91" spans="2:7" ht="19.75" customHeight="1" x14ac:dyDescent="0.35">
      <c r="B91" s="4">
        <v>44937</v>
      </c>
      <c r="C91" s="1" t="s">
        <v>2</v>
      </c>
      <c r="D91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91" s="7">
        <v>194.59</v>
      </c>
      <c r="F91" s="8">
        <v>0.54837499999999995</v>
      </c>
      <c r="G91" s="8">
        <v>53.753104613139783</v>
      </c>
    </row>
    <row r="92" spans="2:7" ht="19.75" customHeight="1" x14ac:dyDescent="0.35">
      <c r="B92" s="4">
        <v>44938</v>
      </c>
      <c r="C92" s="6" t="s">
        <v>2</v>
      </c>
      <c r="D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" s="7">
        <v>243.37</v>
      </c>
      <c r="F92" s="8">
        <v>1.63175</v>
      </c>
      <c r="G92" s="8">
        <v>53.38631586900258</v>
      </c>
    </row>
    <row r="93" spans="2:7" ht="19.75" customHeight="1" x14ac:dyDescent="0.35">
      <c r="B93" s="4">
        <v>44939</v>
      </c>
      <c r="C93" s="6" t="s">
        <v>2</v>
      </c>
      <c r="D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" s="7">
        <v>234.67</v>
      </c>
      <c r="F93" s="8">
        <v>0.41195000000000004</v>
      </c>
      <c r="G93" s="8">
        <v>53.634442500000006</v>
      </c>
    </row>
    <row r="94" spans="2:7" ht="19.75" customHeight="1" x14ac:dyDescent="0.35">
      <c r="B94" s="4">
        <v>44940</v>
      </c>
      <c r="C94" s="6" t="s">
        <v>2</v>
      </c>
      <c r="D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" s="7">
        <v>129.47999999999999</v>
      </c>
      <c r="F94" s="8">
        <v>0.71957500000000008</v>
      </c>
      <c r="G94" s="8">
        <v>54.099665957803587</v>
      </c>
    </row>
    <row r="95" spans="2:7" ht="19.75" customHeight="1" x14ac:dyDescent="0.35">
      <c r="B95" s="4">
        <v>44942</v>
      </c>
      <c r="C95" s="6" t="s">
        <v>2</v>
      </c>
      <c r="D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" s="7">
        <v>282.52</v>
      </c>
      <c r="F95" s="8">
        <v>0.6286250000000001</v>
      </c>
      <c r="G95" s="8">
        <v>53.852296531849348</v>
      </c>
    </row>
    <row r="96" spans="2:7" ht="19.75" customHeight="1" x14ac:dyDescent="0.35">
      <c r="B96" s="4">
        <v>44943</v>
      </c>
      <c r="C96" s="1" t="s">
        <v>2</v>
      </c>
      <c r="D96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96" s="7">
        <v>251.47</v>
      </c>
      <c r="F96" s="8">
        <v>0.24877500000000002</v>
      </c>
      <c r="G96" s="8">
        <v>54.854493601825212</v>
      </c>
    </row>
    <row r="97" spans="2:7" ht="14.5" customHeight="1" x14ac:dyDescent="0.35">
      <c r="B97" s="4">
        <v>44944</v>
      </c>
      <c r="C97" s="1" t="s">
        <v>2</v>
      </c>
      <c r="D97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97" s="7">
        <v>165.22</v>
      </c>
      <c r="F97" s="8">
        <v>0.131075</v>
      </c>
      <c r="G97" s="8">
        <v>55.088159004216017</v>
      </c>
    </row>
    <row r="98" spans="2:7" ht="14.5" customHeight="1" x14ac:dyDescent="0.35">
      <c r="B98" s="4">
        <v>44945</v>
      </c>
      <c r="C98" s="1" t="s">
        <v>2</v>
      </c>
      <c r="D98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98" s="7">
        <v>230.28</v>
      </c>
      <c r="F98" s="8">
        <v>0.2782</v>
      </c>
      <c r="G98" s="8">
        <v>54.239742226680036</v>
      </c>
    </row>
    <row r="99" spans="2:7" ht="14.5" customHeight="1" x14ac:dyDescent="0.35">
      <c r="B99" s="4">
        <v>44946</v>
      </c>
      <c r="C99" s="1" t="s">
        <v>2</v>
      </c>
      <c r="D99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99" s="7">
        <v>231.55</v>
      </c>
      <c r="F99" s="8">
        <v>0.70887500000000003</v>
      </c>
      <c r="G99" s="8">
        <v>53.937527375601924</v>
      </c>
    </row>
    <row r="100" spans="2:7" ht="14.5" customHeight="1" x14ac:dyDescent="0.35">
      <c r="B100" s="4">
        <v>44947</v>
      </c>
      <c r="C100" s="1" t="s">
        <v>2</v>
      </c>
      <c r="D100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0" s="7">
        <v>64.569999999999993</v>
      </c>
      <c r="F100" s="8">
        <v>0.69015000000000004</v>
      </c>
      <c r="G100" s="8">
        <v>54.001901596560714</v>
      </c>
    </row>
    <row r="101" spans="2:7" ht="14.5" customHeight="1" x14ac:dyDescent="0.35">
      <c r="B101" s="4">
        <v>44949</v>
      </c>
      <c r="C101" s="1" t="s">
        <v>2</v>
      </c>
      <c r="D101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1" s="7">
        <v>99.93</v>
      </c>
      <c r="F101" s="8">
        <v>0.54837499999999995</v>
      </c>
      <c r="G101" s="8">
        <v>54.105357934945538</v>
      </c>
    </row>
    <row r="102" spans="2:7" ht="14.5" customHeight="1" x14ac:dyDescent="0.35">
      <c r="B102" s="4">
        <v>44950</v>
      </c>
      <c r="C102" s="1" t="s">
        <v>2</v>
      </c>
      <c r="D102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2" s="7">
        <v>101.21</v>
      </c>
      <c r="F102" s="8">
        <v>2.303175</v>
      </c>
      <c r="G102" s="8">
        <v>48.043512719890053</v>
      </c>
    </row>
    <row r="103" spans="2:7" ht="14.5" customHeight="1" x14ac:dyDescent="0.35">
      <c r="B103" s="4">
        <v>44951</v>
      </c>
      <c r="C103" s="1" t="s">
        <v>2</v>
      </c>
      <c r="D103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3" s="7">
        <v>221.65</v>
      </c>
      <c r="F103" s="8">
        <v>0.64200000000000002</v>
      </c>
      <c r="G103" s="8">
        <v>53.984979169157945</v>
      </c>
    </row>
    <row r="104" spans="2:7" ht="14.5" customHeight="1" x14ac:dyDescent="0.35">
      <c r="B104" s="4">
        <v>44952</v>
      </c>
      <c r="C104" s="1" t="s">
        <v>2</v>
      </c>
      <c r="D104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4" s="7">
        <v>128.69</v>
      </c>
      <c r="F104" s="8">
        <v>0.81052499999999994</v>
      </c>
      <c r="G104" s="8">
        <v>53.584676127574085</v>
      </c>
    </row>
    <row r="105" spans="2:7" ht="14.5" customHeight="1" x14ac:dyDescent="0.35">
      <c r="B105" s="4">
        <v>44953</v>
      </c>
      <c r="C105" s="1" t="s">
        <v>2</v>
      </c>
      <c r="D105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5" s="7">
        <v>98.9</v>
      </c>
      <c r="F105" s="8">
        <v>1.5113750000000001</v>
      </c>
      <c r="G105" s="8">
        <v>53.737347994825356</v>
      </c>
    </row>
    <row r="106" spans="2:7" ht="14.5" customHeight="1" x14ac:dyDescent="0.35">
      <c r="B106" s="4">
        <v>44954</v>
      </c>
      <c r="C106" s="1" t="s">
        <v>2</v>
      </c>
      <c r="D106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6" s="7">
        <v>30.31</v>
      </c>
      <c r="F106" s="8">
        <v>0.749</v>
      </c>
      <c r="G106" s="8">
        <v>53.43691595274769</v>
      </c>
    </row>
    <row r="107" spans="2:7" ht="14.5" customHeight="1" x14ac:dyDescent="0.35">
      <c r="B107" s="4">
        <v>44956</v>
      </c>
      <c r="C107" s="1" t="s">
        <v>2</v>
      </c>
      <c r="D107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7" s="7">
        <v>197.14</v>
      </c>
      <c r="F107" s="8">
        <v>0.48150000000000004</v>
      </c>
      <c r="G107" s="8">
        <v>52.831937612477496</v>
      </c>
    </row>
    <row r="108" spans="2:7" ht="14.5" customHeight="1" x14ac:dyDescent="0.35">
      <c r="B108" s="4">
        <v>44957</v>
      </c>
      <c r="C108" s="1" t="s">
        <v>2</v>
      </c>
      <c r="D108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8" s="7">
        <v>172.07</v>
      </c>
      <c r="F108" s="8">
        <v>0.21400000000000002</v>
      </c>
      <c r="G108" s="8">
        <v>54.616394006506503</v>
      </c>
    </row>
    <row r="109" spans="2:7" ht="14.5" customHeight="1" x14ac:dyDescent="0.35">
      <c r="B109" s="4">
        <v>44958</v>
      </c>
      <c r="C109" s="1" t="s">
        <v>2</v>
      </c>
      <c r="D109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9" s="7">
        <v>79.3</v>
      </c>
      <c r="F109" s="8">
        <v>0.37717499999999998</v>
      </c>
      <c r="G109" s="8">
        <v>54.417055000000005</v>
      </c>
    </row>
    <row r="110" spans="2:7" ht="14.5" customHeight="1" x14ac:dyDescent="0.35">
      <c r="B110" s="4">
        <v>44959</v>
      </c>
      <c r="C110" s="1" t="s">
        <v>2</v>
      </c>
      <c r="D110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0" s="7">
        <v>103.37</v>
      </c>
      <c r="F110" s="8">
        <v>0.90949999999999998</v>
      </c>
      <c r="G110" s="8">
        <v>52.901484635728544</v>
      </c>
    </row>
    <row r="111" spans="2:7" ht="14.5" customHeight="1" x14ac:dyDescent="0.35">
      <c r="B111" s="4">
        <v>44960</v>
      </c>
      <c r="C111" s="1" t="s">
        <v>2</v>
      </c>
      <c r="D111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1" s="7">
        <v>237.27</v>
      </c>
      <c r="F111" s="8">
        <v>0.47080000000000005</v>
      </c>
      <c r="G111" s="8">
        <v>54.299838661487897</v>
      </c>
    </row>
    <row r="112" spans="2:7" ht="14.5" customHeight="1" x14ac:dyDescent="0.35">
      <c r="B112" s="4">
        <v>44963</v>
      </c>
      <c r="C112" s="1" t="s">
        <v>2</v>
      </c>
      <c r="D112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2" s="7">
        <v>206.96</v>
      </c>
      <c r="F112" s="8">
        <v>3.6379999999999999</v>
      </c>
      <c r="G112" s="8">
        <v>50.972543510850095</v>
      </c>
    </row>
    <row r="113" spans="2:7" x14ac:dyDescent="0.35">
      <c r="B113" s="4">
        <v>44964</v>
      </c>
      <c r="C113" s="1" t="s">
        <v>2</v>
      </c>
      <c r="D113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3" s="7">
        <v>240.74</v>
      </c>
      <c r="F113" s="8">
        <v>0.97905000000000009</v>
      </c>
      <c r="G113" s="8">
        <v>53.448569550908729</v>
      </c>
    </row>
    <row r="114" spans="2:7" x14ac:dyDescent="0.35">
      <c r="B114" s="4">
        <v>44965</v>
      </c>
      <c r="C114" s="1" t="s">
        <v>2</v>
      </c>
      <c r="D114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4" s="7">
        <v>274.08999999999997</v>
      </c>
      <c r="F114" s="8">
        <v>2.3299250000000002</v>
      </c>
      <c r="G114" s="8">
        <v>53.10235423542354</v>
      </c>
    </row>
    <row r="115" spans="2:7" x14ac:dyDescent="0.35">
      <c r="B115" s="4">
        <v>44966</v>
      </c>
      <c r="C115" s="1" t="s">
        <v>2</v>
      </c>
      <c r="D115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5" s="7">
        <v>75.790000000000006</v>
      </c>
      <c r="F115" s="8">
        <v>3.485525</v>
      </c>
      <c r="G115" s="8">
        <v>51.925651174412792</v>
      </c>
    </row>
    <row r="116" spans="2:7" x14ac:dyDescent="0.35">
      <c r="B116" s="4">
        <v>44967</v>
      </c>
      <c r="C116" s="1" t="s">
        <v>2</v>
      </c>
      <c r="D116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6" s="7">
        <v>244.03</v>
      </c>
      <c r="F116" s="8">
        <v>8.4182249999999996</v>
      </c>
      <c r="G116" s="8">
        <v>45.320934656259382</v>
      </c>
    </row>
    <row r="117" spans="2:7" x14ac:dyDescent="0.35">
      <c r="B117" s="4">
        <v>44968</v>
      </c>
      <c r="C117" s="1" t="s">
        <v>2</v>
      </c>
      <c r="D117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7" s="7">
        <v>29.89</v>
      </c>
      <c r="F117" s="8">
        <v>0.82122499999999998</v>
      </c>
      <c r="G117" s="8">
        <v>54.043882172523958</v>
      </c>
    </row>
    <row r="118" spans="2:7" x14ac:dyDescent="0.35">
      <c r="B118" s="4">
        <v>44970</v>
      </c>
      <c r="C118" s="1" t="s">
        <v>2</v>
      </c>
      <c r="D118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8" s="7">
        <v>161.53</v>
      </c>
      <c r="F118" s="8">
        <v>1.07</v>
      </c>
      <c r="G118" s="8">
        <v>53.973540299043059</v>
      </c>
    </row>
    <row r="119" spans="2:7" x14ac:dyDescent="0.35">
      <c r="B119" s="4">
        <v>44971</v>
      </c>
      <c r="C119" s="1" t="s">
        <v>2</v>
      </c>
      <c r="D119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19" s="7">
        <v>139.34</v>
      </c>
      <c r="F119" s="8">
        <v>0.64200000000000002</v>
      </c>
      <c r="G119" s="8">
        <v>54.169956814301493</v>
      </c>
    </row>
    <row r="120" spans="2:7" x14ac:dyDescent="0.35">
      <c r="B120" s="4">
        <v>44972</v>
      </c>
      <c r="C120" s="6" t="s">
        <v>2</v>
      </c>
      <c r="D1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" s="7">
        <v>79.36</v>
      </c>
      <c r="F120" s="5">
        <v>0.29692500000000005</v>
      </c>
      <c r="G120" s="5">
        <v>54.633472820102114</v>
      </c>
    </row>
    <row r="121" spans="2:7" x14ac:dyDescent="0.35">
      <c r="B121" s="4">
        <v>44973</v>
      </c>
      <c r="C121" s="6" t="s">
        <v>2</v>
      </c>
      <c r="D1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" s="7">
        <v>138.56</v>
      </c>
      <c r="F121" s="5">
        <v>0.58315000000000006</v>
      </c>
      <c r="G121" s="5">
        <v>54.063876583633458</v>
      </c>
    </row>
    <row r="122" spans="2:7" x14ac:dyDescent="0.35">
      <c r="B122" s="4">
        <v>44974</v>
      </c>
      <c r="C122" s="6" t="s">
        <v>2</v>
      </c>
      <c r="D1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" s="7">
        <v>140.07</v>
      </c>
      <c r="F122" s="5">
        <v>0.36112500000000003</v>
      </c>
      <c r="G122" s="5">
        <v>54.869603158736503</v>
      </c>
    </row>
    <row r="123" spans="2:7" x14ac:dyDescent="0.35">
      <c r="B123" s="4">
        <v>44975</v>
      </c>
      <c r="C123" s="6" t="s">
        <v>2</v>
      </c>
      <c r="D1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" s="7">
        <v>66.069999999999993</v>
      </c>
      <c r="F123" s="5">
        <v>0.67677500000000002</v>
      </c>
      <c r="G123" s="5">
        <v>53.618459777544494</v>
      </c>
    </row>
    <row r="124" spans="2:7" x14ac:dyDescent="0.35">
      <c r="B124" s="4">
        <v>44977</v>
      </c>
      <c r="C124" s="6" t="s">
        <v>2</v>
      </c>
      <c r="D1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" s="7">
        <v>202.46</v>
      </c>
      <c r="F124" s="5">
        <v>1.773525</v>
      </c>
      <c r="G124" s="5">
        <v>53.1929412244898</v>
      </c>
    </row>
    <row r="125" spans="2:7" x14ac:dyDescent="0.35">
      <c r="B125" s="4">
        <v>44978</v>
      </c>
      <c r="C125" s="6" t="s">
        <v>2</v>
      </c>
      <c r="D1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" s="7">
        <v>236.2</v>
      </c>
      <c r="F125" s="5">
        <v>0.18725</v>
      </c>
      <c r="G125" s="5">
        <v>54.966981146752204</v>
      </c>
    </row>
    <row r="126" spans="2:7" x14ac:dyDescent="0.35">
      <c r="B126" s="4">
        <v>44979</v>
      </c>
      <c r="C126" s="6" t="s">
        <v>2</v>
      </c>
      <c r="D1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" s="7">
        <v>201.77</v>
      </c>
      <c r="F126" s="5">
        <v>0.14712500000000003</v>
      </c>
      <c r="G126" s="5">
        <v>55.054486680409795</v>
      </c>
    </row>
    <row r="127" spans="2:7" x14ac:dyDescent="0.35">
      <c r="B127" s="4">
        <v>44980</v>
      </c>
      <c r="C127" s="6" t="s">
        <v>2</v>
      </c>
      <c r="D1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" s="7">
        <v>245.61</v>
      </c>
      <c r="F127" s="5">
        <v>1.07</v>
      </c>
      <c r="G127" s="5">
        <v>52.774079888490647</v>
      </c>
    </row>
    <row r="128" spans="2:7" x14ac:dyDescent="0.35">
      <c r="B128" s="4">
        <v>44981</v>
      </c>
      <c r="C128" s="6" t="s">
        <v>2</v>
      </c>
      <c r="D1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8" s="7">
        <v>166.17</v>
      </c>
      <c r="F128" s="5">
        <v>1.3455250000000001</v>
      </c>
      <c r="G128" s="5">
        <v>52.793141540494716</v>
      </c>
    </row>
    <row r="129" spans="2:7" x14ac:dyDescent="0.35">
      <c r="B129" s="4">
        <v>44982</v>
      </c>
      <c r="C129" s="6" t="s">
        <v>2</v>
      </c>
      <c r="D1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9" s="7">
        <v>30.97</v>
      </c>
      <c r="F129" s="5">
        <v>1.2010750000000001</v>
      </c>
      <c r="G129" s="5">
        <v>53.779034787392952</v>
      </c>
    </row>
    <row r="130" spans="2:7" x14ac:dyDescent="0.35">
      <c r="B130" s="4">
        <v>44984</v>
      </c>
      <c r="C130" s="6" t="s">
        <v>2</v>
      </c>
      <c r="D1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" s="7">
        <v>200.7</v>
      </c>
      <c r="F130" s="5">
        <v>0.53500000000000003</v>
      </c>
      <c r="G130" s="5">
        <v>54.71157199372135</v>
      </c>
    </row>
    <row r="131" spans="2:7" x14ac:dyDescent="0.35">
      <c r="B131" s="4">
        <v>44985</v>
      </c>
      <c r="C131" s="6" t="s">
        <v>2</v>
      </c>
      <c r="D1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" s="7">
        <v>231.54</v>
      </c>
      <c r="F131" s="5">
        <v>0.56710000000000005</v>
      </c>
      <c r="G131" s="5">
        <v>53.88779029405881</v>
      </c>
    </row>
    <row r="132" spans="2:7" x14ac:dyDescent="0.35">
      <c r="B132" s="4">
        <v>44986</v>
      </c>
      <c r="C132" s="6" t="s">
        <v>2</v>
      </c>
      <c r="D1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2" s="7">
        <v>133.41</v>
      </c>
      <c r="F132" s="5">
        <v>0.92287500000000011</v>
      </c>
      <c r="G132" s="5">
        <v>53.771944420373529</v>
      </c>
    </row>
    <row r="133" spans="2:7" x14ac:dyDescent="0.35">
      <c r="B133" s="4">
        <v>44987</v>
      </c>
      <c r="C133" s="6" t="s">
        <v>2</v>
      </c>
      <c r="D1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3" s="7">
        <v>37.19</v>
      </c>
      <c r="F133" s="5">
        <v>0.61524999999999996</v>
      </c>
      <c r="G133" s="5">
        <v>52.708799682034972</v>
      </c>
    </row>
    <row r="134" spans="2:7" x14ac:dyDescent="0.35">
      <c r="B134" s="4">
        <v>44988</v>
      </c>
      <c r="C134" s="6" t="s">
        <v>2</v>
      </c>
      <c r="D1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4" s="7">
        <v>200.53</v>
      </c>
      <c r="F134" s="5">
        <v>0.6099</v>
      </c>
      <c r="G134" s="5">
        <v>53.530080164450666</v>
      </c>
    </row>
    <row r="135" spans="2:7" x14ac:dyDescent="0.35">
      <c r="B135" s="4">
        <v>44989</v>
      </c>
      <c r="C135" s="6" t="s">
        <v>2</v>
      </c>
      <c r="D1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5" s="7">
        <v>103.8</v>
      </c>
      <c r="F135" s="5">
        <v>0.27285000000000004</v>
      </c>
      <c r="G135" s="5">
        <v>54.468212791392709</v>
      </c>
    </row>
    <row r="136" spans="2:7" x14ac:dyDescent="0.35">
      <c r="B136" s="4">
        <v>44991</v>
      </c>
      <c r="C136" s="6" t="s">
        <v>2</v>
      </c>
      <c r="D1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6" s="7">
        <v>240.01</v>
      </c>
      <c r="F136" s="5">
        <v>0.29425000000000007</v>
      </c>
      <c r="G136" s="5">
        <v>53.804375562443752</v>
      </c>
    </row>
    <row r="137" spans="2:7" x14ac:dyDescent="0.35">
      <c r="B137" s="4">
        <v>44992</v>
      </c>
      <c r="C137" s="6" t="s">
        <v>2</v>
      </c>
      <c r="D1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" s="7">
        <v>208.84</v>
      </c>
      <c r="F137" s="5">
        <v>0.32635000000000003</v>
      </c>
      <c r="G137" s="5">
        <v>54.658220906955826</v>
      </c>
    </row>
    <row r="138" spans="2:7" x14ac:dyDescent="0.35">
      <c r="B138" s="4">
        <v>44993</v>
      </c>
      <c r="C138" s="6" t="s">
        <v>2</v>
      </c>
      <c r="D1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" s="7">
        <v>302.79000000000002</v>
      </c>
      <c r="F138" s="5">
        <v>4.1409000000000002</v>
      </c>
      <c r="G138" s="5">
        <v>49.209986459139145</v>
      </c>
    </row>
    <row r="139" spans="2:7" x14ac:dyDescent="0.35">
      <c r="B139" s="4">
        <v>44994</v>
      </c>
      <c r="C139" s="6" t="s">
        <v>2</v>
      </c>
      <c r="D1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" s="7">
        <v>239.76</v>
      </c>
      <c r="F139" s="5">
        <v>0.47080000000000005</v>
      </c>
      <c r="G139" s="5">
        <v>53.274430078219012</v>
      </c>
    </row>
    <row r="140" spans="2:7" x14ac:dyDescent="0.35">
      <c r="B140" s="4">
        <v>44995</v>
      </c>
      <c r="C140" s="6" t="s">
        <v>2</v>
      </c>
      <c r="D1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" s="7">
        <v>169.29</v>
      </c>
      <c r="F140" s="8">
        <v>1.6959500000000001</v>
      </c>
      <c r="G140" s="8">
        <v>51.662676280743852</v>
      </c>
    </row>
    <row r="141" spans="2:7" x14ac:dyDescent="0.35">
      <c r="B141" s="4">
        <v>44996</v>
      </c>
      <c r="C141" s="6" t="s">
        <v>2</v>
      </c>
      <c r="D1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" s="7">
        <v>94.01</v>
      </c>
      <c r="F141" s="8">
        <v>1.1261750000000001</v>
      </c>
      <c r="G141" s="8">
        <v>53.492779962271641</v>
      </c>
    </row>
    <row r="142" spans="2:7" x14ac:dyDescent="0.35">
      <c r="B142" s="4">
        <v>44998</v>
      </c>
      <c r="C142" s="6" t="s">
        <v>2</v>
      </c>
      <c r="D1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" s="7">
        <v>102.26</v>
      </c>
      <c r="F142" s="8">
        <v>0.34775000000000006</v>
      </c>
      <c r="G142" s="8">
        <v>54.03892249500899</v>
      </c>
    </row>
    <row r="143" spans="2:7" x14ac:dyDescent="0.35">
      <c r="B143" s="4">
        <v>44999</v>
      </c>
      <c r="C143" s="6" t="s">
        <v>2</v>
      </c>
      <c r="D1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" s="7">
        <v>226.83</v>
      </c>
      <c r="F143" s="8">
        <v>0.18725</v>
      </c>
      <c r="G143" s="8">
        <v>53.702709631935456</v>
      </c>
    </row>
    <row r="144" spans="2:7" x14ac:dyDescent="0.35">
      <c r="B144" s="4">
        <v>45000</v>
      </c>
      <c r="C144" s="6" t="s">
        <v>2</v>
      </c>
      <c r="D1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" s="7">
        <v>200.62</v>
      </c>
      <c r="F144" s="8">
        <v>1.5381250000000002</v>
      </c>
      <c r="G144" s="8">
        <v>53.673051264390431</v>
      </c>
    </row>
    <row r="145" spans="2:7" x14ac:dyDescent="0.35">
      <c r="B145" s="4">
        <v>45001</v>
      </c>
      <c r="C145" s="6" t="s">
        <v>2</v>
      </c>
      <c r="D1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" s="7">
        <v>206.81</v>
      </c>
      <c r="F145" s="8">
        <v>0.15782499999999999</v>
      </c>
      <c r="G145" s="8">
        <v>54.947671397161699</v>
      </c>
    </row>
    <row r="146" spans="2:7" x14ac:dyDescent="0.35">
      <c r="B146" s="4">
        <v>45002</v>
      </c>
      <c r="C146" s="6" t="s">
        <v>2</v>
      </c>
      <c r="D1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" s="7">
        <v>197.9</v>
      </c>
      <c r="F146" s="8">
        <v>0.37182500000000002</v>
      </c>
      <c r="G146" s="8">
        <v>54.328678287452625</v>
      </c>
    </row>
    <row r="147" spans="2:7" x14ac:dyDescent="0.35">
      <c r="B147" s="4">
        <v>45008</v>
      </c>
      <c r="C147" s="6" t="s">
        <v>2</v>
      </c>
      <c r="D1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" s="7">
        <v>199.07</v>
      </c>
      <c r="F147" s="8">
        <v>1.0272000000000001</v>
      </c>
      <c r="G147" s="8">
        <v>53.910769117396534</v>
      </c>
    </row>
    <row r="148" spans="2:7" x14ac:dyDescent="0.35">
      <c r="B148" s="4">
        <v>45009</v>
      </c>
      <c r="C148" s="6" t="s">
        <v>2</v>
      </c>
      <c r="D1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" s="7">
        <v>103.96</v>
      </c>
      <c r="F148" s="8">
        <v>0.13642500000000002</v>
      </c>
      <c r="G148" s="8">
        <v>53.425033257333865</v>
      </c>
    </row>
    <row r="149" spans="2:7" x14ac:dyDescent="0.35">
      <c r="B149" s="4">
        <v>44805</v>
      </c>
      <c r="C149" s="6" t="s">
        <v>6</v>
      </c>
      <c r="D1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" s="7">
        <v>210.43</v>
      </c>
      <c r="F149" s="8">
        <v>2.506475</v>
      </c>
      <c r="G149" s="8">
        <v>52.835525291828795</v>
      </c>
    </row>
    <row r="150" spans="2:7" x14ac:dyDescent="0.35">
      <c r="B150" s="4">
        <v>44806</v>
      </c>
      <c r="C150" s="6" t="s">
        <v>6</v>
      </c>
      <c r="D1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" s="7">
        <v>139.58000000000001</v>
      </c>
      <c r="F150" s="8">
        <v>1.9126250000000002</v>
      </c>
      <c r="G150" s="8">
        <v>53.830834816596514</v>
      </c>
    </row>
    <row r="151" spans="2:7" x14ac:dyDescent="0.35">
      <c r="B151" s="4">
        <v>44807</v>
      </c>
      <c r="C151" s="6" t="s">
        <v>6</v>
      </c>
      <c r="D1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1" s="7">
        <v>242.62</v>
      </c>
      <c r="F151" s="8">
        <v>2.1266250000000002</v>
      </c>
      <c r="G151" s="8">
        <v>53.367990757484428</v>
      </c>
    </row>
    <row r="152" spans="2:7" x14ac:dyDescent="0.35">
      <c r="B152" s="4">
        <v>44809</v>
      </c>
      <c r="C152" s="6" t="s">
        <v>6</v>
      </c>
      <c r="D1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2" s="7">
        <v>307.70999999999998</v>
      </c>
      <c r="F152" s="8">
        <v>2.7953749999999999</v>
      </c>
      <c r="G152" s="8">
        <v>52.95912978964239</v>
      </c>
    </row>
    <row r="153" spans="2:7" x14ac:dyDescent="0.35">
      <c r="B153" s="4">
        <v>44810</v>
      </c>
      <c r="C153" s="6" t="s">
        <v>6</v>
      </c>
      <c r="D1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" s="7">
        <v>105.87</v>
      </c>
      <c r="F153" s="8">
        <v>1.8136500000000002</v>
      </c>
      <c r="G153" s="8">
        <v>53.882183633179906</v>
      </c>
    </row>
    <row r="154" spans="2:7" x14ac:dyDescent="0.35">
      <c r="B154" s="4">
        <v>44811</v>
      </c>
      <c r="C154" s="6" t="s">
        <v>6</v>
      </c>
      <c r="D1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" s="7">
        <v>211.04</v>
      </c>
      <c r="F154" s="8">
        <v>2.8649250000000004</v>
      </c>
      <c r="G154" s="8">
        <v>53.072620165883876</v>
      </c>
    </row>
    <row r="155" spans="2:7" x14ac:dyDescent="0.35">
      <c r="B155" s="4">
        <v>44812</v>
      </c>
      <c r="C155" s="6" t="s">
        <v>6</v>
      </c>
      <c r="D1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" s="7">
        <v>208.14</v>
      </c>
      <c r="F155" s="8">
        <v>1.5515000000000001</v>
      </c>
      <c r="G155" s="8">
        <v>54.301793073057304</v>
      </c>
    </row>
    <row r="156" spans="2:7" x14ac:dyDescent="0.35">
      <c r="B156" s="4">
        <v>44813</v>
      </c>
      <c r="C156" s="6" t="s">
        <v>6</v>
      </c>
      <c r="D1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" s="7">
        <v>238.67</v>
      </c>
      <c r="F156" s="8">
        <v>2.7686250000000001</v>
      </c>
      <c r="G156" s="8">
        <v>53.051599047905398</v>
      </c>
    </row>
    <row r="157" spans="2:7" x14ac:dyDescent="0.35">
      <c r="B157" s="4">
        <v>44814</v>
      </c>
      <c r="C157" s="6" t="s">
        <v>6</v>
      </c>
      <c r="D1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" s="7">
        <v>175.69</v>
      </c>
      <c r="F157" s="8">
        <v>2.3005</v>
      </c>
      <c r="G157" s="8">
        <v>53.452389319039106</v>
      </c>
    </row>
    <row r="158" spans="2:7" x14ac:dyDescent="0.35">
      <c r="B158" s="4">
        <v>44816</v>
      </c>
      <c r="C158" s="6" t="s">
        <v>6</v>
      </c>
      <c r="D1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" s="7">
        <v>137.9</v>
      </c>
      <c r="F158" s="8">
        <v>3.127075</v>
      </c>
      <c r="G158" s="8">
        <v>52.7611874563068</v>
      </c>
    </row>
    <row r="159" spans="2:7" x14ac:dyDescent="0.35">
      <c r="B159" s="4">
        <v>44817</v>
      </c>
      <c r="C159" s="6" t="s">
        <v>6</v>
      </c>
      <c r="D1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" s="7">
        <v>66.37</v>
      </c>
      <c r="F159" s="8">
        <v>2.8</v>
      </c>
      <c r="G159" s="8">
        <v>51.5</v>
      </c>
    </row>
    <row r="160" spans="2:7" x14ac:dyDescent="0.35">
      <c r="B160" s="4">
        <v>44818</v>
      </c>
      <c r="C160" s="6" t="s">
        <v>6</v>
      </c>
      <c r="D1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0" s="7">
        <v>240.09</v>
      </c>
      <c r="F160" s="8">
        <v>2.65</v>
      </c>
      <c r="G160" s="8">
        <v>51.6</v>
      </c>
    </row>
    <row r="161" spans="2:7" x14ac:dyDescent="0.35">
      <c r="B161" s="4">
        <v>44819</v>
      </c>
      <c r="C161" s="6" t="s">
        <v>6</v>
      </c>
      <c r="D1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1" s="7">
        <v>312.79000000000002</v>
      </c>
      <c r="F161" s="8">
        <v>1.69</v>
      </c>
      <c r="G161" s="8">
        <v>52.5</v>
      </c>
    </row>
    <row r="162" spans="2:7" x14ac:dyDescent="0.35">
      <c r="B162" s="4">
        <v>44835</v>
      </c>
      <c r="C162" s="6" t="s">
        <v>6</v>
      </c>
      <c r="D1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" s="7">
        <v>169.04999999999998</v>
      </c>
      <c r="F162" s="8">
        <v>3.0815999999999999</v>
      </c>
      <c r="G162" s="8">
        <v>52.689628156691192</v>
      </c>
    </row>
    <row r="163" spans="2:7" x14ac:dyDescent="0.35">
      <c r="B163" s="4">
        <v>44837</v>
      </c>
      <c r="C163" s="6" t="s">
        <v>6</v>
      </c>
      <c r="D1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" s="7">
        <v>134.16999999999999</v>
      </c>
      <c r="F163" s="8">
        <v>2.1560500000000005</v>
      </c>
      <c r="G163" s="8">
        <v>53.361884253653443</v>
      </c>
    </row>
    <row r="164" spans="2:7" x14ac:dyDescent="0.35">
      <c r="B164" s="4">
        <v>44840</v>
      </c>
      <c r="C164" s="6" t="s">
        <v>6</v>
      </c>
      <c r="D1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" s="7">
        <v>239.47</v>
      </c>
      <c r="F164" s="8">
        <v>2.089175</v>
      </c>
      <c r="G164" s="8">
        <v>53.391317073170732</v>
      </c>
    </row>
    <row r="165" spans="2:7" x14ac:dyDescent="0.35">
      <c r="B165" s="4">
        <v>44841</v>
      </c>
      <c r="C165" s="6" t="s">
        <v>6</v>
      </c>
      <c r="D1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" s="7">
        <v>34.26</v>
      </c>
      <c r="F165" s="8">
        <v>1.4097249999999999</v>
      </c>
      <c r="G165" s="8">
        <v>53.868375446375069</v>
      </c>
    </row>
    <row r="166" spans="2:7" x14ac:dyDescent="0.35">
      <c r="B166" s="4">
        <v>44842</v>
      </c>
      <c r="C166" s="6" t="s">
        <v>6</v>
      </c>
      <c r="D1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" s="7">
        <v>69.099999999999994</v>
      </c>
      <c r="F166" s="8">
        <v>2.1132500000000003</v>
      </c>
      <c r="G166" s="8">
        <v>51.848355263157892</v>
      </c>
    </row>
    <row r="167" spans="2:7" x14ac:dyDescent="0.35">
      <c r="B167" s="4">
        <v>44846</v>
      </c>
      <c r="C167" s="6" t="s">
        <v>6</v>
      </c>
      <c r="D1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" s="7">
        <v>138.97</v>
      </c>
      <c r="F167" s="8">
        <v>2.14</v>
      </c>
      <c r="G167" s="8">
        <v>53.234771980715152</v>
      </c>
    </row>
    <row r="168" spans="2:7" x14ac:dyDescent="0.35">
      <c r="B168" s="4">
        <v>44849</v>
      </c>
      <c r="C168" s="6" t="s">
        <v>6</v>
      </c>
      <c r="D1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" s="7">
        <v>35.08</v>
      </c>
      <c r="F168" s="8">
        <v>1.9821750000000002</v>
      </c>
      <c r="G168" s="8">
        <v>53.754430578842317</v>
      </c>
    </row>
    <row r="169" spans="2:7" x14ac:dyDescent="0.35">
      <c r="B169" s="4">
        <v>44852</v>
      </c>
      <c r="C169" s="6" t="s">
        <v>6</v>
      </c>
      <c r="D1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" s="7">
        <v>68.45</v>
      </c>
      <c r="F169" s="8">
        <v>1.6237250000000001</v>
      </c>
      <c r="G169" s="8">
        <v>53.688501528346144</v>
      </c>
    </row>
    <row r="170" spans="2:7" x14ac:dyDescent="0.35">
      <c r="B170" s="4">
        <v>44854</v>
      </c>
      <c r="C170" s="6" t="s">
        <v>6</v>
      </c>
      <c r="D1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" s="7">
        <v>138.4</v>
      </c>
      <c r="F170" s="8">
        <v>1.5381250000000002</v>
      </c>
      <c r="G170" s="8">
        <v>53.997739710810677</v>
      </c>
    </row>
    <row r="171" spans="2:7" x14ac:dyDescent="0.35">
      <c r="B171" s="4">
        <v>44855</v>
      </c>
      <c r="C171" s="6" t="s">
        <v>6</v>
      </c>
      <c r="D1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" s="7">
        <v>34.619999999999997</v>
      </c>
      <c r="F171" s="8">
        <v>1.8644750000000001</v>
      </c>
      <c r="G171" s="8">
        <v>53.43175616859768</v>
      </c>
    </row>
    <row r="172" spans="2:7" x14ac:dyDescent="0.35">
      <c r="B172" s="4">
        <v>44856</v>
      </c>
      <c r="C172" s="6" t="s">
        <v>6</v>
      </c>
      <c r="D1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" s="7">
        <v>33.83</v>
      </c>
      <c r="F172" s="8">
        <v>1.8350500000000003</v>
      </c>
      <c r="G172" s="8">
        <v>53.553711917791105</v>
      </c>
    </row>
    <row r="173" spans="2:7" x14ac:dyDescent="0.35">
      <c r="B173" s="4">
        <v>44870</v>
      </c>
      <c r="C173" s="6" t="s">
        <v>6</v>
      </c>
      <c r="D1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" s="7">
        <v>141.12</v>
      </c>
      <c r="F173" s="8">
        <v>3.0495000000000001</v>
      </c>
      <c r="G173" s="8">
        <v>52.680130039011701</v>
      </c>
    </row>
    <row r="174" spans="2:7" x14ac:dyDescent="0.35">
      <c r="B174" s="4">
        <v>44873</v>
      </c>
      <c r="C174" s="6" t="s">
        <v>6</v>
      </c>
      <c r="D1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" s="7">
        <v>205.93</v>
      </c>
      <c r="F174" s="8">
        <v>2.7953749999999999</v>
      </c>
      <c r="G174" s="8">
        <v>53.037637779552711</v>
      </c>
    </row>
    <row r="175" spans="2:7" x14ac:dyDescent="0.35">
      <c r="B175" s="4">
        <v>44875</v>
      </c>
      <c r="C175" s="6" t="s">
        <v>6</v>
      </c>
      <c r="D1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" s="7">
        <v>31.93</v>
      </c>
      <c r="F175" s="8">
        <v>2.8756250000000003</v>
      </c>
      <c r="G175" s="8">
        <v>52.679952499999999</v>
      </c>
    </row>
    <row r="176" spans="2:7" x14ac:dyDescent="0.35">
      <c r="B176" s="4">
        <v>44876</v>
      </c>
      <c r="C176" s="6" t="s">
        <v>6</v>
      </c>
      <c r="D1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" s="7">
        <v>105.82</v>
      </c>
      <c r="F176" s="8">
        <v>2.1961750000000002</v>
      </c>
      <c r="G176" s="8">
        <v>53.353415179967918</v>
      </c>
    </row>
    <row r="177" spans="2:7" x14ac:dyDescent="0.35">
      <c r="B177" s="4">
        <v>44877</v>
      </c>
      <c r="C177" s="6" t="s">
        <v>6</v>
      </c>
      <c r="D1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" s="7">
        <v>32.54</v>
      </c>
      <c r="F177" s="8">
        <v>1.955425</v>
      </c>
      <c r="G177" s="8">
        <v>53.546226164449152</v>
      </c>
    </row>
    <row r="178" spans="2:7" x14ac:dyDescent="0.35">
      <c r="B178" s="4">
        <v>44882</v>
      </c>
      <c r="C178" s="6" t="s">
        <v>6</v>
      </c>
      <c r="D1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" s="7">
        <v>35.67</v>
      </c>
      <c r="F178" s="8">
        <v>1.7307250000000001</v>
      </c>
      <c r="G178" s="8">
        <v>53.904480269967095</v>
      </c>
    </row>
    <row r="179" spans="2:7" x14ac:dyDescent="0.35">
      <c r="B179" s="4">
        <v>44887</v>
      </c>
      <c r="C179" s="6" t="s">
        <v>6</v>
      </c>
      <c r="D1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" s="7">
        <v>69.72</v>
      </c>
      <c r="F179" s="8">
        <v>2.5305500000000003</v>
      </c>
      <c r="G179" s="8">
        <v>53.197330482017975</v>
      </c>
    </row>
    <row r="180" spans="2:7" x14ac:dyDescent="0.35">
      <c r="B180" s="4">
        <v>44890</v>
      </c>
      <c r="C180" s="6" t="s">
        <v>6</v>
      </c>
      <c r="D1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" s="7">
        <v>98.11</v>
      </c>
      <c r="F180" s="8">
        <v>1.9153000000000002</v>
      </c>
      <c r="G180" s="8">
        <v>53.643567718737515</v>
      </c>
    </row>
    <row r="181" spans="2:7" x14ac:dyDescent="0.35">
      <c r="B181" s="4">
        <v>44891</v>
      </c>
      <c r="C181" s="6" t="s">
        <v>6</v>
      </c>
      <c r="D1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" s="7">
        <v>378.5</v>
      </c>
      <c r="F181" s="8">
        <v>2.43425</v>
      </c>
      <c r="G181" s="8">
        <v>53.180997096806486</v>
      </c>
    </row>
    <row r="182" spans="2:7" x14ac:dyDescent="0.35">
      <c r="B182" s="4">
        <v>44893</v>
      </c>
      <c r="C182" s="6" t="s">
        <v>6</v>
      </c>
      <c r="D1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" s="7">
        <v>134.26</v>
      </c>
      <c r="F182" s="8">
        <v>1.9019250000000001</v>
      </c>
      <c r="G182" s="8">
        <v>53.719261369315348</v>
      </c>
    </row>
    <row r="183" spans="2:7" x14ac:dyDescent="0.35">
      <c r="B183" s="4">
        <v>44895</v>
      </c>
      <c r="C183" s="6" t="s">
        <v>6</v>
      </c>
      <c r="D1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" s="7">
        <v>103.9</v>
      </c>
      <c r="F183" s="8">
        <v>2.0329999999999999</v>
      </c>
      <c r="G183" s="8">
        <v>53.859156551328141</v>
      </c>
    </row>
    <row r="184" spans="2:7" x14ac:dyDescent="0.35">
      <c r="B184" s="4">
        <v>44896</v>
      </c>
      <c r="C184" s="6" t="s">
        <v>6</v>
      </c>
      <c r="D1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4" s="7">
        <v>34.799999999999997</v>
      </c>
      <c r="F184" s="8">
        <v>4.2291750000000006</v>
      </c>
      <c r="G184" s="8">
        <v>50.971571428571423</v>
      </c>
    </row>
    <row r="185" spans="2:7" x14ac:dyDescent="0.35">
      <c r="B185" s="4">
        <v>44897</v>
      </c>
      <c r="C185" s="6" t="s">
        <v>6</v>
      </c>
      <c r="D1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" s="7">
        <v>238.4</v>
      </c>
      <c r="F185" s="8">
        <v>1.9367000000000001</v>
      </c>
      <c r="G185" s="8">
        <v>53.993742169981019</v>
      </c>
    </row>
    <row r="186" spans="2:7" x14ac:dyDescent="0.35">
      <c r="B186" s="4">
        <v>44898</v>
      </c>
      <c r="C186" s="6" t="s">
        <v>6</v>
      </c>
      <c r="D1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" s="7">
        <v>35.79</v>
      </c>
      <c r="F186" s="8">
        <v>2.86225</v>
      </c>
      <c r="G186" s="8">
        <v>52.845258451667661</v>
      </c>
    </row>
    <row r="187" spans="2:7" x14ac:dyDescent="0.35">
      <c r="B187" s="4">
        <v>44900</v>
      </c>
      <c r="C187" s="6" t="s">
        <v>6</v>
      </c>
      <c r="D1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" s="7">
        <v>132.51</v>
      </c>
      <c r="F187" s="8">
        <v>1.420425</v>
      </c>
      <c r="G187" s="8">
        <v>54.022646444738683</v>
      </c>
    </row>
    <row r="188" spans="2:7" x14ac:dyDescent="0.35">
      <c r="B188" s="4">
        <v>44907</v>
      </c>
      <c r="C188" s="6" t="s">
        <v>6</v>
      </c>
      <c r="D1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" s="7">
        <v>104.12</v>
      </c>
      <c r="F188" s="8">
        <v>1.8698250000000001</v>
      </c>
      <c r="G188" s="8">
        <v>54.001632540844788</v>
      </c>
    </row>
    <row r="189" spans="2:7" x14ac:dyDescent="0.35">
      <c r="B189" s="4">
        <v>44925</v>
      </c>
      <c r="C189" s="6" t="s">
        <v>6</v>
      </c>
      <c r="D1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" s="7">
        <v>68.44</v>
      </c>
      <c r="F189" s="8">
        <v>1.741425</v>
      </c>
      <c r="G189" s="8">
        <v>53.903097245749919</v>
      </c>
    </row>
    <row r="190" spans="2:7" x14ac:dyDescent="0.35">
      <c r="B190" s="4">
        <v>44950</v>
      </c>
      <c r="C190" s="1" t="s">
        <v>6</v>
      </c>
      <c r="D190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90" s="7">
        <v>35.28</v>
      </c>
      <c r="F190" s="8">
        <v>1.875175</v>
      </c>
      <c r="G190" s="8">
        <v>53.72037547133187</v>
      </c>
    </row>
    <row r="191" spans="2:7" x14ac:dyDescent="0.35">
      <c r="B191" s="4">
        <v>44953</v>
      </c>
      <c r="C191" s="6" t="s">
        <v>6</v>
      </c>
      <c r="D1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" s="7">
        <v>34.1</v>
      </c>
      <c r="F191" s="8">
        <v>1.875175</v>
      </c>
      <c r="G191" s="8">
        <v>53.60035346081068</v>
      </c>
    </row>
    <row r="192" spans="2:7" x14ac:dyDescent="0.35">
      <c r="B192" s="4">
        <v>44954</v>
      </c>
      <c r="C192" s="6" t="s">
        <v>6</v>
      </c>
      <c r="D1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" s="7">
        <v>35.6</v>
      </c>
      <c r="F192" s="8">
        <v>3.0254250000000003</v>
      </c>
      <c r="G192" s="8">
        <v>52.568001329265847</v>
      </c>
    </row>
    <row r="193" spans="2:7" x14ac:dyDescent="0.35">
      <c r="B193" s="4">
        <v>44957</v>
      </c>
      <c r="C193" s="6" t="s">
        <v>6</v>
      </c>
      <c r="D1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" s="7">
        <v>102.87</v>
      </c>
      <c r="F193" s="8">
        <v>1.8992500000000001</v>
      </c>
      <c r="G193" s="8">
        <v>53.411165575485796</v>
      </c>
    </row>
    <row r="194" spans="2:7" x14ac:dyDescent="0.35">
      <c r="B194" s="4">
        <v>44958</v>
      </c>
      <c r="C194" s="6" t="s">
        <v>6</v>
      </c>
      <c r="D1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" s="7">
        <v>67.83</v>
      </c>
      <c r="F194" s="8">
        <v>2.3218999999999999</v>
      </c>
      <c r="G194" s="8">
        <v>53.466514775303438</v>
      </c>
    </row>
    <row r="195" spans="2:7" x14ac:dyDescent="0.35">
      <c r="B195" s="4">
        <v>44959</v>
      </c>
      <c r="C195" s="6" t="s">
        <v>6</v>
      </c>
      <c r="D1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" s="7">
        <v>173.33</v>
      </c>
      <c r="F195" s="8">
        <v>3.1110250000000006</v>
      </c>
      <c r="G195" s="8">
        <v>52.491291832866573</v>
      </c>
    </row>
    <row r="196" spans="2:7" x14ac:dyDescent="0.35">
      <c r="B196" s="4">
        <v>44960</v>
      </c>
      <c r="C196" s="6" t="s">
        <v>6</v>
      </c>
      <c r="D1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" s="7">
        <v>171.72</v>
      </c>
      <c r="F196" s="8">
        <v>4.3629249999999997</v>
      </c>
      <c r="G196" s="8">
        <v>51.215777955431193</v>
      </c>
    </row>
    <row r="197" spans="2:7" x14ac:dyDescent="0.35">
      <c r="B197" s="4">
        <v>44965</v>
      </c>
      <c r="C197" s="6" t="s">
        <v>6</v>
      </c>
      <c r="D1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" s="7">
        <v>34.93</v>
      </c>
      <c r="F197" s="8">
        <v>2.0651000000000002</v>
      </c>
      <c r="G197" s="8">
        <v>53.385462903023928</v>
      </c>
    </row>
    <row r="198" spans="2:7" x14ac:dyDescent="0.35">
      <c r="B198" s="4">
        <v>44968</v>
      </c>
      <c r="C198" s="6" t="s">
        <v>6</v>
      </c>
      <c r="D1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" s="7">
        <v>34.21</v>
      </c>
      <c r="F198" s="8">
        <v>2.2844500000000001</v>
      </c>
      <c r="G198" s="8">
        <v>52.832822730673314</v>
      </c>
    </row>
    <row r="199" spans="2:7" x14ac:dyDescent="0.35">
      <c r="B199" s="4">
        <v>44971</v>
      </c>
      <c r="C199" s="6" t="s">
        <v>6</v>
      </c>
      <c r="D1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" s="7">
        <v>37.909999999999997</v>
      </c>
      <c r="F199" s="8">
        <v>4.59565</v>
      </c>
      <c r="G199" s="8">
        <v>49.728604954367661</v>
      </c>
    </row>
    <row r="200" spans="2:7" x14ac:dyDescent="0.35">
      <c r="B200" s="4">
        <v>44972</v>
      </c>
      <c r="C200" s="6" t="s">
        <v>6</v>
      </c>
      <c r="D2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" s="7">
        <v>33.75</v>
      </c>
      <c r="F200" s="8">
        <v>2.2871250000000005</v>
      </c>
      <c r="G200" s="8">
        <v>53.157926155529836</v>
      </c>
    </row>
    <row r="201" spans="2:7" x14ac:dyDescent="0.35">
      <c r="B201" s="4">
        <v>44975</v>
      </c>
      <c r="C201" s="6" t="s">
        <v>6</v>
      </c>
      <c r="D2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" s="7">
        <v>35.4</v>
      </c>
      <c r="F201" s="8">
        <v>1.7494500000000002</v>
      </c>
      <c r="G201" s="8">
        <v>53.754288501589826</v>
      </c>
    </row>
    <row r="202" spans="2:7" x14ac:dyDescent="0.35">
      <c r="B202" s="4">
        <v>44979</v>
      </c>
      <c r="C202" s="6" t="s">
        <v>6</v>
      </c>
      <c r="D2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" s="7">
        <v>35.130000000000003</v>
      </c>
      <c r="F202" s="8">
        <v>1.4525250000000001</v>
      </c>
      <c r="G202" s="8">
        <v>53.590036848919432</v>
      </c>
    </row>
    <row r="203" spans="2:7" x14ac:dyDescent="0.35">
      <c r="B203" s="4">
        <v>44981</v>
      </c>
      <c r="C203" s="6" t="s">
        <v>6</v>
      </c>
      <c r="D2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" s="7">
        <v>205.31</v>
      </c>
      <c r="F203" s="8">
        <v>2.8194499999999998</v>
      </c>
      <c r="G203" s="8">
        <v>52.966136605601278</v>
      </c>
    </row>
    <row r="204" spans="2:7" x14ac:dyDescent="0.35">
      <c r="B204" s="4">
        <v>44982</v>
      </c>
      <c r="C204" s="1" t="s">
        <v>6</v>
      </c>
      <c r="D204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04" s="7">
        <v>200.72</v>
      </c>
      <c r="F204" s="8">
        <v>2.297825</v>
      </c>
      <c r="G204" s="8">
        <v>52.668765807908464</v>
      </c>
    </row>
    <row r="205" spans="2:7" x14ac:dyDescent="0.35">
      <c r="B205" s="4">
        <v>44984</v>
      </c>
      <c r="C205" s="1" t="s">
        <v>6</v>
      </c>
      <c r="D205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05" s="7">
        <v>101.98</v>
      </c>
      <c r="F205" s="8">
        <v>4.3549000000000007</v>
      </c>
      <c r="G205" s="8">
        <v>51.518590704647664</v>
      </c>
    </row>
    <row r="206" spans="2:7" x14ac:dyDescent="0.35">
      <c r="B206" s="4">
        <v>44985</v>
      </c>
      <c r="C206" s="1" t="s">
        <v>6</v>
      </c>
      <c r="D206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06" s="7">
        <v>243.58</v>
      </c>
      <c r="F206" s="8">
        <v>3.2661750000000005</v>
      </c>
      <c r="G206" s="8">
        <v>52.640919332267096</v>
      </c>
    </row>
    <row r="207" spans="2:7" x14ac:dyDescent="0.35">
      <c r="B207" s="4">
        <v>44986</v>
      </c>
      <c r="C207" s="1" t="s">
        <v>6</v>
      </c>
      <c r="D207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07" s="7">
        <v>349.94</v>
      </c>
      <c r="F207" s="8">
        <v>2.854225</v>
      </c>
      <c r="G207" s="8">
        <v>53.025996013951165</v>
      </c>
    </row>
    <row r="208" spans="2:7" x14ac:dyDescent="0.35">
      <c r="B208" s="4">
        <v>44987</v>
      </c>
      <c r="C208" s="1" t="s">
        <v>6</v>
      </c>
      <c r="D208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08" s="7">
        <v>276.68</v>
      </c>
      <c r="F208" s="8">
        <v>1.8136500000000002</v>
      </c>
      <c r="G208" s="8">
        <v>53.930997891777935</v>
      </c>
    </row>
    <row r="209" spans="2:7" x14ac:dyDescent="0.35">
      <c r="B209" s="4">
        <v>44988</v>
      </c>
      <c r="C209" s="1" t="s">
        <v>6</v>
      </c>
      <c r="D209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09" s="7">
        <v>244.66</v>
      </c>
      <c r="F209" s="8">
        <v>3.6005500000000006</v>
      </c>
      <c r="G209" s="8">
        <v>51.207428970192403</v>
      </c>
    </row>
    <row r="210" spans="2:7" x14ac:dyDescent="0.35">
      <c r="B210" s="4">
        <v>44989</v>
      </c>
      <c r="C210" s="1" t="s">
        <v>6</v>
      </c>
      <c r="D210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0" s="7">
        <v>243.11</v>
      </c>
      <c r="F210" s="8">
        <v>3.6005500000000006</v>
      </c>
      <c r="G210" s="8">
        <v>51.207428970192403</v>
      </c>
    </row>
    <row r="211" spans="2:7" x14ac:dyDescent="0.35">
      <c r="B211" s="4">
        <v>44991</v>
      </c>
      <c r="C211" s="1" t="s">
        <v>6</v>
      </c>
      <c r="D211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1" s="7">
        <v>173.15</v>
      </c>
      <c r="F211" s="8">
        <v>1.5996500000000002</v>
      </c>
      <c r="G211" s="8">
        <v>53.998368146214105</v>
      </c>
    </row>
    <row r="212" spans="2:7" x14ac:dyDescent="0.35">
      <c r="B212" s="4">
        <v>44992</v>
      </c>
      <c r="C212" s="1" t="s">
        <v>6</v>
      </c>
      <c r="D212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2" s="7">
        <v>34.909999999999997</v>
      </c>
      <c r="F212" s="8">
        <v>3.2367500000000002</v>
      </c>
      <c r="G212" s="8">
        <v>52.381985729187463</v>
      </c>
    </row>
    <row r="213" spans="2:7" x14ac:dyDescent="0.35">
      <c r="B213" s="4">
        <v>44993</v>
      </c>
      <c r="C213" s="1" t="s">
        <v>6</v>
      </c>
      <c r="D213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3" s="7">
        <v>104.51</v>
      </c>
      <c r="F213" s="8">
        <v>3.2367500000000002</v>
      </c>
      <c r="G213" s="8">
        <v>52.381985729187463</v>
      </c>
    </row>
    <row r="214" spans="2:7" x14ac:dyDescent="0.35">
      <c r="B214" s="4">
        <v>44994</v>
      </c>
      <c r="C214" s="1" t="s">
        <v>6</v>
      </c>
      <c r="D214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4" s="7">
        <v>143.26</v>
      </c>
      <c r="F214" s="8">
        <v>2.1934999999999998</v>
      </c>
      <c r="G214" s="8">
        <v>53.793724987487487</v>
      </c>
    </row>
    <row r="215" spans="2:7" x14ac:dyDescent="0.35">
      <c r="B215" s="4">
        <v>44995</v>
      </c>
      <c r="C215" s="1" t="s">
        <v>6</v>
      </c>
      <c r="D215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5" s="7">
        <v>104.89</v>
      </c>
      <c r="F215" s="8">
        <v>1.7280500000000001</v>
      </c>
      <c r="G215" s="8">
        <v>54.119714313804174</v>
      </c>
    </row>
    <row r="216" spans="2:7" x14ac:dyDescent="0.35">
      <c r="B216" s="4">
        <v>44996</v>
      </c>
      <c r="C216" s="1" t="s">
        <v>6</v>
      </c>
      <c r="D216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6" s="7">
        <v>173.88</v>
      </c>
      <c r="F216" s="8">
        <v>3.410625</v>
      </c>
      <c r="G216" s="8">
        <v>52.391005524861875</v>
      </c>
    </row>
    <row r="217" spans="2:7" x14ac:dyDescent="0.35">
      <c r="B217" s="4">
        <v>44998</v>
      </c>
      <c r="C217" s="1" t="s">
        <v>6</v>
      </c>
      <c r="D217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7" s="7">
        <v>317.93</v>
      </c>
      <c r="F217" s="8">
        <v>1.7574750000000001</v>
      </c>
      <c r="G217" s="8">
        <v>53.869827946295366</v>
      </c>
    </row>
    <row r="218" spans="2:7" x14ac:dyDescent="0.35">
      <c r="B218" s="4">
        <v>44999</v>
      </c>
      <c r="C218" s="1" t="s">
        <v>6</v>
      </c>
      <c r="D218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8" s="7">
        <v>138.15</v>
      </c>
      <c r="F218" s="8">
        <v>1.0940750000000001</v>
      </c>
      <c r="G218" s="8">
        <v>54.275227477252272</v>
      </c>
    </row>
    <row r="219" spans="2:7" x14ac:dyDescent="0.35">
      <c r="B219" s="4">
        <v>45000</v>
      </c>
      <c r="C219" s="1" t="s">
        <v>6</v>
      </c>
      <c r="D219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19" s="7">
        <v>243.6</v>
      </c>
      <c r="F219" s="8">
        <v>2.3299250000000002</v>
      </c>
      <c r="G219" s="8">
        <v>53.364034995282552</v>
      </c>
    </row>
    <row r="220" spans="2:7" x14ac:dyDescent="0.35">
      <c r="B220" s="4">
        <v>45001</v>
      </c>
      <c r="C220" s="1" t="s">
        <v>6</v>
      </c>
      <c r="D220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220" s="7">
        <v>204.33</v>
      </c>
      <c r="F220" s="8">
        <v>2.303175</v>
      </c>
      <c r="G220" s="8">
        <v>53.689844015598446</v>
      </c>
    </row>
    <row r="221" spans="2:7" x14ac:dyDescent="0.35">
      <c r="B221" s="4">
        <v>45002</v>
      </c>
      <c r="C221" s="6" t="s">
        <v>6</v>
      </c>
      <c r="D2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" s="7">
        <v>280.76</v>
      </c>
      <c r="F221" s="5">
        <v>2.8355000000000001</v>
      </c>
      <c r="G221" s="5">
        <v>53.024204945082374</v>
      </c>
    </row>
    <row r="222" spans="2:7" x14ac:dyDescent="0.35">
      <c r="B222" s="4">
        <v>45003</v>
      </c>
      <c r="C222" s="6" t="s">
        <v>6</v>
      </c>
      <c r="D2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" s="7">
        <v>594.41999999999996</v>
      </c>
      <c r="F222" s="5">
        <v>1.4873000000000001</v>
      </c>
      <c r="G222" s="5">
        <v>54.151488297659533</v>
      </c>
    </row>
    <row r="223" spans="2:7" x14ac:dyDescent="0.35">
      <c r="B223" s="4">
        <v>45006</v>
      </c>
      <c r="C223" s="6" t="s">
        <v>6</v>
      </c>
      <c r="D2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" s="7">
        <v>175.11</v>
      </c>
      <c r="F223" s="5">
        <v>2.233625</v>
      </c>
      <c r="G223" s="5">
        <v>53.018931111500358</v>
      </c>
    </row>
    <row r="224" spans="2:7" x14ac:dyDescent="0.35">
      <c r="B224" s="4">
        <v>45007</v>
      </c>
      <c r="C224" s="6" t="s">
        <v>6</v>
      </c>
      <c r="D2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" s="7">
        <v>68.2</v>
      </c>
      <c r="F224" s="5">
        <v>1.885875</v>
      </c>
      <c r="G224" s="5">
        <v>53.578806176470586</v>
      </c>
    </row>
    <row r="225" spans="2:7" x14ac:dyDescent="0.35">
      <c r="B225" s="4">
        <v>45008</v>
      </c>
      <c r="C225" s="6" t="s">
        <v>6</v>
      </c>
      <c r="D2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" s="7">
        <v>310.39999999999998</v>
      </c>
      <c r="F225" s="5">
        <v>2.019625</v>
      </c>
      <c r="G225" s="5">
        <v>53.553571861489196</v>
      </c>
    </row>
    <row r="226" spans="2:7" x14ac:dyDescent="0.35">
      <c r="B226" s="4">
        <v>45009</v>
      </c>
      <c r="C226" s="6" t="s">
        <v>6</v>
      </c>
      <c r="D2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" s="7">
        <v>409.5</v>
      </c>
      <c r="F226" s="5">
        <v>2.6054500000000003</v>
      </c>
      <c r="G226" s="5">
        <v>52.927854057879919</v>
      </c>
    </row>
    <row r="227" spans="2:7" x14ac:dyDescent="0.35">
      <c r="B227" s="4">
        <v>45017</v>
      </c>
      <c r="C227" s="6" t="s">
        <v>6</v>
      </c>
      <c r="D2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" s="7">
        <v>485.6</v>
      </c>
      <c r="F227" s="5">
        <v>2.8007250000000004</v>
      </c>
      <c r="G227" s="5">
        <v>53.178276169350802</v>
      </c>
    </row>
    <row r="228" spans="2:7" x14ac:dyDescent="0.35">
      <c r="B228" s="4">
        <v>44806</v>
      </c>
      <c r="C228" s="6" t="s">
        <v>9</v>
      </c>
      <c r="D2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" s="7">
        <v>37.229999999999997</v>
      </c>
      <c r="F228" s="5">
        <v>2.3406250000000002</v>
      </c>
      <c r="G228" s="5">
        <v>53.41408041687469</v>
      </c>
    </row>
    <row r="229" spans="2:7" x14ac:dyDescent="0.35">
      <c r="B229" s="4">
        <v>44807</v>
      </c>
      <c r="C229" s="6" t="s">
        <v>9</v>
      </c>
      <c r="D2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" s="7">
        <v>244.15</v>
      </c>
      <c r="F229" s="5">
        <v>2.859575</v>
      </c>
      <c r="G229" s="5">
        <v>52.888292220113854</v>
      </c>
    </row>
    <row r="230" spans="2:7" x14ac:dyDescent="0.35">
      <c r="B230" s="4">
        <v>44809</v>
      </c>
      <c r="C230" s="6" t="s">
        <v>9</v>
      </c>
      <c r="D2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" s="7">
        <v>136.30000000000001</v>
      </c>
      <c r="F230" s="5">
        <v>4.5501750000000003</v>
      </c>
      <c r="G230" s="5">
        <v>50.936230463258781</v>
      </c>
    </row>
    <row r="231" spans="2:7" x14ac:dyDescent="0.35">
      <c r="B231" s="4">
        <v>44811</v>
      </c>
      <c r="C231" s="6" t="s">
        <v>9</v>
      </c>
      <c r="D2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" s="7">
        <v>67.95</v>
      </c>
      <c r="F231" s="5">
        <v>3.057525</v>
      </c>
      <c r="G231" s="5">
        <v>52.497562754713201</v>
      </c>
    </row>
    <row r="232" spans="2:7" x14ac:dyDescent="0.35">
      <c r="B232" s="4">
        <v>44817</v>
      </c>
      <c r="C232" s="6" t="s">
        <v>9</v>
      </c>
      <c r="D2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" s="7">
        <v>34.15</v>
      </c>
      <c r="F232" s="5">
        <v>2.12</v>
      </c>
      <c r="G232" s="5">
        <v>52.1</v>
      </c>
    </row>
    <row r="233" spans="2:7" x14ac:dyDescent="0.35">
      <c r="B233" s="4">
        <v>44819</v>
      </c>
      <c r="C233" s="6" t="s">
        <v>9</v>
      </c>
      <c r="D2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" s="7">
        <v>100.34</v>
      </c>
      <c r="F233" s="9">
        <v>2.38</v>
      </c>
      <c r="G233" s="5">
        <v>51.464997002398071</v>
      </c>
    </row>
    <row r="234" spans="2:7" x14ac:dyDescent="0.35">
      <c r="B234" s="4">
        <v>44820</v>
      </c>
      <c r="C234" s="6" t="s">
        <v>9</v>
      </c>
      <c r="D2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" s="7">
        <v>135.66999999999999</v>
      </c>
      <c r="F234" s="9">
        <v>2.78</v>
      </c>
      <c r="G234" s="5">
        <v>51.999701973419249</v>
      </c>
    </row>
    <row r="235" spans="2:7" x14ac:dyDescent="0.35">
      <c r="B235" s="4">
        <v>44823</v>
      </c>
      <c r="C235" s="6" t="s">
        <v>9</v>
      </c>
      <c r="D2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" s="7">
        <v>65.62</v>
      </c>
      <c r="F235" s="9">
        <v>2.7418750000000003</v>
      </c>
      <c r="G235" s="5">
        <v>52.731233375861379</v>
      </c>
    </row>
    <row r="236" spans="2:7" x14ac:dyDescent="0.35">
      <c r="B236" s="4">
        <v>44825</v>
      </c>
      <c r="C236" s="6" t="s">
        <v>9</v>
      </c>
      <c r="D2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" s="7">
        <v>68.72</v>
      </c>
      <c r="F236" s="9">
        <v>3.7262750000000002</v>
      </c>
      <c r="G236" s="5">
        <v>52.188213996153458</v>
      </c>
    </row>
    <row r="237" spans="2:7" x14ac:dyDescent="0.35">
      <c r="B237" s="4">
        <v>44826</v>
      </c>
      <c r="C237" s="6" t="s">
        <v>9</v>
      </c>
      <c r="D2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" s="7">
        <v>34.4</v>
      </c>
      <c r="F237" s="9">
        <v>2.4700000000000002</v>
      </c>
      <c r="G237" s="5">
        <v>53.1</v>
      </c>
    </row>
    <row r="238" spans="2:7" x14ac:dyDescent="0.35">
      <c r="B238" s="4">
        <v>44858</v>
      </c>
      <c r="C238" s="6" t="s">
        <v>9</v>
      </c>
      <c r="D2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" s="7">
        <v>67.89</v>
      </c>
      <c r="F238" s="9">
        <v>3.4935500000000004</v>
      </c>
      <c r="G238" s="5">
        <v>51.839399498746864</v>
      </c>
    </row>
    <row r="239" spans="2:7" x14ac:dyDescent="0.35">
      <c r="B239" s="4">
        <v>44895</v>
      </c>
      <c r="C239" s="6" t="s">
        <v>9</v>
      </c>
      <c r="D2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" s="7">
        <v>100.17</v>
      </c>
      <c r="F239" s="9">
        <v>2.1961750000000002</v>
      </c>
      <c r="G239" s="5">
        <v>53.47041504539559</v>
      </c>
    </row>
    <row r="240" spans="2:7" x14ac:dyDescent="0.35">
      <c r="B240" s="4">
        <v>44907</v>
      </c>
      <c r="C240" s="6" t="s">
        <v>9</v>
      </c>
      <c r="D2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" s="7">
        <v>171.27</v>
      </c>
      <c r="F240" s="8">
        <v>1.8511000000000002</v>
      </c>
      <c r="G240" s="8">
        <v>54.025645322162376</v>
      </c>
    </row>
    <row r="241" spans="2:7" x14ac:dyDescent="0.35">
      <c r="B241" s="4">
        <v>44914</v>
      </c>
      <c r="C241" s="6" t="s">
        <v>9</v>
      </c>
      <c r="D2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" s="7">
        <v>34.76</v>
      </c>
      <c r="F241" s="8">
        <v>1.917975</v>
      </c>
      <c r="G241" s="8">
        <v>53.434552731638981</v>
      </c>
    </row>
    <row r="242" spans="2:7" x14ac:dyDescent="0.35">
      <c r="B242" s="4">
        <v>44916</v>
      </c>
      <c r="C242" s="6" t="s">
        <v>9</v>
      </c>
      <c r="D2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" s="7">
        <v>68.989999999999995</v>
      </c>
      <c r="F242" s="8">
        <v>2.0758000000000001</v>
      </c>
      <c r="G242" s="8">
        <v>53.57585912956678</v>
      </c>
    </row>
    <row r="243" spans="2:7" x14ac:dyDescent="0.35">
      <c r="B243" s="4">
        <v>44952</v>
      </c>
      <c r="C243" s="6" t="s">
        <v>9</v>
      </c>
      <c r="D2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" s="7">
        <v>208</v>
      </c>
      <c r="F243" s="8">
        <v>2.0089250000000001</v>
      </c>
      <c r="G243" s="8">
        <v>53.864033240889064</v>
      </c>
    </row>
    <row r="244" spans="2:7" x14ac:dyDescent="0.35">
      <c r="B244" s="4">
        <v>44953</v>
      </c>
      <c r="C244" s="6" t="s">
        <v>9</v>
      </c>
      <c r="D2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" s="7">
        <v>207.64</v>
      </c>
      <c r="F244" s="8">
        <v>1.8083</v>
      </c>
      <c r="G244" s="8">
        <v>53.670363369956057</v>
      </c>
    </row>
    <row r="245" spans="2:7" x14ac:dyDescent="0.35">
      <c r="B245" s="4">
        <v>44954</v>
      </c>
      <c r="C245" s="6" t="s">
        <v>9</v>
      </c>
      <c r="D2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" s="7">
        <v>68.31</v>
      </c>
      <c r="F245" s="8">
        <v>1.8939000000000001</v>
      </c>
      <c r="G245" s="8">
        <v>53.568061157610863</v>
      </c>
    </row>
    <row r="246" spans="2:7" x14ac:dyDescent="0.35">
      <c r="B246" s="4">
        <v>44959</v>
      </c>
      <c r="C246" s="6" t="s">
        <v>9</v>
      </c>
      <c r="D2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" s="7">
        <v>139.81</v>
      </c>
      <c r="F246" s="9">
        <v>3.4935500000000004</v>
      </c>
      <c r="G246" s="10">
        <v>52.245449847603766</v>
      </c>
    </row>
    <row r="247" spans="2:7" x14ac:dyDescent="0.35">
      <c r="B247" s="4">
        <v>44805</v>
      </c>
      <c r="C247" s="6" t="s">
        <v>7</v>
      </c>
      <c r="D2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" s="7">
        <v>138.01</v>
      </c>
      <c r="F247" s="9">
        <v>3.6513750000000003</v>
      </c>
      <c r="G247" s="10">
        <v>50.681774011482773</v>
      </c>
    </row>
    <row r="248" spans="2:7" x14ac:dyDescent="0.35">
      <c r="B248" s="4">
        <v>44806</v>
      </c>
      <c r="C248" s="6" t="s">
        <v>7</v>
      </c>
      <c r="D2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" s="7">
        <v>134.72</v>
      </c>
      <c r="F248" s="9">
        <v>2.1132500000000003</v>
      </c>
      <c r="G248" s="10">
        <v>52.948691094249199</v>
      </c>
    </row>
    <row r="249" spans="2:7" x14ac:dyDescent="0.35">
      <c r="B249" s="4">
        <v>44807</v>
      </c>
      <c r="C249" s="6" t="s">
        <v>7</v>
      </c>
      <c r="D2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" s="7">
        <v>43.71</v>
      </c>
      <c r="F249" s="9">
        <v>1.1556000000000002</v>
      </c>
      <c r="G249" s="10">
        <v>54.240382344109705</v>
      </c>
    </row>
    <row r="250" spans="2:7" x14ac:dyDescent="0.35">
      <c r="B250" s="4">
        <v>44809</v>
      </c>
      <c r="C250" s="6" t="s">
        <v>7</v>
      </c>
      <c r="D2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" s="7">
        <v>68.59</v>
      </c>
      <c r="F250" s="9">
        <v>10.638475000000001</v>
      </c>
      <c r="G250" s="10">
        <v>47.337646693290736</v>
      </c>
    </row>
    <row r="251" spans="2:7" x14ac:dyDescent="0.35">
      <c r="B251" s="4">
        <v>44810</v>
      </c>
      <c r="C251" s="6" t="s">
        <v>7</v>
      </c>
      <c r="D2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" s="7">
        <v>135.35</v>
      </c>
      <c r="F251" s="9">
        <v>3.5577500000000004</v>
      </c>
      <c r="G251" s="10">
        <v>51.473562823544057</v>
      </c>
    </row>
    <row r="252" spans="2:7" x14ac:dyDescent="0.35">
      <c r="B252" s="4">
        <v>44812</v>
      </c>
      <c r="C252" s="6" t="s">
        <v>7</v>
      </c>
      <c r="D2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" s="7">
        <v>138.25</v>
      </c>
      <c r="F252" s="8">
        <v>2.78735</v>
      </c>
      <c r="G252" s="8">
        <v>53.089771428571424</v>
      </c>
    </row>
    <row r="253" spans="2:7" x14ac:dyDescent="0.35">
      <c r="B253" s="4">
        <v>44813</v>
      </c>
      <c r="C253" s="6" t="s">
        <v>7</v>
      </c>
      <c r="D2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" s="7">
        <v>186.13</v>
      </c>
      <c r="F253" s="8">
        <v>1.9688000000000001</v>
      </c>
      <c r="G253" s="8">
        <v>52.737458341698449</v>
      </c>
    </row>
    <row r="254" spans="2:7" x14ac:dyDescent="0.35">
      <c r="B254" s="4">
        <v>44814</v>
      </c>
      <c r="C254" s="6" t="s">
        <v>7</v>
      </c>
      <c r="D2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" s="7">
        <v>91.56</v>
      </c>
      <c r="F254" s="8">
        <v>4.1007749999999996</v>
      </c>
      <c r="G254" s="8">
        <v>50.884992276307713</v>
      </c>
    </row>
    <row r="255" spans="2:7" x14ac:dyDescent="0.35">
      <c r="B255" s="4">
        <v>44816</v>
      </c>
      <c r="C255" s="6" t="s">
        <v>7</v>
      </c>
      <c r="D2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" s="7">
        <v>182.54</v>
      </c>
      <c r="F255" s="8">
        <v>3.1993000000000005</v>
      </c>
      <c r="G255" s="8">
        <v>51.562259322709167</v>
      </c>
    </row>
    <row r="256" spans="2:7" x14ac:dyDescent="0.35">
      <c r="B256" s="4">
        <v>44817</v>
      </c>
      <c r="C256" s="6" t="s">
        <v>7</v>
      </c>
      <c r="D2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" s="7">
        <v>111.03</v>
      </c>
      <c r="F256" s="8">
        <v>2.27</v>
      </c>
      <c r="G256" s="8">
        <v>50.2</v>
      </c>
    </row>
    <row r="257" spans="2:7" x14ac:dyDescent="0.35">
      <c r="B257" s="4">
        <v>44818</v>
      </c>
      <c r="C257" s="6" t="s">
        <v>7</v>
      </c>
      <c r="D2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" s="7">
        <v>47.1</v>
      </c>
      <c r="F257" s="8">
        <v>1.48</v>
      </c>
      <c r="G257" s="8">
        <v>52.8</v>
      </c>
    </row>
    <row r="258" spans="2:7" x14ac:dyDescent="0.35">
      <c r="B258" s="4">
        <v>44823</v>
      </c>
      <c r="C258" s="6" t="s">
        <v>7</v>
      </c>
      <c r="D2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" s="7">
        <v>183.94</v>
      </c>
      <c r="F258" s="8">
        <v>4.2699999999999996</v>
      </c>
      <c r="G258" s="8">
        <v>50</v>
      </c>
    </row>
    <row r="259" spans="2:7" x14ac:dyDescent="0.35">
      <c r="B259" s="4">
        <v>44825</v>
      </c>
      <c r="C259" s="6" t="s">
        <v>7</v>
      </c>
      <c r="D2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" s="7">
        <v>189.29</v>
      </c>
      <c r="F259" s="8">
        <v>2.48</v>
      </c>
      <c r="G259" s="8">
        <v>47.6</v>
      </c>
    </row>
    <row r="260" spans="2:7" x14ac:dyDescent="0.35">
      <c r="B260" s="4">
        <v>44826</v>
      </c>
      <c r="C260" s="6" t="s">
        <v>7</v>
      </c>
      <c r="D2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" s="7">
        <v>163.66999999999999</v>
      </c>
      <c r="F260" s="8">
        <v>3.0013500000000004</v>
      </c>
      <c r="G260" s="8">
        <v>48.172780000000003</v>
      </c>
    </row>
    <row r="261" spans="2:7" x14ac:dyDescent="0.35">
      <c r="B261" s="4">
        <v>44827</v>
      </c>
      <c r="C261" s="6" t="s">
        <v>7</v>
      </c>
      <c r="D2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" s="7">
        <v>232.88</v>
      </c>
      <c r="F261" s="8">
        <v>3.8118750000000001</v>
      </c>
      <c r="G261" s="8">
        <v>48.313605645387234</v>
      </c>
    </row>
    <row r="262" spans="2:7" x14ac:dyDescent="0.35">
      <c r="B262" s="4">
        <v>44832</v>
      </c>
      <c r="C262" s="6" t="s">
        <v>7</v>
      </c>
      <c r="D2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" s="7">
        <v>115.11</v>
      </c>
      <c r="F262" s="8">
        <v>2.0089250000000001</v>
      </c>
      <c r="G262" s="8">
        <v>52.722401221133666</v>
      </c>
    </row>
    <row r="263" spans="2:7" x14ac:dyDescent="0.35">
      <c r="B263" s="4">
        <v>44833</v>
      </c>
      <c r="C263" s="6" t="s">
        <v>7</v>
      </c>
      <c r="D2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" s="7">
        <v>97.63</v>
      </c>
      <c r="F263" s="8">
        <v>3.4347000000000003</v>
      </c>
      <c r="G263" s="8">
        <v>51.320535385572143</v>
      </c>
    </row>
    <row r="264" spans="2:7" x14ac:dyDescent="0.35">
      <c r="B264" s="4">
        <v>44835</v>
      </c>
      <c r="C264" s="6" t="s">
        <v>7</v>
      </c>
      <c r="D2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" s="7">
        <v>354.52</v>
      </c>
      <c r="F264" s="8">
        <v>2.233625</v>
      </c>
      <c r="G264" s="8">
        <v>51.091094643570784</v>
      </c>
    </row>
    <row r="265" spans="2:7" x14ac:dyDescent="0.35">
      <c r="B265" s="4">
        <v>44837</v>
      </c>
      <c r="C265" s="6" t="s">
        <v>7</v>
      </c>
      <c r="D2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" s="7">
        <v>96.259999999999991</v>
      </c>
      <c r="F265" s="8">
        <v>2.2068750000000001</v>
      </c>
      <c r="G265" s="8">
        <v>52.17003531646202</v>
      </c>
    </row>
    <row r="266" spans="2:7" x14ac:dyDescent="0.35">
      <c r="B266" s="4">
        <v>44838</v>
      </c>
      <c r="C266" s="6" t="s">
        <v>7</v>
      </c>
      <c r="D2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" s="7">
        <v>146.72999999999999</v>
      </c>
      <c r="F266" s="8">
        <v>1.95275</v>
      </c>
      <c r="G266" s="8">
        <v>52.222513814930167</v>
      </c>
    </row>
    <row r="267" spans="2:7" x14ac:dyDescent="0.35">
      <c r="B267" s="4">
        <v>44839</v>
      </c>
      <c r="C267" s="6" t="s">
        <v>7</v>
      </c>
      <c r="D2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" s="7">
        <v>210.62</v>
      </c>
      <c r="F267" s="9">
        <v>3.1832500000000001</v>
      </c>
      <c r="G267" s="11">
        <v>52.136233857242964</v>
      </c>
    </row>
    <row r="268" spans="2:7" x14ac:dyDescent="0.35">
      <c r="B268" s="4">
        <v>44840</v>
      </c>
      <c r="C268" s="6" t="s">
        <v>7</v>
      </c>
      <c r="D2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" s="7">
        <v>196.05</v>
      </c>
      <c r="F268" s="9">
        <v>3.1779000000000006</v>
      </c>
      <c r="G268" s="11">
        <v>49.767567602260229</v>
      </c>
    </row>
    <row r="269" spans="2:7" x14ac:dyDescent="0.35">
      <c r="B269" s="4">
        <v>44841</v>
      </c>
      <c r="C269" s="6" t="s">
        <v>7</v>
      </c>
      <c r="D2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" s="7">
        <v>169.38</v>
      </c>
      <c r="F269" s="9">
        <v>3.8707250000000002</v>
      </c>
      <c r="G269" s="11">
        <v>50.801030094240573</v>
      </c>
    </row>
    <row r="270" spans="2:7" x14ac:dyDescent="0.35">
      <c r="B270" s="4">
        <v>44842</v>
      </c>
      <c r="C270" s="6" t="s">
        <v>7</v>
      </c>
      <c r="D2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" s="7">
        <v>98.610000000000014</v>
      </c>
      <c r="F270" s="9">
        <v>3.8279250000000005</v>
      </c>
      <c r="G270" s="11">
        <v>50.605336249251351</v>
      </c>
    </row>
    <row r="271" spans="2:7" x14ac:dyDescent="0.35">
      <c r="B271" s="4">
        <v>44844</v>
      </c>
      <c r="C271" s="6" t="s">
        <v>7</v>
      </c>
      <c r="D2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" s="7">
        <v>147.14000000000004</v>
      </c>
      <c r="F271" s="9">
        <v>3.5229750000000002</v>
      </c>
      <c r="G271" s="11">
        <v>52.379661273206224</v>
      </c>
    </row>
    <row r="272" spans="2:7" x14ac:dyDescent="0.35">
      <c r="B272" s="4">
        <v>44845</v>
      </c>
      <c r="C272" s="6" t="s">
        <v>7</v>
      </c>
      <c r="D2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" s="7">
        <v>150.64000000000004</v>
      </c>
      <c r="F272" s="9">
        <v>5.7352000000000007</v>
      </c>
      <c r="G272" s="11">
        <v>49.961409927463734</v>
      </c>
    </row>
    <row r="273" spans="2:7" x14ac:dyDescent="0.35">
      <c r="B273" s="4">
        <v>44846</v>
      </c>
      <c r="C273" s="6" t="s">
        <v>7</v>
      </c>
      <c r="D2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" s="7">
        <v>173.75</v>
      </c>
      <c r="F273" s="8">
        <v>3.1511499999999999</v>
      </c>
      <c r="G273" s="8">
        <v>50.767402297398696</v>
      </c>
    </row>
    <row r="274" spans="2:7" x14ac:dyDescent="0.35">
      <c r="B274" s="4">
        <v>44847</v>
      </c>
      <c r="C274" s="6" t="s">
        <v>7</v>
      </c>
      <c r="D2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" s="7">
        <v>172.22</v>
      </c>
      <c r="F274" s="8">
        <v>3.0227500000000003</v>
      </c>
      <c r="G274" s="8">
        <v>50.588015564202337</v>
      </c>
    </row>
    <row r="275" spans="2:7" x14ac:dyDescent="0.35">
      <c r="B275" s="4">
        <v>44848</v>
      </c>
      <c r="C275" s="6" t="s">
        <v>7</v>
      </c>
      <c r="D2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" s="7">
        <v>73.069999999999993</v>
      </c>
      <c r="F275" s="8">
        <v>1.5060250000000002</v>
      </c>
      <c r="G275" s="8">
        <v>52.900007985625869</v>
      </c>
    </row>
    <row r="276" spans="2:7" x14ac:dyDescent="0.35">
      <c r="B276" s="4">
        <v>44852</v>
      </c>
      <c r="C276" s="6" t="s">
        <v>7</v>
      </c>
      <c r="D2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" s="7">
        <v>96.41</v>
      </c>
      <c r="F276" s="8">
        <v>3.2822249999999999</v>
      </c>
      <c r="G276" s="8">
        <v>50.293138964958629</v>
      </c>
    </row>
    <row r="277" spans="2:7" x14ac:dyDescent="0.35">
      <c r="B277" s="4">
        <v>44853</v>
      </c>
      <c r="C277" s="6" t="s">
        <v>7</v>
      </c>
      <c r="D2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" s="7">
        <v>99.04</v>
      </c>
      <c r="F277" s="8">
        <v>2.3085250000000004</v>
      </c>
      <c r="G277" s="8">
        <v>52.544738859456217</v>
      </c>
    </row>
    <row r="278" spans="2:7" x14ac:dyDescent="0.35">
      <c r="B278" s="4">
        <v>44854</v>
      </c>
      <c r="C278" s="6" t="s">
        <v>7</v>
      </c>
      <c r="D2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" s="7">
        <v>147.06</v>
      </c>
      <c r="F278" s="8">
        <v>1.1395500000000001</v>
      </c>
      <c r="G278" s="8">
        <v>52.702114537444928</v>
      </c>
    </row>
    <row r="279" spans="2:7" x14ac:dyDescent="0.35">
      <c r="B279" s="4">
        <v>44855</v>
      </c>
      <c r="C279" s="6" t="s">
        <v>7</v>
      </c>
      <c r="D2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" s="7">
        <v>123.19</v>
      </c>
      <c r="F279" s="8">
        <v>2.1212750000000002</v>
      </c>
      <c r="G279" s="8">
        <v>53.042950114965507</v>
      </c>
    </row>
    <row r="280" spans="2:7" x14ac:dyDescent="0.35">
      <c r="B280" s="4">
        <v>44856</v>
      </c>
      <c r="C280" s="6" t="s">
        <v>7</v>
      </c>
      <c r="D2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" s="7">
        <v>102.88</v>
      </c>
      <c r="F280" s="8">
        <v>1.9661250000000001</v>
      </c>
      <c r="G280" s="8">
        <v>52.94228571428571</v>
      </c>
    </row>
    <row r="281" spans="2:7" x14ac:dyDescent="0.35">
      <c r="B281" s="4">
        <v>44858</v>
      </c>
      <c r="C281" s="6" t="s">
        <v>7</v>
      </c>
      <c r="D2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" s="7">
        <v>99.71</v>
      </c>
      <c r="F281" s="8">
        <v>1.1261750000000001</v>
      </c>
      <c r="G281" s="8">
        <v>53.919512506256886</v>
      </c>
    </row>
    <row r="282" spans="2:7" x14ac:dyDescent="0.35">
      <c r="B282" s="4">
        <v>44859</v>
      </c>
      <c r="C282" s="6" t="s">
        <v>7</v>
      </c>
      <c r="D2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" s="7">
        <v>100.08</v>
      </c>
      <c r="F282" s="8">
        <v>2.0089250000000001</v>
      </c>
      <c r="G282" s="8">
        <v>52.916960146058422</v>
      </c>
    </row>
    <row r="283" spans="2:7" x14ac:dyDescent="0.35">
      <c r="B283" s="4">
        <v>44860</v>
      </c>
      <c r="C283" s="6" t="s">
        <v>7</v>
      </c>
      <c r="D2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" s="7">
        <v>100.4</v>
      </c>
      <c r="F283" s="11">
        <v>4.0552999999999999</v>
      </c>
      <c r="G283" s="11">
        <v>49.665054814610677</v>
      </c>
    </row>
    <row r="284" spans="2:7" x14ac:dyDescent="0.35">
      <c r="B284" s="4">
        <v>44861</v>
      </c>
      <c r="C284" s="6" t="s">
        <v>7</v>
      </c>
      <c r="D2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" s="7">
        <v>120.4</v>
      </c>
      <c r="F284" s="11">
        <v>1.8404</v>
      </c>
      <c r="G284" s="11">
        <v>51.223724120945128</v>
      </c>
    </row>
    <row r="285" spans="2:7" x14ac:dyDescent="0.35">
      <c r="B285" s="4">
        <v>44862</v>
      </c>
      <c r="C285" s="6" t="s">
        <v>7</v>
      </c>
      <c r="D2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" s="7">
        <v>48.95</v>
      </c>
      <c r="F285" s="11">
        <v>2.0784750000000001</v>
      </c>
      <c r="G285" s="11">
        <v>52.007111491008992</v>
      </c>
    </row>
    <row r="286" spans="2:7" x14ac:dyDescent="0.35">
      <c r="B286" s="4">
        <v>44863</v>
      </c>
      <c r="C286" s="6" t="s">
        <v>7</v>
      </c>
      <c r="D2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" s="7">
        <v>75.12</v>
      </c>
      <c r="F286" s="11">
        <v>3.8921250000000005</v>
      </c>
      <c r="G286" s="11">
        <v>50.080117099959999</v>
      </c>
    </row>
    <row r="287" spans="2:7" x14ac:dyDescent="0.35">
      <c r="B287" s="4">
        <v>44865</v>
      </c>
      <c r="C287" s="6" t="s">
        <v>7</v>
      </c>
      <c r="D2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" s="7">
        <v>50.71</v>
      </c>
      <c r="F287" s="11">
        <v>4.2024250000000007</v>
      </c>
      <c r="G287" s="11">
        <v>50.717134083593194</v>
      </c>
    </row>
    <row r="288" spans="2:7" x14ac:dyDescent="0.35">
      <c r="B288" s="4">
        <v>44866</v>
      </c>
      <c r="C288" s="6" t="s">
        <v>7</v>
      </c>
      <c r="D2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" s="7">
        <v>155.81</v>
      </c>
      <c r="F288" s="9">
        <v>1.350875</v>
      </c>
      <c r="G288" s="11">
        <v>53.529490319828355</v>
      </c>
    </row>
    <row r="289" spans="2:7" x14ac:dyDescent="0.35">
      <c r="B289" s="4">
        <v>44867</v>
      </c>
      <c r="C289" s="6" t="s">
        <v>7</v>
      </c>
      <c r="D2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" s="7">
        <v>158.33000000000001</v>
      </c>
      <c r="F289" s="9">
        <v>4.1435750000000002</v>
      </c>
      <c r="G289" s="11">
        <v>49.900897722421703</v>
      </c>
    </row>
    <row r="290" spans="2:7" x14ac:dyDescent="0.35">
      <c r="B290" s="4">
        <v>44868</v>
      </c>
      <c r="C290" s="6" t="s">
        <v>7</v>
      </c>
      <c r="D2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" s="7">
        <v>155.19</v>
      </c>
      <c r="F290" s="8">
        <v>1.7574750000000001</v>
      </c>
      <c r="G290" s="8">
        <v>49.827285714285708</v>
      </c>
    </row>
    <row r="291" spans="2:7" x14ac:dyDescent="0.35">
      <c r="B291" s="4">
        <v>44869</v>
      </c>
      <c r="C291" s="6" t="s">
        <v>7</v>
      </c>
      <c r="D2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" s="7">
        <v>76.760000000000005</v>
      </c>
      <c r="F291" s="8">
        <v>2.7980500000000004</v>
      </c>
      <c r="G291" s="8">
        <v>50.874814019392247</v>
      </c>
    </row>
    <row r="292" spans="2:7" x14ac:dyDescent="0.35">
      <c r="B292" s="4">
        <v>44873</v>
      </c>
      <c r="C292" s="6" t="s">
        <v>7</v>
      </c>
      <c r="D2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" s="7">
        <v>94.87</v>
      </c>
      <c r="F292" s="8">
        <v>1.7253750000000001</v>
      </c>
      <c r="G292" s="8">
        <v>53.700465139568557</v>
      </c>
    </row>
    <row r="293" spans="2:7" x14ac:dyDescent="0.35">
      <c r="B293" s="4">
        <v>44874</v>
      </c>
      <c r="C293" s="6" t="s">
        <v>7</v>
      </c>
      <c r="D2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" s="7">
        <v>163.38</v>
      </c>
      <c r="F293" s="8">
        <v>3.2635000000000001</v>
      </c>
      <c r="G293" s="8">
        <v>51.332064046288906</v>
      </c>
    </row>
    <row r="294" spans="2:7" x14ac:dyDescent="0.35">
      <c r="B294" s="4">
        <v>44875</v>
      </c>
      <c r="C294" s="6" t="s">
        <v>7</v>
      </c>
      <c r="D2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" s="7">
        <v>197.03</v>
      </c>
      <c r="F294" s="8">
        <v>1.284</v>
      </c>
      <c r="G294" s="8">
        <v>52.190773469592223</v>
      </c>
    </row>
    <row r="295" spans="2:7" x14ac:dyDescent="0.35">
      <c r="B295" s="4">
        <v>44876</v>
      </c>
      <c r="C295" s="6" t="s">
        <v>7</v>
      </c>
      <c r="D2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" s="7">
        <v>48.4</v>
      </c>
      <c r="F295" s="8">
        <v>2.3138750000000003</v>
      </c>
      <c r="G295" s="8">
        <v>51.814188826245385</v>
      </c>
    </row>
    <row r="296" spans="2:7" x14ac:dyDescent="0.35">
      <c r="B296" s="4">
        <v>44877</v>
      </c>
      <c r="C296" s="6" t="s">
        <v>7</v>
      </c>
      <c r="D2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" s="7">
        <v>46.14</v>
      </c>
      <c r="F296" s="9">
        <v>4.4672499999999999</v>
      </c>
      <c r="G296" s="10">
        <v>49.562179627601317</v>
      </c>
    </row>
    <row r="297" spans="2:7" x14ac:dyDescent="0.35">
      <c r="B297" s="4">
        <v>44880</v>
      </c>
      <c r="C297" s="6" t="s">
        <v>7</v>
      </c>
      <c r="D2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7" s="7">
        <v>176.03</v>
      </c>
      <c r="F297" s="9">
        <v>3.0227500000000003</v>
      </c>
      <c r="G297" s="10">
        <v>50.210214541120386</v>
      </c>
    </row>
    <row r="298" spans="2:7" x14ac:dyDescent="0.35">
      <c r="B298" s="4">
        <v>44881</v>
      </c>
      <c r="C298" s="6" t="s">
        <v>7</v>
      </c>
      <c r="D2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8" s="7">
        <v>243.72</v>
      </c>
      <c r="F298" s="8">
        <v>3.9830750000000004</v>
      </c>
      <c r="G298" s="8">
        <v>50.255713621936515</v>
      </c>
    </row>
    <row r="299" spans="2:7" x14ac:dyDescent="0.35">
      <c r="B299" s="4">
        <v>44883</v>
      </c>
      <c r="C299" s="6" t="s">
        <v>7</v>
      </c>
      <c r="D2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9" s="7">
        <v>232.85</v>
      </c>
      <c r="F299" s="8">
        <v>1.7922500000000001</v>
      </c>
      <c r="G299" s="8">
        <v>52.677937968984494</v>
      </c>
    </row>
    <row r="300" spans="2:7" x14ac:dyDescent="0.35">
      <c r="B300" s="4">
        <v>44884</v>
      </c>
      <c r="C300" s="6" t="s">
        <v>7</v>
      </c>
      <c r="D3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0" s="7">
        <v>131.78</v>
      </c>
      <c r="F300" s="8">
        <v>4.3575749999999998</v>
      </c>
      <c r="G300" s="8">
        <v>51.000932427536227</v>
      </c>
    </row>
    <row r="301" spans="2:7" x14ac:dyDescent="0.35">
      <c r="B301" s="4">
        <v>44886</v>
      </c>
      <c r="C301" s="6" t="s">
        <v>7</v>
      </c>
      <c r="D3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1" s="7">
        <v>233.89</v>
      </c>
      <c r="F301" s="8">
        <v>3.7209250000000003</v>
      </c>
      <c r="G301" s="8">
        <v>52.122962730861481</v>
      </c>
    </row>
    <row r="302" spans="2:7" x14ac:dyDescent="0.35">
      <c r="B302" s="4">
        <v>44887</v>
      </c>
      <c r="C302" s="6" t="s">
        <v>7</v>
      </c>
      <c r="D3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2" s="7">
        <v>209.64</v>
      </c>
      <c r="F302" s="8">
        <v>2.3406250000000002</v>
      </c>
      <c r="G302" s="8">
        <v>52.90935752396166</v>
      </c>
    </row>
    <row r="303" spans="2:7" x14ac:dyDescent="0.35">
      <c r="B303" s="4">
        <v>44888</v>
      </c>
      <c r="C303" s="6" t="s">
        <v>7</v>
      </c>
      <c r="D3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3" s="7">
        <v>268.19</v>
      </c>
      <c r="F303" s="8">
        <v>14.586775000000001</v>
      </c>
      <c r="G303" s="8">
        <v>43.795994999999991</v>
      </c>
    </row>
    <row r="304" spans="2:7" x14ac:dyDescent="0.35">
      <c r="B304" s="4">
        <v>44889</v>
      </c>
      <c r="C304" s="6" t="s">
        <v>7</v>
      </c>
      <c r="D3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4" s="7">
        <v>197.06</v>
      </c>
      <c r="F304" s="8">
        <v>4.6625250000000005</v>
      </c>
      <c r="G304" s="8">
        <v>50.9257751396648</v>
      </c>
    </row>
    <row r="305" spans="2:7" x14ac:dyDescent="0.35">
      <c r="B305" s="4">
        <v>44891</v>
      </c>
      <c r="C305" s="6" t="s">
        <v>7</v>
      </c>
      <c r="D3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5" s="7">
        <v>95.86</v>
      </c>
      <c r="F305" s="8">
        <v>39.889600000000002</v>
      </c>
      <c r="G305" s="8">
        <v>29.180234117029784</v>
      </c>
    </row>
    <row r="306" spans="2:7" x14ac:dyDescent="0.35">
      <c r="B306" s="4">
        <v>44893</v>
      </c>
      <c r="C306" s="6" t="s">
        <v>7</v>
      </c>
      <c r="D3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6" s="7">
        <v>165.63</v>
      </c>
      <c r="F306" s="8">
        <v>11.77</v>
      </c>
      <c r="G306" s="8">
        <v>46.799233383308348</v>
      </c>
    </row>
    <row r="307" spans="2:7" x14ac:dyDescent="0.35">
      <c r="B307" s="4">
        <v>44894</v>
      </c>
      <c r="C307" s="6" t="s">
        <v>7</v>
      </c>
      <c r="D3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7" s="7">
        <v>209.01</v>
      </c>
      <c r="F307" s="8">
        <v>1.52475</v>
      </c>
      <c r="G307" s="8">
        <v>53.769009663341649</v>
      </c>
    </row>
    <row r="308" spans="2:7" x14ac:dyDescent="0.35">
      <c r="B308" s="4">
        <v>44895</v>
      </c>
      <c r="C308" s="6" t="s">
        <v>7</v>
      </c>
      <c r="D3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8" s="7">
        <v>207.38</v>
      </c>
      <c r="F308" s="8">
        <v>1.6023250000000002</v>
      </c>
      <c r="G308" s="8">
        <v>52.166085871193211</v>
      </c>
    </row>
    <row r="309" spans="2:7" x14ac:dyDescent="0.35">
      <c r="B309" s="4">
        <v>44898</v>
      </c>
      <c r="C309" s="6" t="s">
        <v>7</v>
      </c>
      <c r="D3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09" s="7">
        <v>120.65</v>
      </c>
      <c r="F309" s="8">
        <v>3.0388000000000002</v>
      </c>
      <c r="G309" s="8">
        <v>49.387373830041895</v>
      </c>
    </row>
    <row r="310" spans="2:7" x14ac:dyDescent="0.35">
      <c r="B310" s="4">
        <v>44901</v>
      </c>
      <c r="C310" s="6" t="s">
        <v>7</v>
      </c>
      <c r="D3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0" s="7">
        <v>66.63</v>
      </c>
      <c r="F310" s="8">
        <v>1.5943000000000001</v>
      </c>
      <c r="G310" s="8">
        <v>53.009572117590821</v>
      </c>
    </row>
    <row r="311" spans="2:7" x14ac:dyDescent="0.35">
      <c r="B311" s="4">
        <v>44902</v>
      </c>
      <c r="C311" s="6" t="s">
        <v>7</v>
      </c>
      <c r="D3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1" s="7">
        <v>45.16</v>
      </c>
      <c r="F311" s="8">
        <v>5.1574000000000009</v>
      </c>
      <c r="G311" s="8">
        <v>43.598735586887202</v>
      </c>
    </row>
    <row r="312" spans="2:7" x14ac:dyDescent="0.35">
      <c r="B312" s="4">
        <v>44905</v>
      </c>
      <c r="C312" s="6" t="s">
        <v>7</v>
      </c>
      <c r="D3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2" s="7">
        <v>89.31</v>
      </c>
      <c r="F312" s="9">
        <v>1.9795000000000003</v>
      </c>
      <c r="G312" s="11">
        <v>50.786778450243084</v>
      </c>
    </row>
    <row r="313" spans="2:7" x14ac:dyDescent="0.35">
      <c r="B313" s="4">
        <v>44907</v>
      </c>
      <c r="C313" s="6" t="s">
        <v>7</v>
      </c>
      <c r="D3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3" s="7">
        <v>117.06</v>
      </c>
      <c r="F313" s="9">
        <v>1.9902000000000002</v>
      </c>
      <c r="G313" s="11">
        <v>51.708583656812969</v>
      </c>
    </row>
    <row r="314" spans="2:7" x14ac:dyDescent="0.35">
      <c r="B314" s="4">
        <v>44908</v>
      </c>
      <c r="C314" s="6" t="s">
        <v>7</v>
      </c>
      <c r="D3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4" s="7">
        <v>283.25</v>
      </c>
      <c r="F314" s="9">
        <v>1.3883250000000003</v>
      </c>
      <c r="G314" s="11">
        <v>52.589764486191712</v>
      </c>
    </row>
    <row r="315" spans="2:7" x14ac:dyDescent="0.35">
      <c r="B315" s="4">
        <v>44909</v>
      </c>
      <c r="C315" s="6" t="s">
        <v>7</v>
      </c>
      <c r="D3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5" s="7">
        <v>120.21</v>
      </c>
      <c r="F315" s="9">
        <v>2.2791000000000001</v>
      </c>
      <c r="G315" s="11">
        <v>51.988969211091145</v>
      </c>
    </row>
    <row r="316" spans="2:7" x14ac:dyDescent="0.35">
      <c r="B316" s="4">
        <v>44910</v>
      </c>
      <c r="C316" s="6" t="s">
        <v>7</v>
      </c>
      <c r="D3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6" s="7">
        <v>252.66</v>
      </c>
      <c r="F316" s="9">
        <v>4.3441999999999998</v>
      </c>
      <c r="G316" s="11">
        <v>51.00740747999</v>
      </c>
    </row>
    <row r="317" spans="2:7" x14ac:dyDescent="0.35">
      <c r="B317" s="4">
        <v>44911</v>
      </c>
      <c r="C317" s="6" t="s">
        <v>7</v>
      </c>
      <c r="D3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7" s="7">
        <v>211.16</v>
      </c>
      <c r="F317" s="9">
        <v>1.350875</v>
      </c>
      <c r="G317" s="11">
        <v>53.221999999999994</v>
      </c>
    </row>
    <row r="318" spans="2:7" x14ac:dyDescent="0.35">
      <c r="B318" s="4">
        <v>44912</v>
      </c>
      <c r="C318" s="6" t="s">
        <v>7</v>
      </c>
      <c r="D3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8" s="7">
        <v>24.12</v>
      </c>
      <c r="F318" s="9">
        <v>0.85600000000000009</v>
      </c>
      <c r="G318" s="11">
        <v>53.546755148883378</v>
      </c>
    </row>
    <row r="319" spans="2:7" x14ac:dyDescent="0.35">
      <c r="B319" s="4">
        <v>44914</v>
      </c>
      <c r="C319" s="6" t="s">
        <v>7</v>
      </c>
      <c r="D3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19" s="7">
        <v>94.42</v>
      </c>
      <c r="F319" s="9">
        <v>2.2256</v>
      </c>
      <c r="G319" s="11">
        <v>52.284374999999997</v>
      </c>
    </row>
    <row r="320" spans="2:7" x14ac:dyDescent="0.35">
      <c r="B320" s="4">
        <v>44917</v>
      </c>
      <c r="C320" s="6" t="s">
        <v>7</v>
      </c>
      <c r="D3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0" s="7">
        <v>65.239999999999995</v>
      </c>
      <c r="F320" s="9">
        <v>3.0361250000000002</v>
      </c>
      <c r="G320" s="11">
        <v>52.470314206241859</v>
      </c>
    </row>
    <row r="321" spans="2:7" x14ac:dyDescent="0.35">
      <c r="B321" s="4">
        <v>44918</v>
      </c>
      <c r="C321" s="6" t="s">
        <v>7</v>
      </c>
      <c r="D3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1" s="7">
        <v>160.93</v>
      </c>
      <c r="F321" s="9">
        <v>5.7459000000000007</v>
      </c>
      <c r="G321" s="10">
        <v>47.400922342740742</v>
      </c>
    </row>
    <row r="322" spans="2:7" x14ac:dyDescent="0.35">
      <c r="B322" s="4">
        <v>44921</v>
      </c>
      <c r="C322" s="6" t="s">
        <v>7</v>
      </c>
      <c r="D3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2" s="7">
        <v>118.26</v>
      </c>
      <c r="F322" s="9">
        <v>1.5675500000000002</v>
      </c>
      <c r="G322" s="10">
        <v>52.880641336935852</v>
      </c>
    </row>
    <row r="323" spans="2:7" x14ac:dyDescent="0.35">
      <c r="B323" s="4">
        <v>44922</v>
      </c>
      <c r="C323" s="6" t="s">
        <v>7</v>
      </c>
      <c r="D3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3" s="7">
        <v>73.27</v>
      </c>
      <c r="F323" s="9">
        <v>0.97370000000000012</v>
      </c>
      <c r="G323" s="10">
        <v>53.883242187500002</v>
      </c>
    </row>
    <row r="324" spans="2:7" x14ac:dyDescent="0.35">
      <c r="B324" s="4">
        <v>44923</v>
      </c>
      <c r="C324" s="6" t="s">
        <v>7</v>
      </c>
      <c r="D3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4" s="7">
        <v>95.03</v>
      </c>
      <c r="F324" s="9">
        <v>5.9304750000000004</v>
      </c>
      <c r="G324" s="10">
        <v>51.389939212755351</v>
      </c>
    </row>
    <row r="325" spans="2:7" x14ac:dyDescent="0.35">
      <c r="B325" s="4">
        <v>44925</v>
      </c>
      <c r="C325" s="6" t="s">
        <v>7</v>
      </c>
      <c r="D3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5" s="7">
        <v>44.4</v>
      </c>
      <c r="F325" s="9">
        <v>0.61792500000000006</v>
      </c>
      <c r="G325" s="10">
        <v>53.958526450839329</v>
      </c>
    </row>
    <row r="326" spans="2:7" x14ac:dyDescent="0.35">
      <c r="B326" s="4">
        <v>44930</v>
      </c>
      <c r="C326" s="6" t="s">
        <v>7</v>
      </c>
      <c r="D3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6" s="7">
        <v>71.349999999999994</v>
      </c>
      <c r="F326" s="9">
        <v>2.0089250000000001</v>
      </c>
      <c r="G326" s="11">
        <v>53.148928749875076</v>
      </c>
    </row>
    <row r="327" spans="2:7" x14ac:dyDescent="0.35">
      <c r="B327" s="4">
        <v>44931</v>
      </c>
      <c r="C327" s="6" t="s">
        <v>7</v>
      </c>
      <c r="D3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7" s="7">
        <v>95.64</v>
      </c>
      <c r="F327" s="9">
        <v>0.87472500000000009</v>
      </c>
      <c r="G327" s="11">
        <v>53.201231876627276</v>
      </c>
    </row>
    <row r="328" spans="2:7" x14ac:dyDescent="0.35">
      <c r="B328" s="4">
        <v>44932</v>
      </c>
      <c r="C328" s="6" t="s">
        <v>7</v>
      </c>
      <c r="D3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8" s="7">
        <v>73.13</v>
      </c>
      <c r="F328" s="11">
        <v>1.3374999999999999</v>
      </c>
      <c r="G328" s="11">
        <v>53.58056300029795</v>
      </c>
    </row>
    <row r="329" spans="2:7" x14ac:dyDescent="0.35">
      <c r="B329" s="4">
        <v>44964</v>
      </c>
      <c r="C329" s="6" t="s">
        <v>7</v>
      </c>
      <c r="D3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29" s="7">
        <v>47.83</v>
      </c>
      <c r="F329" s="11">
        <v>1.596975</v>
      </c>
      <c r="G329" s="11">
        <v>53.625322063155267</v>
      </c>
    </row>
    <row r="330" spans="2:7" x14ac:dyDescent="0.35">
      <c r="B330" s="4">
        <v>44965</v>
      </c>
      <c r="C330" s="6" t="s">
        <v>7</v>
      </c>
      <c r="D3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30" s="7">
        <v>87.05</v>
      </c>
      <c r="F330" s="11">
        <v>2.0009000000000001</v>
      </c>
      <c r="G330" s="11">
        <v>53.334962219129054</v>
      </c>
    </row>
    <row r="331" spans="2:7" x14ac:dyDescent="0.35">
      <c r="B331" s="4">
        <v>44966</v>
      </c>
      <c r="C331" s="6" t="s">
        <v>7</v>
      </c>
      <c r="D3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31" s="7">
        <v>154.51</v>
      </c>
      <c r="F331" s="9">
        <v>1.2519</v>
      </c>
      <c r="G331" s="10">
        <v>53.152429004544089</v>
      </c>
    </row>
    <row r="332" spans="2:7" x14ac:dyDescent="0.35">
      <c r="B332" s="4">
        <v>44967</v>
      </c>
      <c r="C332" s="6" t="s">
        <v>7</v>
      </c>
      <c r="D3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32" s="7">
        <v>161.04</v>
      </c>
      <c r="F332" s="9">
        <v>5.6388999999999996</v>
      </c>
      <c r="G332" s="10">
        <v>49.795821414575627</v>
      </c>
    </row>
    <row r="333" spans="2:7" x14ac:dyDescent="0.35">
      <c r="B333" s="4">
        <v>44968</v>
      </c>
      <c r="C333" s="1" t="s">
        <v>7</v>
      </c>
      <c r="D333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333" s="7">
        <v>95.91</v>
      </c>
      <c r="F333" s="9">
        <v>0.97637499999999999</v>
      </c>
      <c r="G333" s="11">
        <v>52.324099216710174</v>
      </c>
    </row>
    <row r="334" spans="2:7" x14ac:dyDescent="0.35">
      <c r="B334" s="4">
        <v>44970</v>
      </c>
      <c r="C334" s="1" t="s">
        <v>7</v>
      </c>
      <c r="D334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334" s="7">
        <v>22.84</v>
      </c>
      <c r="F334" s="9">
        <v>2.7552500000000002</v>
      </c>
      <c r="G334" s="11">
        <v>52.386461062325772</v>
      </c>
    </row>
    <row r="335" spans="2:7" x14ac:dyDescent="0.35">
      <c r="B335" s="4">
        <v>44971</v>
      </c>
      <c r="C335" s="6" t="s">
        <v>7</v>
      </c>
      <c r="D3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35" s="7">
        <v>117.76</v>
      </c>
      <c r="F335" s="9">
        <v>3.2126749999999999</v>
      </c>
      <c r="G335" s="11">
        <v>51.551478847190339</v>
      </c>
    </row>
    <row r="336" spans="2:7" x14ac:dyDescent="0.35">
      <c r="B336" s="4">
        <v>44972</v>
      </c>
      <c r="C336" s="6" t="s">
        <v>7</v>
      </c>
      <c r="D3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36" s="7">
        <v>118.47</v>
      </c>
      <c r="F336" s="9">
        <v>1.249225</v>
      </c>
      <c r="G336" s="11">
        <v>53.037446768219837</v>
      </c>
    </row>
    <row r="337" spans="2:7" x14ac:dyDescent="0.35">
      <c r="B337" s="4">
        <v>44973</v>
      </c>
      <c r="C337" s="6" t="s">
        <v>7</v>
      </c>
      <c r="D3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37" s="7">
        <v>119.16</v>
      </c>
      <c r="F337" s="9">
        <v>2.5412500000000002</v>
      </c>
      <c r="G337" s="11">
        <v>51.903052389522095</v>
      </c>
    </row>
    <row r="338" spans="2:7" x14ac:dyDescent="0.35">
      <c r="B338" s="4">
        <v>44974</v>
      </c>
      <c r="C338" s="6" t="s">
        <v>7</v>
      </c>
      <c r="D3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38" s="7">
        <v>96.21</v>
      </c>
      <c r="F338" s="9">
        <v>1.7842250000000002</v>
      </c>
      <c r="G338" s="11">
        <v>53.036566331107345</v>
      </c>
    </row>
    <row r="339" spans="2:7" x14ac:dyDescent="0.35">
      <c r="B339" s="4">
        <v>44975</v>
      </c>
      <c r="C339" s="6" t="s">
        <v>7</v>
      </c>
      <c r="D3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39" s="7">
        <v>90.84</v>
      </c>
      <c r="F339" s="9">
        <v>1.8404</v>
      </c>
      <c r="G339" s="11">
        <v>53.126037075957591</v>
      </c>
    </row>
    <row r="340" spans="2:7" x14ac:dyDescent="0.35">
      <c r="B340" s="4">
        <v>44977</v>
      </c>
      <c r="C340" s="6" t="s">
        <v>7</v>
      </c>
      <c r="D3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0" s="7">
        <v>136.4</v>
      </c>
      <c r="F340" s="9">
        <v>3.2206999999999999</v>
      </c>
      <c r="G340" s="11">
        <v>46.3463604346951</v>
      </c>
    </row>
    <row r="341" spans="2:7" x14ac:dyDescent="0.35">
      <c r="B341" s="4">
        <v>44978</v>
      </c>
      <c r="C341" s="6" t="s">
        <v>7</v>
      </c>
      <c r="D3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1" s="7">
        <v>137.63999999999999</v>
      </c>
      <c r="F341" s="9">
        <v>1.21445</v>
      </c>
      <c r="G341" s="11">
        <v>53.686726902798597</v>
      </c>
    </row>
    <row r="342" spans="2:7" x14ac:dyDescent="0.35">
      <c r="B342" s="4">
        <v>44979</v>
      </c>
      <c r="C342" s="6" t="s">
        <v>7</v>
      </c>
      <c r="D3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2" s="7">
        <v>95.7</v>
      </c>
      <c r="F342" s="9">
        <v>0.93625000000000003</v>
      </c>
      <c r="G342" s="11">
        <v>52.886934053434359</v>
      </c>
    </row>
    <row r="343" spans="2:7" x14ac:dyDescent="0.35">
      <c r="B343" s="4">
        <v>44980</v>
      </c>
      <c r="C343" s="6" t="s">
        <v>7</v>
      </c>
      <c r="D3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3" s="7">
        <v>97.66</v>
      </c>
      <c r="F343" s="9">
        <v>1.0272000000000001</v>
      </c>
      <c r="G343" s="11">
        <v>53.60211084433773</v>
      </c>
    </row>
    <row r="344" spans="2:7" x14ac:dyDescent="0.35">
      <c r="B344" s="4">
        <v>44981</v>
      </c>
      <c r="C344" s="6" t="s">
        <v>7</v>
      </c>
      <c r="D3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4" s="7">
        <v>76.2</v>
      </c>
      <c r="F344" s="9">
        <v>1.49265</v>
      </c>
      <c r="G344" s="11">
        <v>48.318292316926772</v>
      </c>
    </row>
    <row r="345" spans="2:7" x14ac:dyDescent="0.35">
      <c r="B345" s="4">
        <v>44984</v>
      </c>
      <c r="C345" s="6" t="s">
        <v>7</v>
      </c>
      <c r="D3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5" s="7">
        <v>170.61</v>
      </c>
      <c r="F345" s="9">
        <v>0.87739999999999996</v>
      </c>
      <c r="G345" s="11">
        <v>53.97329554780876</v>
      </c>
    </row>
    <row r="346" spans="2:7" x14ac:dyDescent="0.35">
      <c r="B346" s="4">
        <v>44985</v>
      </c>
      <c r="C346" s="6" t="s">
        <v>7</v>
      </c>
      <c r="D3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6" s="7">
        <v>95.98</v>
      </c>
      <c r="F346" s="9">
        <v>2.1774500000000003</v>
      </c>
      <c r="G346" s="11">
        <v>52.403375124288708</v>
      </c>
    </row>
    <row r="347" spans="2:7" x14ac:dyDescent="0.35">
      <c r="B347" s="4">
        <v>44986</v>
      </c>
      <c r="C347" s="6" t="s">
        <v>7</v>
      </c>
      <c r="D3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7" s="7">
        <v>319.33999999999997</v>
      </c>
      <c r="F347" s="9">
        <v>4.3656000000000006</v>
      </c>
      <c r="G347" s="11">
        <v>51.378855611199917</v>
      </c>
    </row>
    <row r="348" spans="2:7" x14ac:dyDescent="0.35">
      <c r="B348" s="4">
        <v>44987</v>
      </c>
      <c r="C348" s="6" t="s">
        <v>7</v>
      </c>
      <c r="D3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8" s="7">
        <v>186.97</v>
      </c>
      <c r="F348" s="9">
        <v>1.1609499999999999</v>
      </c>
      <c r="G348" s="11">
        <v>53.613539370867556</v>
      </c>
    </row>
    <row r="349" spans="2:7" x14ac:dyDescent="0.35">
      <c r="B349" s="4">
        <v>44988</v>
      </c>
      <c r="C349" s="6" t="s">
        <v>7</v>
      </c>
      <c r="D3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49" s="7">
        <v>188.59</v>
      </c>
      <c r="F349" s="9">
        <v>2.2470000000000003</v>
      </c>
      <c r="G349" s="11">
        <v>52.940152080541949</v>
      </c>
    </row>
    <row r="350" spans="2:7" x14ac:dyDescent="0.35">
      <c r="B350" s="4">
        <v>44989</v>
      </c>
      <c r="C350" s="6" t="s">
        <v>7</v>
      </c>
      <c r="D3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0" s="7">
        <v>143.66</v>
      </c>
      <c r="F350" s="9">
        <v>3.6915000000000004</v>
      </c>
      <c r="G350" s="11">
        <v>52.064254999999996</v>
      </c>
    </row>
    <row r="351" spans="2:7" x14ac:dyDescent="0.35">
      <c r="B351" s="4">
        <v>44991</v>
      </c>
      <c r="C351" s="6" t="s">
        <v>7</v>
      </c>
      <c r="D3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1" s="7">
        <v>188</v>
      </c>
      <c r="F351" s="9">
        <v>2.0544000000000002</v>
      </c>
      <c r="G351" s="11">
        <v>53.246129238564713</v>
      </c>
    </row>
    <row r="352" spans="2:7" x14ac:dyDescent="0.35">
      <c r="B352" s="4">
        <v>44992</v>
      </c>
      <c r="C352" s="6" t="s">
        <v>7</v>
      </c>
      <c r="D3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2" s="7">
        <v>145.66999999999999</v>
      </c>
      <c r="F352" s="9">
        <v>7.4739500000000012</v>
      </c>
      <c r="G352" s="11">
        <v>48.703452543973611</v>
      </c>
    </row>
    <row r="353" spans="2:7" x14ac:dyDescent="0.35">
      <c r="B353" s="4">
        <v>44993</v>
      </c>
      <c r="C353" s="6" t="s">
        <v>7</v>
      </c>
      <c r="D3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3" s="7">
        <v>122</v>
      </c>
      <c r="F353" s="9">
        <v>0.91752500000000015</v>
      </c>
      <c r="G353" s="11">
        <v>52.291685786342725</v>
      </c>
    </row>
    <row r="354" spans="2:7" x14ac:dyDescent="0.35">
      <c r="B354" s="4">
        <v>44994</v>
      </c>
      <c r="C354" s="6" t="s">
        <v>7</v>
      </c>
      <c r="D3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4" s="7">
        <v>123.84</v>
      </c>
      <c r="F354" s="9">
        <v>2.7338500000000003</v>
      </c>
      <c r="G354" s="11">
        <v>53.213898141486808</v>
      </c>
    </row>
    <row r="355" spans="2:7" x14ac:dyDescent="0.35">
      <c r="B355" s="4">
        <v>44995</v>
      </c>
      <c r="C355" s="6" t="s">
        <v>7</v>
      </c>
      <c r="D3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5" s="7">
        <v>115.99</v>
      </c>
      <c r="F355" s="9">
        <v>2.303175</v>
      </c>
      <c r="G355" s="11">
        <v>50.901193814737049</v>
      </c>
    </row>
    <row r="356" spans="2:7" x14ac:dyDescent="0.35">
      <c r="B356" s="4">
        <v>44996</v>
      </c>
      <c r="C356" s="6" t="s">
        <v>7</v>
      </c>
      <c r="D3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6" s="7">
        <v>70.41</v>
      </c>
      <c r="F356" s="9">
        <v>2.6856999999999998</v>
      </c>
      <c r="G356" s="11">
        <v>51.118164440799283</v>
      </c>
    </row>
    <row r="357" spans="2:7" x14ac:dyDescent="0.35">
      <c r="B357" s="4">
        <v>44998</v>
      </c>
      <c r="C357" s="6" t="s">
        <v>7</v>
      </c>
      <c r="D3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7" s="7">
        <v>220</v>
      </c>
      <c r="F357" s="9">
        <v>0.65002500000000007</v>
      </c>
      <c r="G357" s="11">
        <v>54.586132292604823</v>
      </c>
    </row>
    <row r="358" spans="2:7" x14ac:dyDescent="0.35">
      <c r="B358" s="4">
        <v>44999</v>
      </c>
      <c r="C358" s="6" t="s">
        <v>7</v>
      </c>
      <c r="D3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8" s="7">
        <v>191</v>
      </c>
      <c r="F358" s="9">
        <v>2.1293000000000002</v>
      </c>
      <c r="G358" s="11">
        <v>52.609004283007579</v>
      </c>
    </row>
    <row r="359" spans="2:7" x14ac:dyDescent="0.35">
      <c r="B359" s="4">
        <v>45000</v>
      </c>
      <c r="C359" s="6" t="s">
        <v>7</v>
      </c>
      <c r="D3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59" s="7">
        <v>216</v>
      </c>
      <c r="F359" s="9">
        <v>1.07</v>
      </c>
      <c r="G359" s="11">
        <v>54.256923855721389</v>
      </c>
    </row>
    <row r="360" spans="2:7" x14ac:dyDescent="0.35">
      <c r="B360" s="4">
        <v>45001</v>
      </c>
      <c r="C360" s="6" t="s">
        <v>7</v>
      </c>
      <c r="D3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0" s="7">
        <v>191.24</v>
      </c>
      <c r="F360" s="9">
        <v>13.998275</v>
      </c>
      <c r="G360" s="11">
        <v>44.636315315873645</v>
      </c>
    </row>
    <row r="361" spans="2:7" x14ac:dyDescent="0.35">
      <c r="B361" s="4">
        <v>45002</v>
      </c>
      <c r="C361" s="6" t="s">
        <v>7</v>
      </c>
      <c r="D3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1" s="7">
        <v>192.88</v>
      </c>
      <c r="F361" s="9">
        <v>1.3161</v>
      </c>
      <c r="G361" s="11">
        <v>52.29524640093728</v>
      </c>
    </row>
    <row r="362" spans="2:7" x14ac:dyDescent="0.35">
      <c r="B362" s="4">
        <v>45006</v>
      </c>
      <c r="C362" s="6" t="s">
        <v>7</v>
      </c>
      <c r="D3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2" s="7">
        <v>194.18</v>
      </c>
      <c r="F362" s="9">
        <v>5.2349750000000004</v>
      </c>
      <c r="G362" s="11">
        <v>50.414404573959786</v>
      </c>
    </row>
    <row r="363" spans="2:7" x14ac:dyDescent="0.35">
      <c r="B363" s="4">
        <v>45008</v>
      </c>
      <c r="C363" s="6" t="s">
        <v>7</v>
      </c>
      <c r="D3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3" s="7">
        <v>73.14</v>
      </c>
      <c r="F363" s="9">
        <v>0.98707500000000004</v>
      </c>
      <c r="G363" s="11">
        <v>52.770487804878044</v>
      </c>
    </row>
    <row r="364" spans="2:7" x14ac:dyDescent="0.35">
      <c r="B364" s="4">
        <v>45009</v>
      </c>
      <c r="C364" s="6" t="s">
        <v>7</v>
      </c>
      <c r="D3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4" s="7">
        <v>149.54</v>
      </c>
      <c r="F364" s="9">
        <v>2.859575</v>
      </c>
      <c r="G364" s="11">
        <v>50.522688323179871</v>
      </c>
    </row>
    <row r="365" spans="2:7" x14ac:dyDescent="0.35">
      <c r="B365" s="4">
        <v>45010</v>
      </c>
      <c r="C365" s="6" t="s">
        <v>7</v>
      </c>
      <c r="D3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5" s="7">
        <v>24.53</v>
      </c>
      <c r="F365" s="9">
        <v>3.7396500000000001</v>
      </c>
      <c r="G365" s="11">
        <v>52.47711602835642</v>
      </c>
    </row>
    <row r="366" spans="2:7" x14ac:dyDescent="0.35">
      <c r="B366" s="4">
        <v>44805</v>
      </c>
      <c r="C366" s="6" t="s">
        <v>3</v>
      </c>
      <c r="D3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6" s="7">
        <v>72.319999999999993</v>
      </c>
      <c r="F366" s="9">
        <v>2.4690250000000002</v>
      </c>
      <c r="G366" s="11">
        <v>52.865500223880602</v>
      </c>
    </row>
    <row r="367" spans="2:7" x14ac:dyDescent="0.35">
      <c r="B367" s="4">
        <v>44806</v>
      </c>
      <c r="C367" s="6" t="s">
        <v>3</v>
      </c>
      <c r="D3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7" s="7">
        <v>70.459999999999994</v>
      </c>
      <c r="F367" s="9">
        <v>3.5363500000000005</v>
      </c>
      <c r="G367" s="11">
        <v>50.381017293289396</v>
      </c>
    </row>
    <row r="368" spans="2:7" x14ac:dyDescent="0.35">
      <c r="B368" s="4">
        <v>44809</v>
      </c>
      <c r="C368" s="6" t="s">
        <v>3</v>
      </c>
      <c r="D3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8" s="7">
        <v>71.28</v>
      </c>
      <c r="F368" s="9">
        <v>6.7329750000000006</v>
      </c>
      <c r="G368" s="11">
        <v>46.891721089743591</v>
      </c>
    </row>
    <row r="369" spans="2:7" x14ac:dyDescent="0.35">
      <c r="B369" s="4">
        <v>44810</v>
      </c>
      <c r="C369" s="6" t="s">
        <v>3</v>
      </c>
      <c r="D3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69" s="7">
        <v>92.12</v>
      </c>
      <c r="F369" s="9">
        <v>2.2363</v>
      </c>
      <c r="G369" s="11">
        <v>53.215452027363185</v>
      </c>
    </row>
    <row r="370" spans="2:7" x14ac:dyDescent="0.35">
      <c r="B370" s="4">
        <v>44811</v>
      </c>
      <c r="C370" s="6" t="s">
        <v>3</v>
      </c>
      <c r="D3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0" s="7">
        <v>68.66</v>
      </c>
      <c r="F370" s="9">
        <v>2.3433000000000002</v>
      </c>
      <c r="G370" s="11">
        <v>53.12681602923508</v>
      </c>
    </row>
    <row r="371" spans="2:7" x14ac:dyDescent="0.35">
      <c r="B371" s="4">
        <v>44812</v>
      </c>
      <c r="C371" s="6" t="s">
        <v>3</v>
      </c>
      <c r="D3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1" s="7">
        <v>71.77</v>
      </c>
      <c r="F371" s="9">
        <v>2.4422750000000004</v>
      </c>
      <c r="G371" s="11">
        <v>53.575990207833733</v>
      </c>
    </row>
    <row r="372" spans="2:7" x14ac:dyDescent="0.35">
      <c r="B372" s="4">
        <v>44813</v>
      </c>
      <c r="C372" s="6" t="s">
        <v>3</v>
      </c>
      <c r="D3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2" s="7">
        <v>95.72</v>
      </c>
      <c r="F372" s="9">
        <v>2.5412500000000002</v>
      </c>
      <c r="G372" s="11">
        <v>53.145852909108925</v>
      </c>
    </row>
    <row r="373" spans="2:7" x14ac:dyDescent="0.35">
      <c r="B373" s="4">
        <v>44814</v>
      </c>
      <c r="C373" s="6" t="s">
        <v>3</v>
      </c>
      <c r="D3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3" s="7">
        <v>46.69</v>
      </c>
      <c r="F373" s="9">
        <v>3.3063000000000002</v>
      </c>
      <c r="G373" s="11">
        <v>52.294924793306102</v>
      </c>
    </row>
    <row r="374" spans="2:7" x14ac:dyDescent="0.35">
      <c r="B374" s="4">
        <v>44816</v>
      </c>
      <c r="C374" s="6" t="s">
        <v>3</v>
      </c>
      <c r="D3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4" s="7">
        <v>92.61</v>
      </c>
      <c r="F374" s="9">
        <v>3.0388000000000002</v>
      </c>
      <c r="G374" s="11">
        <v>52.618474224267274</v>
      </c>
    </row>
    <row r="375" spans="2:7" x14ac:dyDescent="0.35">
      <c r="B375" s="4">
        <v>44817</v>
      </c>
      <c r="C375" s="6" t="s">
        <v>3</v>
      </c>
      <c r="D3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5" s="7">
        <v>110.68</v>
      </c>
      <c r="F375" s="9">
        <v>2.1</v>
      </c>
      <c r="G375" s="11">
        <v>52.1</v>
      </c>
    </row>
    <row r="376" spans="2:7" x14ac:dyDescent="0.35">
      <c r="B376" s="4">
        <v>44818</v>
      </c>
      <c r="C376" s="6" t="s">
        <v>3</v>
      </c>
      <c r="D3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6" s="7">
        <v>111.78</v>
      </c>
      <c r="F376" s="9">
        <v>1.4</v>
      </c>
      <c r="G376" s="11">
        <v>52.3</v>
      </c>
    </row>
    <row r="377" spans="2:7" x14ac:dyDescent="0.35">
      <c r="B377" s="4">
        <v>44819</v>
      </c>
      <c r="C377" s="6" t="s">
        <v>3</v>
      </c>
      <c r="D3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7" s="7">
        <v>88.31</v>
      </c>
      <c r="F377" s="9">
        <v>1.4</v>
      </c>
      <c r="G377" s="11">
        <v>52.6</v>
      </c>
    </row>
    <row r="378" spans="2:7" x14ac:dyDescent="0.35">
      <c r="B378" s="4">
        <v>44823</v>
      </c>
      <c r="C378" s="6" t="s">
        <v>3</v>
      </c>
      <c r="D3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8" s="7">
        <v>45.83</v>
      </c>
      <c r="F378" s="9">
        <v>3.1</v>
      </c>
      <c r="G378" s="11">
        <v>52</v>
      </c>
    </row>
    <row r="379" spans="2:7" x14ac:dyDescent="0.35">
      <c r="B379" s="4">
        <v>44825</v>
      </c>
      <c r="C379" s="6" t="s">
        <v>3</v>
      </c>
      <c r="D3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79" s="7">
        <v>87.13</v>
      </c>
      <c r="F379" s="9">
        <v>2</v>
      </c>
      <c r="G379" s="11">
        <v>52.8</v>
      </c>
    </row>
    <row r="380" spans="2:7" x14ac:dyDescent="0.35">
      <c r="B380" s="4">
        <v>44826</v>
      </c>
      <c r="C380" s="6" t="s">
        <v>3</v>
      </c>
      <c r="D3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0" s="7">
        <v>68.69</v>
      </c>
      <c r="F380" s="9">
        <v>3.6</v>
      </c>
      <c r="G380" s="11">
        <v>51.6</v>
      </c>
    </row>
    <row r="381" spans="2:7" x14ac:dyDescent="0.35">
      <c r="B381" s="4">
        <v>44828</v>
      </c>
      <c r="C381" s="6" t="s">
        <v>3</v>
      </c>
      <c r="D3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1" s="7">
        <v>43.57</v>
      </c>
      <c r="F381" s="9">
        <v>7</v>
      </c>
      <c r="G381" s="11">
        <v>48.8</v>
      </c>
    </row>
    <row r="382" spans="2:7" x14ac:dyDescent="0.35">
      <c r="B382" s="4">
        <v>44830</v>
      </c>
      <c r="C382" s="6" t="s">
        <v>3</v>
      </c>
      <c r="D3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2" s="7">
        <v>86.3</v>
      </c>
      <c r="F382" s="9">
        <v>3.3277000000000001</v>
      </c>
      <c r="G382" s="11">
        <v>51.475276415433832</v>
      </c>
    </row>
    <row r="383" spans="2:7" x14ac:dyDescent="0.35">
      <c r="B383" s="4">
        <v>44831</v>
      </c>
      <c r="C383" s="6" t="s">
        <v>3</v>
      </c>
      <c r="D3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3" s="7">
        <v>87.96</v>
      </c>
      <c r="F383" s="9">
        <v>4.0312250000000001</v>
      </c>
      <c r="G383" s="11">
        <v>51.299146901837432</v>
      </c>
    </row>
    <row r="384" spans="2:7" x14ac:dyDescent="0.35">
      <c r="B384" s="4">
        <v>44832</v>
      </c>
      <c r="C384" s="6" t="s">
        <v>3</v>
      </c>
      <c r="D3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4" s="7">
        <v>44.83</v>
      </c>
      <c r="F384" s="9">
        <v>4.3656000000000006</v>
      </c>
      <c r="G384" s="11">
        <v>49.404479803247654</v>
      </c>
    </row>
    <row r="385" spans="2:7" x14ac:dyDescent="0.35">
      <c r="B385" s="4">
        <v>44833</v>
      </c>
      <c r="C385" s="6" t="s">
        <v>3</v>
      </c>
      <c r="D3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5" s="7">
        <v>67.83</v>
      </c>
      <c r="F385" s="9">
        <v>2.8435250000000005</v>
      </c>
      <c r="G385" s="11">
        <v>50.782072092703643</v>
      </c>
    </row>
    <row r="386" spans="2:7" x14ac:dyDescent="0.35">
      <c r="B386" s="4">
        <v>44834</v>
      </c>
      <c r="C386" s="6" t="s">
        <v>3</v>
      </c>
      <c r="D3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6" s="7">
        <v>68.16</v>
      </c>
      <c r="F386" s="9">
        <v>3.3170000000000002</v>
      </c>
      <c r="G386" s="11">
        <v>51.237758416038112</v>
      </c>
    </row>
    <row r="387" spans="2:7" x14ac:dyDescent="0.35">
      <c r="B387" s="4">
        <v>44841</v>
      </c>
      <c r="C387" s="6" t="s">
        <v>3</v>
      </c>
      <c r="D3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7" s="7">
        <v>84.83</v>
      </c>
      <c r="F387" s="9">
        <v>3.1163750000000001</v>
      </c>
      <c r="G387" s="11">
        <v>52.412338579903874</v>
      </c>
    </row>
    <row r="388" spans="2:7" x14ac:dyDescent="0.35">
      <c r="B388" s="4">
        <v>44842</v>
      </c>
      <c r="C388" s="6" t="s">
        <v>3</v>
      </c>
      <c r="D3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8" s="7">
        <v>45.99</v>
      </c>
      <c r="F388" s="9">
        <v>2.2817750000000001</v>
      </c>
      <c r="G388" s="11">
        <v>53.337459696840945</v>
      </c>
    </row>
    <row r="389" spans="2:7" x14ac:dyDescent="0.35">
      <c r="B389" s="4">
        <v>44844</v>
      </c>
      <c r="C389" s="6" t="s">
        <v>3</v>
      </c>
      <c r="D3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89" s="7">
        <v>63.89</v>
      </c>
      <c r="F389" s="9">
        <v>4.3869999999999996</v>
      </c>
      <c r="G389" s="11">
        <v>50.494662041832669</v>
      </c>
    </row>
    <row r="390" spans="2:7" x14ac:dyDescent="0.35">
      <c r="B390" s="4">
        <v>44845</v>
      </c>
      <c r="C390" s="6" t="s">
        <v>3</v>
      </c>
      <c r="D3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0" s="7">
        <v>66.12</v>
      </c>
      <c r="F390" s="9">
        <v>2.996</v>
      </c>
      <c r="G390" s="11">
        <v>47.414100208062415</v>
      </c>
    </row>
    <row r="391" spans="2:7" x14ac:dyDescent="0.35">
      <c r="B391" s="4">
        <v>44846</v>
      </c>
      <c r="C391" s="6" t="s">
        <v>3</v>
      </c>
      <c r="D3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1" s="7">
        <v>43.22</v>
      </c>
      <c r="F391" s="9">
        <v>3.2902500000000003</v>
      </c>
      <c r="G391" s="11">
        <v>52.29899134346261</v>
      </c>
    </row>
    <row r="392" spans="2:7" x14ac:dyDescent="0.35">
      <c r="B392" s="4">
        <v>44847</v>
      </c>
      <c r="C392" s="6" t="s">
        <v>3</v>
      </c>
      <c r="D3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2" s="7">
        <v>23.38</v>
      </c>
      <c r="F392" s="9">
        <v>5.4997999999999996</v>
      </c>
      <c r="G392" s="11">
        <v>50.395889118705043</v>
      </c>
    </row>
    <row r="393" spans="2:7" x14ac:dyDescent="0.35">
      <c r="B393" s="4">
        <v>44853</v>
      </c>
      <c r="C393" s="6" t="s">
        <v>3</v>
      </c>
      <c r="D3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3" s="7">
        <v>63.37</v>
      </c>
      <c r="F393" s="9">
        <v>1.9741500000000001</v>
      </c>
      <c r="G393" s="11">
        <v>52.612301244725735</v>
      </c>
    </row>
    <row r="394" spans="2:7" x14ac:dyDescent="0.35">
      <c r="B394" s="4">
        <v>44854</v>
      </c>
      <c r="C394" s="6" t="s">
        <v>3</v>
      </c>
      <c r="D3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4" s="7">
        <v>44.84</v>
      </c>
      <c r="F394" s="9">
        <v>5.6388999999999996</v>
      </c>
      <c r="G394" s="11">
        <v>49.122047405551655</v>
      </c>
    </row>
    <row r="395" spans="2:7" x14ac:dyDescent="0.35">
      <c r="B395" s="4">
        <v>44855</v>
      </c>
      <c r="C395" s="6" t="s">
        <v>3</v>
      </c>
      <c r="D3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5" s="7">
        <v>22.31</v>
      </c>
      <c r="F395" s="9">
        <v>1.5675500000000002</v>
      </c>
      <c r="G395" s="11">
        <v>52.712102919862538</v>
      </c>
    </row>
    <row r="396" spans="2:7" x14ac:dyDescent="0.35">
      <c r="B396" s="4">
        <v>44859</v>
      </c>
      <c r="C396" s="6" t="s">
        <v>3</v>
      </c>
      <c r="D3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6" s="7">
        <v>42.86</v>
      </c>
      <c r="F396" s="9">
        <v>6.0080500000000008</v>
      </c>
      <c r="G396" s="11">
        <v>46.491065480961922</v>
      </c>
    </row>
    <row r="397" spans="2:7" x14ac:dyDescent="0.35">
      <c r="B397" s="4">
        <v>44860</v>
      </c>
      <c r="C397" s="6" t="s">
        <v>3</v>
      </c>
      <c r="D3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7" s="7">
        <v>21.4</v>
      </c>
      <c r="F397" s="9">
        <v>3.2635000000000001</v>
      </c>
      <c r="G397" s="11">
        <v>51.382045037223946</v>
      </c>
    </row>
    <row r="398" spans="2:7" x14ac:dyDescent="0.35">
      <c r="B398" s="4">
        <v>44861</v>
      </c>
      <c r="C398" s="6" t="s">
        <v>3</v>
      </c>
      <c r="D3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8" s="7">
        <v>68.88</v>
      </c>
      <c r="F398" s="9">
        <v>4.2398750000000005</v>
      </c>
      <c r="G398" s="11">
        <v>46.320275244073216</v>
      </c>
    </row>
    <row r="399" spans="2:7" x14ac:dyDescent="0.35">
      <c r="B399" s="4">
        <v>44862</v>
      </c>
      <c r="C399" s="6" t="s">
        <v>3</v>
      </c>
      <c r="D3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399" s="7">
        <v>21.99</v>
      </c>
      <c r="F399" s="9">
        <v>11.20825</v>
      </c>
      <c r="G399" s="11">
        <v>43.870773347076465</v>
      </c>
    </row>
    <row r="400" spans="2:7" x14ac:dyDescent="0.35">
      <c r="B400" s="4">
        <v>44863</v>
      </c>
      <c r="C400" s="6" t="s">
        <v>3</v>
      </c>
      <c r="D4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0" s="7">
        <v>85.05</v>
      </c>
      <c r="F400" s="9">
        <v>5.35</v>
      </c>
      <c r="G400" s="11">
        <v>49.893847457521233</v>
      </c>
    </row>
    <row r="401" spans="2:7" x14ac:dyDescent="0.35">
      <c r="B401" s="4">
        <v>44866</v>
      </c>
      <c r="C401" s="6" t="s">
        <v>3</v>
      </c>
      <c r="D4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1" s="7">
        <v>90.02</v>
      </c>
      <c r="F401" s="9">
        <v>1.7173500000000002</v>
      </c>
      <c r="G401" s="11">
        <v>53.440084297140572</v>
      </c>
    </row>
    <row r="402" spans="2:7" x14ac:dyDescent="0.35">
      <c r="B402" s="4">
        <v>44867</v>
      </c>
      <c r="C402" s="6" t="s">
        <v>3</v>
      </c>
      <c r="D4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2" s="7">
        <v>88.99</v>
      </c>
      <c r="F402" s="9">
        <v>7.1823750000000004</v>
      </c>
      <c r="G402" s="11">
        <v>47.271122118314906</v>
      </c>
    </row>
    <row r="403" spans="2:7" x14ac:dyDescent="0.35">
      <c r="B403" s="4">
        <v>44868</v>
      </c>
      <c r="C403" s="6" t="s">
        <v>3</v>
      </c>
      <c r="D4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3" s="7">
        <v>45.14</v>
      </c>
      <c r="F403" s="9">
        <v>4.6331000000000007</v>
      </c>
      <c r="G403" s="11">
        <v>49.955083331999205</v>
      </c>
    </row>
    <row r="404" spans="2:7" x14ac:dyDescent="0.35">
      <c r="B404" s="4">
        <v>44869</v>
      </c>
      <c r="C404" s="6" t="s">
        <v>3</v>
      </c>
      <c r="D4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4" s="7">
        <v>22.07</v>
      </c>
      <c r="F404" s="9">
        <v>4.9808500000000002</v>
      </c>
      <c r="G404" s="11">
        <v>49.699587072450711</v>
      </c>
    </row>
    <row r="405" spans="2:7" x14ac:dyDescent="0.35">
      <c r="B405" s="4">
        <v>44873</v>
      </c>
      <c r="C405" s="6" t="s">
        <v>3</v>
      </c>
      <c r="D4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5" s="7">
        <v>62.5</v>
      </c>
      <c r="F405" s="9">
        <v>2.1747750000000003</v>
      </c>
      <c r="G405" s="11">
        <v>53.560658345063395</v>
      </c>
    </row>
    <row r="406" spans="2:7" x14ac:dyDescent="0.35">
      <c r="B406" s="4">
        <v>44874</v>
      </c>
      <c r="C406" s="6" t="s">
        <v>3</v>
      </c>
      <c r="D4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6" s="7">
        <v>40.200000000000003</v>
      </c>
      <c r="F406" s="9">
        <v>7.3295000000000003</v>
      </c>
      <c r="G406" s="11">
        <v>48.462616966493819</v>
      </c>
    </row>
    <row r="407" spans="2:7" x14ac:dyDescent="0.35">
      <c r="B407" s="4">
        <v>44875</v>
      </c>
      <c r="C407" s="6" t="s">
        <v>3</v>
      </c>
      <c r="D4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7" s="7">
        <v>39.83</v>
      </c>
      <c r="F407" s="9">
        <v>15.408000000000001</v>
      </c>
      <c r="G407" s="11">
        <v>39.817656172703622</v>
      </c>
    </row>
    <row r="408" spans="2:7" x14ac:dyDescent="0.35">
      <c r="B408" s="4">
        <v>44883</v>
      </c>
      <c r="C408" s="6" t="s">
        <v>3</v>
      </c>
      <c r="D4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8" s="7">
        <v>22.41</v>
      </c>
      <c r="F408" s="9">
        <v>15.100375000000001</v>
      </c>
      <c r="G408" s="11">
        <v>44.564849190647479</v>
      </c>
    </row>
    <row r="409" spans="2:7" x14ac:dyDescent="0.35">
      <c r="B409" s="4">
        <v>44886</v>
      </c>
      <c r="C409" s="6" t="s">
        <v>3</v>
      </c>
      <c r="D4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09" s="7">
        <v>66.569999999999993</v>
      </c>
      <c r="F409" s="9">
        <v>7.6825999999999999</v>
      </c>
      <c r="G409" s="11">
        <v>49.351970000000001</v>
      </c>
    </row>
    <row r="410" spans="2:7" x14ac:dyDescent="0.35">
      <c r="B410" s="4">
        <v>44887</v>
      </c>
      <c r="C410" s="6" t="s">
        <v>3</v>
      </c>
      <c r="D4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0" s="7">
        <v>85.47</v>
      </c>
      <c r="F410" s="9">
        <v>5.9010499999999997</v>
      </c>
      <c r="G410" s="11">
        <v>46.558348877805486</v>
      </c>
    </row>
    <row r="411" spans="2:7" x14ac:dyDescent="0.35">
      <c r="B411" s="4">
        <v>44888</v>
      </c>
      <c r="C411" s="6" t="s">
        <v>3</v>
      </c>
      <c r="D4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1" s="7">
        <v>21.45</v>
      </c>
      <c r="F411" s="9">
        <v>5.7940500000000004</v>
      </c>
      <c r="G411" s="11">
        <v>50.366317314417017</v>
      </c>
    </row>
    <row r="412" spans="2:7" x14ac:dyDescent="0.35">
      <c r="B412" s="4">
        <v>44889</v>
      </c>
      <c r="C412" s="6" t="s">
        <v>3</v>
      </c>
      <c r="D4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2" s="7">
        <v>87.88</v>
      </c>
      <c r="F412" s="9">
        <v>5.0263249999999999</v>
      </c>
      <c r="G412" s="11">
        <v>50.232521099140087</v>
      </c>
    </row>
    <row r="413" spans="2:7" x14ac:dyDescent="0.35">
      <c r="B413" s="4">
        <v>44890</v>
      </c>
      <c r="C413" s="6" t="s">
        <v>3</v>
      </c>
      <c r="D4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3" s="7">
        <v>86.9</v>
      </c>
      <c r="F413" s="9">
        <v>3.1993000000000005</v>
      </c>
      <c r="G413" s="11">
        <v>50.702089585458545</v>
      </c>
    </row>
    <row r="414" spans="2:7" x14ac:dyDescent="0.35">
      <c r="B414" s="4">
        <v>44891</v>
      </c>
      <c r="C414" s="6" t="s">
        <v>3</v>
      </c>
      <c r="D4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4" s="7">
        <v>23.1</v>
      </c>
      <c r="F414" s="9">
        <v>3.1217250000000001</v>
      </c>
      <c r="G414" s="11">
        <v>52.804323000000004</v>
      </c>
    </row>
    <row r="415" spans="2:7" x14ac:dyDescent="0.35">
      <c r="B415" s="4">
        <v>44894</v>
      </c>
      <c r="C415" s="6" t="s">
        <v>3</v>
      </c>
      <c r="D4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5" s="7">
        <v>22.04</v>
      </c>
      <c r="F415" s="9">
        <v>1.6183750000000001</v>
      </c>
      <c r="G415" s="11">
        <v>53.650844582917088</v>
      </c>
    </row>
    <row r="416" spans="2:7" x14ac:dyDescent="0.35">
      <c r="B416" s="4">
        <v>44896</v>
      </c>
      <c r="C416" s="6" t="s">
        <v>3</v>
      </c>
      <c r="D4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6" s="7">
        <v>22.17</v>
      </c>
      <c r="F416" s="9">
        <v>4.4645750000000008</v>
      </c>
      <c r="G416" s="11">
        <v>44.25025162804635</v>
      </c>
    </row>
    <row r="417" spans="2:7" x14ac:dyDescent="0.35">
      <c r="B417" s="4">
        <v>44900</v>
      </c>
      <c r="C417" s="6" t="s">
        <v>3</v>
      </c>
      <c r="D4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7" s="7">
        <v>62.99</v>
      </c>
      <c r="F417" s="9">
        <v>8.5279000000000007</v>
      </c>
      <c r="G417" s="11">
        <v>47.185716601539077</v>
      </c>
    </row>
    <row r="418" spans="2:7" x14ac:dyDescent="0.35">
      <c r="B418" s="4">
        <v>44901</v>
      </c>
      <c r="C418" s="6" t="s">
        <v>3</v>
      </c>
      <c r="D4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8" s="7">
        <v>22.89</v>
      </c>
      <c r="F418" s="9">
        <v>1.7922500000000001</v>
      </c>
      <c r="G418" s="11">
        <v>53.697929001757913</v>
      </c>
    </row>
    <row r="419" spans="2:7" x14ac:dyDescent="0.35">
      <c r="B419" s="4">
        <v>44916</v>
      </c>
      <c r="C419" s="6" t="s">
        <v>3</v>
      </c>
      <c r="D4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19" s="7">
        <v>63.18</v>
      </c>
      <c r="F419" s="9">
        <v>2.8676000000000004</v>
      </c>
      <c r="G419" s="11">
        <v>52.053972668528118</v>
      </c>
    </row>
    <row r="420" spans="2:7" x14ac:dyDescent="0.35">
      <c r="B420" s="4">
        <v>44917</v>
      </c>
      <c r="C420" s="6" t="s">
        <v>3</v>
      </c>
      <c r="D4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0" s="7">
        <v>70.709999999999994</v>
      </c>
      <c r="F420" s="9">
        <v>3.1351000000000004</v>
      </c>
      <c r="G420" s="11">
        <v>52.001097077239031</v>
      </c>
    </row>
    <row r="421" spans="2:7" x14ac:dyDescent="0.35">
      <c r="B421" s="4">
        <v>44918</v>
      </c>
      <c r="C421" s="6" t="s">
        <v>3</v>
      </c>
      <c r="D4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1" s="7">
        <v>19.760000000000002</v>
      </c>
      <c r="F421" s="9">
        <v>3.7797750000000003</v>
      </c>
      <c r="G421" s="11">
        <v>51.270855866435951</v>
      </c>
    </row>
    <row r="422" spans="2:7" x14ac:dyDescent="0.35">
      <c r="B422" s="4">
        <v>44921</v>
      </c>
      <c r="C422" s="6" t="s">
        <v>3</v>
      </c>
      <c r="D4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2" s="7">
        <v>64.03</v>
      </c>
      <c r="F422" s="9">
        <v>9.9322750000000006</v>
      </c>
      <c r="G422" s="11">
        <v>46.790933393411436</v>
      </c>
    </row>
    <row r="423" spans="2:7" x14ac:dyDescent="0.35">
      <c r="B423" s="4">
        <v>44922</v>
      </c>
      <c r="C423" s="6" t="s">
        <v>3</v>
      </c>
      <c r="D4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3" s="7">
        <v>21.75</v>
      </c>
      <c r="F423" s="9">
        <v>4.1382250000000003</v>
      </c>
      <c r="G423" s="11">
        <v>51.291408309943861</v>
      </c>
    </row>
    <row r="424" spans="2:7" x14ac:dyDescent="0.35">
      <c r="B424" s="4">
        <v>44923</v>
      </c>
      <c r="C424" s="6" t="s">
        <v>3</v>
      </c>
      <c r="D4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4" s="7">
        <v>43.59</v>
      </c>
      <c r="F424" s="9">
        <v>1.5113750000000001</v>
      </c>
      <c r="G424" s="11">
        <v>53.921564990539736</v>
      </c>
    </row>
    <row r="425" spans="2:7" x14ac:dyDescent="0.35">
      <c r="B425" s="4">
        <v>44947</v>
      </c>
      <c r="C425" s="6" t="s">
        <v>3</v>
      </c>
      <c r="D4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5" s="7">
        <v>42.82</v>
      </c>
      <c r="F425" s="9">
        <v>3.977725</v>
      </c>
      <c r="G425" s="11">
        <v>47.842686235081736</v>
      </c>
    </row>
    <row r="426" spans="2:7" x14ac:dyDescent="0.35">
      <c r="B426" s="4">
        <v>44953</v>
      </c>
      <c r="C426" s="6" t="s">
        <v>3</v>
      </c>
      <c r="D4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6" s="7">
        <v>85.91</v>
      </c>
      <c r="F426" s="9">
        <v>3.2982750000000003</v>
      </c>
      <c r="G426" s="11">
        <v>52.450639050279328</v>
      </c>
    </row>
    <row r="427" spans="2:7" x14ac:dyDescent="0.35">
      <c r="B427" s="4">
        <v>44954</v>
      </c>
      <c r="C427" s="6" t="s">
        <v>3</v>
      </c>
      <c r="D4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7" s="7">
        <v>42.73</v>
      </c>
      <c r="F427" s="9">
        <v>1.8216749999999999</v>
      </c>
      <c r="G427" s="11">
        <v>53.658374112098222</v>
      </c>
    </row>
    <row r="428" spans="2:7" x14ac:dyDescent="0.35">
      <c r="B428" s="4">
        <v>44956</v>
      </c>
      <c r="C428" s="6" t="s">
        <v>3</v>
      </c>
      <c r="D4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8" s="7">
        <v>87.62</v>
      </c>
      <c r="F428" s="9">
        <v>3.3624750000000003</v>
      </c>
      <c r="G428" s="11">
        <v>49.839964648190836</v>
      </c>
    </row>
    <row r="429" spans="2:7" x14ac:dyDescent="0.35">
      <c r="B429" s="4">
        <v>44957</v>
      </c>
      <c r="C429" s="6" t="s">
        <v>3</v>
      </c>
      <c r="D4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29" s="7">
        <v>64.569999999999993</v>
      </c>
      <c r="F429" s="9">
        <v>2.1212750000000002</v>
      </c>
      <c r="G429" s="11">
        <v>52.787218586739279</v>
      </c>
    </row>
    <row r="430" spans="2:7" x14ac:dyDescent="0.35">
      <c r="B430" s="4">
        <v>44958</v>
      </c>
      <c r="C430" s="6" t="s">
        <v>3</v>
      </c>
      <c r="D4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0" s="7">
        <v>63.6</v>
      </c>
      <c r="F430" s="9">
        <v>3.7610500000000004</v>
      </c>
      <c r="G430" s="11">
        <v>49.500955862206297</v>
      </c>
    </row>
    <row r="431" spans="2:7" x14ac:dyDescent="0.35">
      <c r="B431" s="4">
        <v>44959</v>
      </c>
      <c r="C431" s="6" t="s">
        <v>3</v>
      </c>
      <c r="D4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1" s="7">
        <v>44.39</v>
      </c>
      <c r="F431" s="9">
        <v>4.8283750000000003</v>
      </c>
      <c r="G431" s="11">
        <v>50.567201653354637</v>
      </c>
    </row>
    <row r="432" spans="2:7" x14ac:dyDescent="0.35">
      <c r="B432" s="4">
        <v>44960</v>
      </c>
      <c r="C432" s="6" t="s">
        <v>3</v>
      </c>
      <c r="D4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2" s="7">
        <v>22.54</v>
      </c>
      <c r="F432" s="9">
        <v>2.4422750000000004</v>
      </c>
      <c r="G432" s="11">
        <v>51.849830481200755</v>
      </c>
    </row>
    <row r="433" spans="2:7" x14ac:dyDescent="0.35">
      <c r="B433" s="4">
        <v>44961</v>
      </c>
      <c r="C433" s="6" t="s">
        <v>3</v>
      </c>
      <c r="D4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3" s="7">
        <v>47.22</v>
      </c>
      <c r="F433" s="9">
        <v>2.0517250000000002</v>
      </c>
      <c r="G433" s="11">
        <v>52.99887702191235</v>
      </c>
    </row>
    <row r="434" spans="2:7" x14ac:dyDescent="0.35">
      <c r="B434" s="4">
        <v>44966</v>
      </c>
      <c r="C434" s="6" t="s">
        <v>3</v>
      </c>
      <c r="D4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4" s="7">
        <v>62.39</v>
      </c>
      <c r="F434" s="9">
        <v>5.6121500000000006</v>
      </c>
      <c r="G434" s="11">
        <v>50.315158936425426</v>
      </c>
    </row>
    <row r="435" spans="2:7" x14ac:dyDescent="0.35">
      <c r="B435" s="4">
        <v>44967</v>
      </c>
      <c r="C435" s="6" t="s">
        <v>3</v>
      </c>
      <c r="D4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5" s="7">
        <v>86.61</v>
      </c>
      <c r="F435" s="9">
        <v>1.4819500000000001</v>
      </c>
      <c r="G435" s="11">
        <v>53.677462654046217</v>
      </c>
    </row>
    <row r="436" spans="2:7" x14ac:dyDescent="0.35">
      <c r="B436" s="4">
        <v>44970</v>
      </c>
      <c r="C436" s="6" t="s">
        <v>3</v>
      </c>
      <c r="D4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6" s="7">
        <v>86.07</v>
      </c>
      <c r="F436" s="9">
        <v>4.7989500000000005</v>
      </c>
      <c r="G436" s="11">
        <v>51.607725878661086</v>
      </c>
    </row>
    <row r="437" spans="2:7" x14ac:dyDescent="0.35">
      <c r="B437" s="4">
        <v>44971</v>
      </c>
      <c r="C437" s="6" t="s">
        <v>3</v>
      </c>
      <c r="D4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7" s="7">
        <v>86.15</v>
      </c>
      <c r="F437" s="9">
        <v>2.9612250000000002</v>
      </c>
      <c r="G437" s="11">
        <v>50.485733336924923</v>
      </c>
    </row>
    <row r="438" spans="2:7" x14ac:dyDescent="0.35">
      <c r="B438" s="4">
        <v>44973</v>
      </c>
      <c r="C438" s="6" t="s">
        <v>3</v>
      </c>
      <c r="D4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8" s="7">
        <v>87.81</v>
      </c>
      <c r="F438" s="9">
        <v>2.8756250000000003</v>
      </c>
      <c r="G438" s="11">
        <v>51.723274258480942</v>
      </c>
    </row>
    <row r="439" spans="2:7" x14ac:dyDescent="0.35">
      <c r="B439" s="4">
        <v>44974</v>
      </c>
      <c r="C439" s="6" t="s">
        <v>3</v>
      </c>
      <c r="D4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39" s="7">
        <v>65.81</v>
      </c>
      <c r="F439" s="9">
        <v>3.2661750000000005</v>
      </c>
      <c r="G439" s="11">
        <v>52.591136344537816</v>
      </c>
    </row>
    <row r="440" spans="2:7" x14ac:dyDescent="0.35">
      <c r="B440" s="4">
        <v>44975</v>
      </c>
      <c r="C440" s="6" t="s">
        <v>3</v>
      </c>
      <c r="D4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0" s="7">
        <v>43.8</v>
      </c>
      <c r="F440" s="9">
        <v>1.9019250000000001</v>
      </c>
      <c r="G440" s="11">
        <v>53.182236758517035</v>
      </c>
    </row>
    <row r="441" spans="2:7" x14ac:dyDescent="0.35">
      <c r="B441" s="4">
        <v>44977</v>
      </c>
      <c r="C441" s="6" t="s">
        <v>3</v>
      </c>
      <c r="D4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1" s="7">
        <v>23.85</v>
      </c>
      <c r="F441" s="9">
        <v>3.7289500000000002</v>
      </c>
      <c r="G441" s="11">
        <v>52.048876109007573</v>
      </c>
    </row>
    <row r="442" spans="2:7" x14ac:dyDescent="0.35">
      <c r="B442" s="4">
        <v>44978</v>
      </c>
      <c r="C442" s="6" t="s">
        <v>3</v>
      </c>
      <c r="D4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2" s="7">
        <v>87.73</v>
      </c>
      <c r="F442" s="9">
        <v>2.5573000000000001</v>
      </c>
      <c r="G442" s="11">
        <v>52.571762246898757</v>
      </c>
    </row>
    <row r="443" spans="2:7" x14ac:dyDescent="0.35">
      <c r="B443" s="4">
        <v>44979</v>
      </c>
      <c r="C443" s="6" t="s">
        <v>3</v>
      </c>
      <c r="D4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3" s="7">
        <v>45.23</v>
      </c>
      <c r="F443" s="9">
        <v>3.3758499999999998</v>
      </c>
      <c r="G443" s="11">
        <v>52.352444679224547</v>
      </c>
    </row>
    <row r="444" spans="2:7" x14ac:dyDescent="0.35">
      <c r="B444" s="4">
        <v>44980</v>
      </c>
      <c r="C444" s="6" t="s">
        <v>3</v>
      </c>
      <c r="D4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4" s="7">
        <v>46.45</v>
      </c>
      <c r="F444" s="9">
        <v>6.4761750000000005</v>
      </c>
      <c r="G444" s="11">
        <v>49.855990119760477</v>
      </c>
    </row>
    <row r="445" spans="2:7" x14ac:dyDescent="0.35">
      <c r="B445" s="4">
        <v>44981</v>
      </c>
      <c r="C445" s="6" t="s">
        <v>3</v>
      </c>
      <c r="D4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5" s="7">
        <v>91.46</v>
      </c>
      <c r="F445" s="9">
        <v>2.996</v>
      </c>
      <c r="G445" s="11">
        <v>51.72860617204622</v>
      </c>
    </row>
    <row r="446" spans="2:7" x14ac:dyDescent="0.35">
      <c r="B446" s="4">
        <v>44982</v>
      </c>
      <c r="C446" s="6" t="s">
        <v>3</v>
      </c>
      <c r="D4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6" s="7">
        <v>42.35</v>
      </c>
      <c r="F446" s="9">
        <v>2.7311750000000004</v>
      </c>
      <c r="G446" s="11">
        <v>52.562323352520842</v>
      </c>
    </row>
    <row r="447" spans="2:7" x14ac:dyDescent="0.35">
      <c r="B447" s="4">
        <v>44984</v>
      </c>
      <c r="C447" s="6" t="s">
        <v>3</v>
      </c>
      <c r="D4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7" s="7">
        <v>87.98</v>
      </c>
      <c r="F447" s="9">
        <v>5.5105000000000004</v>
      </c>
      <c r="G447" s="11">
        <v>50.002741252123514</v>
      </c>
    </row>
    <row r="448" spans="2:7" x14ac:dyDescent="0.35">
      <c r="B448" s="4">
        <v>44985</v>
      </c>
      <c r="C448" s="6" t="s">
        <v>3</v>
      </c>
      <c r="D4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8" s="7">
        <v>64.92</v>
      </c>
      <c r="F448" s="9">
        <v>2.7686250000000001</v>
      </c>
      <c r="G448" s="11">
        <v>52.746727970706061</v>
      </c>
    </row>
    <row r="449" spans="2:7" x14ac:dyDescent="0.35">
      <c r="B449" s="4">
        <v>44986</v>
      </c>
      <c r="C449" s="6" t="s">
        <v>3</v>
      </c>
      <c r="D4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49" s="7">
        <v>91.31</v>
      </c>
      <c r="F449" s="9">
        <v>1.87785</v>
      </c>
      <c r="G449" s="11">
        <v>53.30208757231199</v>
      </c>
    </row>
    <row r="450" spans="2:7" x14ac:dyDescent="0.35">
      <c r="B450" s="4">
        <v>44987</v>
      </c>
      <c r="C450" s="6" t="s">
        <v>3</v>
      </c>
      <c r="D4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0" s="7">
        <v>92</v>
      </c>
      <c r="F450" s="9">
        <v>2.3887749999999999</v>
      </c>
      <c r="G450" s="11">
        <v>52.816073747368947</v>
      </c>
    </row>
    <row r="451" spans="2:7" x14ac:dyDescent="0.35">
      <c r="B451" s="4">
        <v>44988</v>
      </c>
      <c r="C451" s="6" t="s">
        <v>3</v>
      </c>
      <c r="D4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1" s="7">
        <v>92.42</v>
      </c>
      <c r="F451" s="9">
        <v>1.92065</v>
      </c>
      <c r="G451" s="11">
        <v>53.205894348783666</v>
      </c>
    </row>
    <row r="452" spans="2:7" x14ac:dyDescent="0.35">
      <c r="B452" s="4">
        <v>44989</v>
      </c>
      <c r="C452" s="6" t="s">
        <v>3</v>
      </c>
      <c r="D4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2" s="7">
        <v>22.02</v>
      </c>
      <c r="F452" s="9">
        <v>2.1801250000000003</v>
      </c>
      <c r="G452" s="11">
        <v>53.077446925719734</v>
      </c>
    </row>
    <row r="453" spans="2:7" x14ac:dyDescent="0.35">
      <c r="B453" s="4">
        <v>44991</v>
      </c>
      <c r="C453" s="6" t="s">
        <v>3</v>
      </c>
      <c r="D4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3" s="7">
        <v>65</v>
      </c>
      <c r="F453" s="9">
        <v>1.77085</v>
      </c>
      <c r="G453" s="11">
        <v>53.852353530295446</v>
      </c>
    </row>
    <row r="454" spans="2:7" x14ac:dyDescent="0.35">
      <c r="B454" s="4">
        <v>44993</v>
      </c>
      <c r="C454" s="6" t="s">
        <v>3</v>
      </c>
      <c r="D4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4" s="7">
        <v>90.2</v>
      </c>
      <c r="F454" s="9">
        <v>3.2902500000000003</v>
      </c>
      <c r="G454" s="11">
        <v>51.973894165929423</v>
      </c>
    </row>
    <row r="455" spans="2:7" x14ac:dyDescent="0.35">
      <c r="B455" s="4">
        <v>44994</v>
      </c>
      <c r="C455" s="6" t="s">
        <v>3</v>
      </c>
      <c r="D4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5" s="7">
        <v>45.46</v>
      </c>
      <c r="F455" s="9">
        <v>2.23095</v>
      </c>
      <c r="G455" s="11">
        <v>53.102979840692427</v>
      </c>
    </row>
    <row r="456" spans="2:7" x14ac:dyDescent="0.35">
      <c r="B456" s="4">
        <v>44995</v>
      </c>
      <c r="C456" s="6" t="s">
        <v>3</v>
      </c>
      <c r="D4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6" s="7">
        <v>67</v>
      </c>
      <c r="F456" s="9">
        <v>3.7022000000000004</v>
      </c>
      <c r="G456" s="11">
        <v>51.446035811662334</v>
      </c>
    </row>
    <row r="457" spans="2:7" x14ac:dyDescent="0.35">
      <c r="B457" s="4">
        <v>45002</v>
      </c>
      <c r="C457" s="6" t="s">
        <v>3</v>
      </c>
      <c r="D4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7" s="7">
        <v>62.79</v>
      </c>
      <c r="F457" s="9">
        <v>3.3223500000000001</v>
      </c>
      <c r="G457" s="11">
        <v>52.239387165589264</v>
      </c>
    </row>
    <row r="458" spans="2:7" x14ac:dyDescent="0.35">
      <c r="B458" s="4">
        <v>45003</v>
      </c>
      <c r="C458" s="6" t="s">
        <v>3</v>
      </c>
      <c r="D4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8" s="7">
        <v>41.44</v>
      </c>
      <c r="F458" s="9">
        <v>1.249225</v>
      </c>
      <c r="G458" s="11">
        <v>54.106211021400775</v>
      </c>
    </row>
    <row r="459" spans="2:7" x14ac:dyDescent="0.35">
      <c r="B459" s="4">
        <v>45006</v>
      </c>
      <c r="C459" s="6" t="s">
        <v>3</v>
      </c>
      <c r="D4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59" s="7">
        <v>63.98</v>
      </c>
      <c r="F459" s="9">
        <v>1.318775</v>
      </c>
      <c r="G459" s="11">
        <v>53.440878296895278</v>
      </c>
    </row>
    <row r="460" spans="2:7" x14ac:dyDescent="0.35">
      <c r="B460" s="4">
        <v>45007</v>
      </c>
      <c r="C460" s="6" t="s">
        <v>3</v>
      </c>
      <c r="D4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60" s="7">
        <v>85.7</v>
      </c>
      <c r="F460" s="9">
        <v>1.2412000000000001</v>
      </c>
      <c r="G460" s="11">
        <v>53.126351593625493</v>
      </c>
    </row>
    <row r="461" spans="2:7" x14ac:dyDescent="0.35">
      <c r="B461" s="4">
        <v>45009</v>
      </c>
      <c r="C461" s="6" t="s">
        <v>3</v>
      </c>
      <c r="D4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61" s="7">
        <v>21.17</v>
      </c>
      <c r="F461" s="9">
        <v>3.1431250000000004</v>
      </c>
      <c r="G461" s="11">
        <v>51.628757907420415</v>
      </c>
    </row>
    <row r="462" spans="2:7" x14ac:dyDescent="0.35">
      <c r="B462" s="4">
        <v>44807</v>
      </c>
      <c r="C462" s="6" t="s">
        <v>10</v>
      </c>
      <c r="D462" s="6" t="str">
        <f>IF(ISNUMBER(MATCH(ING_PRV[[#This Row],[Proveedor]],PARAMETROS!$A$2:$A$8,0)),"COMPRADA",
                    IF(ISNUMBER(MATCH(ING_PRV[[#This Row],[Proveedor]],PARAMETROS!$B$2:$B$8,0)),"PROPIA","NA")
)</f>
        <v>NA</v>
      </c>
      <c r="E462" s="7">
        <v>79</v>
      </c>
      <c r="F462" s="9">
        <v>3.485525</v>
      </c>
      <c r="G462" s="11">
        <v>52.827229292283086</v>
      </c>
    </row>
    <row r="463" spans="2:7" x14ac:dyDescent="0.35">
      <c r="B463" s="4">
        <v>44809</v>
      </c>
      <c r="C463" s="6" t="s">
        <v>10</v>
      </c>
      <c r="D463" s="6" t="str">
        <f>IF(ISNUMBER(MATCH(ING_PRV[[#This Row],[Proveedor]],PARAMETROS!$A$2:$A$8,0)),"COMPRADA",
                    IF(ISNUMBER(MATCH(ING_PRV[[#This Row],[Proveedor]],PARAMETROS!$B$2:$B$8,0)),"PROPIA","NA")
)</f>
        <v>NA</v>
      </c>
      <c r="E463" s="7">
        <v>207.87</v>
      </c>
      <c r="F463" s="9">
        <v>4.3656000000000006</v>
      </c>
      <c r="G463" s="11">
        <v>51.305911030763085</v>
      </c>
    </row>
    <row r="464" spans="2:7" x14ac:dyDescent="0.35">
      <c r="B464" s="4">
        <v>44813</v>
      </c>
      <c r="C464" s="6" t="s">
        <v>10</v>
      </c>
      <c r="D464" s="6" t="str">
        <f>IF(ISNUMBER(MATCH(ING_PRV[[#This Row],[Proveedor]],PARAMETROS!$A$2:$A$8,0)),"COMPRADA",
                    IF(ISNUMBER(MATCH(ING_PRV[[#This Row],[Proveedor]],PARAMETROS!$B$2:$B$8,0)),"PROPIA","NA")
)</f>
        <v>NA</v>
      </c>
      <c r="E464" s="7">
        <v>304.32</v>
      </c>
      <c r="F464" s="9">
        <v>3.3330500000000005</v>
      </c>
      <c r="G464" s="11">
        <v>52.769829356257496</v>
      </c>
    </row>
    <row r="465" spans="2:7" x14ac:dyDescent="0.35">
      <c r="B465" s="4">
        <v>44816</v>
      </c>
      <c r="C465" s="6" t="s">
        <v>10</v>
      </c>
      <c r="D465" s="6" t="str">
        <f>IF(ISNUMBER(MATCH(ING_PRV[[#This Row],[Proveedor]],PARAMETROS!$A$2:$A$8,0)),"COMPRADA",
                    IF(ISNUMBER(MATCH(ING_PRV[[#This Row],[Proveedor]],PARAMETROS!$B$2:$B$8,0)),"PROPIA","NA")
)</f>
        <v>NA</v>
      </c>
      <c r="E465" s="7">
        <v>100.66</v>
      </c>
      <c r="F465" s="9">
        <v>3.5524</v>
      </c>
      <c r="G465" s="11">
        <v>52.679065782988872</v>
      </c>
    </row>
    <row r="466" spans="2:7" x14ac:dyDescent="0.35">
      <c r="B466" s="4">
        <v>44817</v>
      </c>
      <c r="C466" s="6" t="s">
        <v>10</v>
      </c>
      <c r="D466" s="6" t="str">
        <f>IF(ISNUMBER(MATCH(ING_PRV[[#This Row],[Proveedor]],PARAMETROS!$A$2:$A$8,0)),"COMPRADA",
                    IF(ISNUMBER(MATCH(ING_PRV[[#This Row],[Proveedor]],PARAMETROS!$B$2:$B$8,0)),"PROPIA","NA")
)</f>
        <v>NA</v>
      </c>
      <c r="E466" s="7">
        <v>26.96</v>
      </c>
      <c r="F466" s="9">
        <v>1.84</v>
      </c>
      <c r="G466" s="11">
        <v>52.5</v>
      </c>
    </row>
    <row r="467" spans="2:7" x14ac:dyDescent="0.35">
      <c r="B467" s="4">
        <v>44865</v>
      </c>
      <c r="C467" s="6" t="s">
        <v>10</v>
      </c>
      <c r="D467" s="6" t="str">
        <f>IF(ISNUMBER(MATCH(ING_PRV[[#This Row],[Proveedor]],PARAMETROS!$A$2:$A$8,0)),"COMPRADA",
                    IF(ISNUMBER(MATCH(ING_PRV[[#This Row],[Proveedor]],PARAMETROS!$B$2:$B$8,0)),"PROPIA","NA")
)</f>
        <v>NA</v>
      </c>
      <c r="E467" s="7">
        <v>105.17</v>
      </c>
      <c r="F467" s="9">
        <v>2.4262250000000001</v>
      </c>
      <c r="G467" s="11">
        <v>53.322032499999999</v>
      </c>
    </row>
    <row r="468" spans="2:7" x14ac:dyDescent="0.35">
      <c r="B468" s="4">
        <v>44891</v>
      </c>
      <c r="C468" s="6" t="s">
        <v>10</v>
      </c>
      <c r="D468" s="6" t="str">
        <f>IF(ISNUMBER(MATCH(ING_PRV[[#This Row],[Proveedor]],PARAMETROS!$A$2:$A$8,0)),"COMPRADA",
                    IF(ISNUMBER(MATCH(ING_PRV[[#This Row],[Proveedor]],PARAMETROS!$B$2:$B$8,0)),"PROPIA","NA")
)</f>
        <v>NA</v>
      </c>
      <c r="E468" s="7">
        <v>95.89</v>
      </c>
      <c r="F468" s="9">
        <v>3.3410750000000005</v>
      </c>
      <c r="G468" s="11">
        <v>52.50376892286171</v>
      </c>
    </row>
    <row r="469" spans="2:7" x14ac:dyDescent="0.35">
      <c r="B469" s="4">
        <v>44895</v>
      </c>
      <c r="C469" s="6" t="s">
        <v>10</v>
      </c>
      <c r="D469" s="6" t="str">
        <f>IF(ISNUMBER(MATCH(ING_PRV[[#This Row],[Proveedor]],PARAMETROS!$A$2:$A$8,0)),"COMPRADA",
                    IF(ISNUMBER(MATCH(ING_PRV[[#This Row],[Proveedor]],PARAMETROS!$B$2:$B$8,0)),"PROPIA","NA")
)</f>
        <v>NA</v>
      </c>
      <c r="E469" s="7">
        <v>98.07</v>
      </c>
      <c r="F469" s="9">
        <v>3.9162000000000003</v>
      </c>
      <c r="G469" s="11">
        <v>52.16874973846231</v>
      </c>
    </row>
    <row r="470" spans="2:7" x14ac:dyDescent="0.35">
      <c r="B470" s="4">
        <v>44954</v>
      </c>
      <c r="C470" s="6" t="s">
        <v>10</v>
      </c>
      <c r="D470" s="6" t="str">
        <f>IF(ISNUMBER(MATCH(ING_PRV[[#This Row],[Proveedor]],PARAMETROS!$A$2:$A$8,0)),"COMPRADA",
                    IF(ISNUMBER(MATCH(ING_PRV[[#This Row],[Proveedor]],PARAMETROS!$B$2:$B$8,0)),"PROPIA","NA")
)</f>
        <v>NA</v>
      </c>
      <c r="E470" s="7">
        <v>21.91</v>
      </c>
      <c r="F470" s="9">
        <v>3.9616750000000005</v>
      </c>
      <c r="G470" s="11">
        <v>52.151526332733461</v>
      </c>
    </row>
    <row r="471" spans="2:7" x14ac:dyDescent="0.35">
      <c r="B471" s="4">
        <v>44958</v>
      </c>
      <c r="C471" s="6" t="s">
        <v>10</v>
      </c>
      <c r="D471" s="6" t="str">
        <f>IF(ISNUMBER(MATCH(ING_PRV[[#This Row],[Proveedor]],PARAMETROS!$A$2:$A$8,0)),"COMPRADA",
                    IF(ISNUMBER(MATCH(ING_PRV[[#This Row],[Proveedor]],PARAMETROS!$B$2:$B$8,0)),"PROPIA","NA")
)</f>
        <v>NA</v>
      </c>
      <c r="E471" s="7">
        <v>73.2</v>
      </c>
      <c r="F471" s="9">
        <v>8.9050750000000001</v>
      </c>
      <c r="G471" s="11">
        <v>48.989203123435779</v>
      </c>
    </row>
    <row r="472" spans="2:7" x14ac:dyDescent="0.35">
      <c r="B472" s="4">
        <v>44963</v>
      </c>
      <c r="C472" s="6" t="s">
        <v>10</v>
      </c>
      <c r="D472" s="6" t="str">
        <f>IF(ISNUMBER(MATCH(ING_PRV[[#This Row],[Proveedor]],PARAMETROS!$A$2:$A$8,0)),"COMPRADA",
                    IF(ISNUMBER(MATCH(ING_PRV[[#This Row],[Proveedor]],PARAMETROS!$B$2:$B$8,0)),"PROPIA","NA")
)</f>
        <v>NA</v>
      </c>
      <c r="E472" s="7">
        <v>24.15</v>
      </c>
      <c r="F472" s="9">
        <v>7.6612000000000009</v>
      </c>
      <c r="G472" s="11">
        <v>49.32012206614047</v>
      </c>
    </row>
    <row r="473" spans="2:7" x14ac:dyDescent="0.35">
      <c r="B473" s="4">
        <v>44819</v>
      </c>
      <c r="C473" s="6" t="s">
        <v>5</v>
      </c>
      <c r="D4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73" s="7">
        <v>65.55</v>
      </c>
      <c r="F473" s="9">
        <v>0.68</v>
      </c>
      <c r="G473" s="11">
        <v>51.8</v>
      </c>
    </row>
    <row r="474" spans="2:7" x14ac:dyDescent="0.35">
      <c r="B474" s="4">
        <v>44821</v>
      </c>
      <c r="C474" s="6" t="s">
        <v>5</v>
      </c>
      <c r="D4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74" s="7">
        <v>37.11</v>
      </c>
      <c r="F474" s="9">
        <v>1.64</v>
      </c>
      <c r="G474" s="11">
        <v>51.7</v>
      </c>
    </row>
    <row r="475" spans="2:7" x14ac:dyDescent="0.35">
      <c r="B475" s="4">
        <v>44828</v>
      </c>
      <c r="C475" s="6" t="s">
        <v>5</v>
      </c>
      <c r="D4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75" s="7">
        <v>35.46</v>
      </c>
      <c r="F475" s="9">
        <v>0.48</v>
      </c>
      <c r="G475" s="11">
        <v>53.5</v>
      </c>
    </row>
    <row r="476" spans="2:7" x14ac:dyDescent="0.35">
      <c r="B476" s="4">
        <v>44833</v>
      </c>
      <c r="C476" s="6" t="s">
        <v>5</v>
      </c>
      <c r="D4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76" s="7">
        <v>35.86</v>
      </c>
      <c r="F476" s="9">
        <v>0.69550000000000012</v>
      </c>
      <c r="G476" s="11">
        <v>52.634204558093344</v>
      </c>
    </row>
    <row r="477" spans="2:7" x14ac:dyDescent="0.35">
      <c r="B477" s="4">
        <v>44835</v>
      </c>
      <c r="C477" s="6" t="s">
        <v>5</v>
      </c>
      <c r="D4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77" s="7">
        <v>30.08</v>
      </c>
      <c r="F477" s="9">
        <v>1.1047750000000001</v>
      </c>
      <c r="G477" s="11">
        <v>53.725673496963054</v>
      </c>
    </row>
    <row r="478" spans="2:7" x14ac:dyDescent="0.35">
      <c r="B478" s="4">
        <v>44837</v>
      </c>
      <c r="C478" s="6" t="s">
        <v>5</v>
      </c>
      <c r="D4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78" s="7">
        <v>30.7</v>
      </c>
      <c r="F478" s="9">
        <v>0.68212499999999998</v>
      </c>
      <c r="G478" s="11">
        <v>54.122692546689308</v>
      </c>
    </row>
    <row r="479" spans="2:7" x14ac:dyDescent="0.35">
      <c r="B479" s="4">
        <v>44838</v>
      </c>
      <c r="C479" s="6" t="s">
        <v>5</v>
      </c>
      <c r="D4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79" s="7">
        <v>34.01</v>
      </c>
      <c r="F479" s="9">
        <v>1.6451250000000002</v>
      </c>
      <c r="G479" s="11">
        <v>50.687840691944082</v>
      </c>
    </row>
    <row r="480" spans="2:7" x14ac:dyDescent="0.35">
      <c r="B480" s="4">
        <v>44839</v>
      </c>
      <c r="C480" s="6" t="s">
        <v>5</v>
      </c>
      <c r="D4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0" s="7">
        <v>31.6</v>
      </c>
      <c r="F480" s="9">
        <v>1.3027250000000001</v>
      </c>
      <c r="G480" s="11">
        <v>54.028850735912314</v>
      </c>
    </row>
    <row r="481" spans="2:7" x14ac:dyDescent="0.35">
      <c r="B481" s="4">
        <v>44841</v>
      </c>
      <c r="C481" s="6" t="s">
        <v>5</v>
      </c>
      <c r="D4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1" s="7">
        <v>32.549999999999997</v>
      </c>
      <c r="F481" s="9">
        <v>0.575125</v>
      </c>
      <c r="G481" s="11">
        <v>54.256179340731073</v>
      </c>
    </row>
    <row r="482" spans="2:7" x14ac:dyDescent="0.35">
      <c r="B482" s="4">
        <v>44844</v>
      </c>
      <c r="C482" s="6" t="s">
        <v>5</v>
      </c>
      <c r="D4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2" s="7">
        <v>32.96</v>
      </c>
      <c r="F482" s="9">
        <v>1.1449</v>
      </c>
      <c r="G482" s="11">
        <v>53.46471481479638</v>
      </c>
    </row>
    <row r="483" spans="2:7" x14ac:dyDescent="0.35">
      <c r="B483" s="4">
        <v>44845</v>
      </c>
      <c r="C483" s="6" t="s">
        <v>5</v>
      </c>
      <c r="D4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3" s="7">
        <v>64.92</v>
      </c>
      <c r="F483" s="9">
        <v>0.49755000000000005</v>
      </c>
      <c r="G483" s="11">
        <v>54.057442753949204</v>
      </c>
    </row>
    <row r="484" spans="2:7" x14ac:dyDescent="0.35">
      <c r="B484" s="4">
        <v>44846</v>
      </c>
      <c r="C484" s="6" t="s">
        <v>5</v>
      </c>
      <c r="D4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4" s="7">
        <v>33.86</v>
      </c>
      <c r="F484" s="9">
        <v>0.24075000000000002</v>
      </c>
      <c r="G484" s="11">
        <v>54.742003247753203</v>
      </c>
    </row>
    <row r="485" spans="2:7" x14ac:dyDescent="0.35">
      <c r="B485" s="4">
        <v>44852</v>
      </c>
      <c r="C485" s="6" t="s">
        <v>5</v>
      </c>
      <c r="D4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5" s="7">
        <v>128.9</v>
      </c>
      <c r="F485" s="9">
        <v>1.179675</v>
      </c>
      <c r="G485" s="11">
        <v>53.661289011627908</v>
      </c>
    </row>
    <row r="486" spans="2:7" x14ac:dyDescent="0.35">
      <c r="B486" s="4">
        <v>44854</v>
      </c>
      <c r="C486" s="6" t="s">
        <v>5</v>
      </c>
      <c r="D4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6" s="7">
        <v>100.99</v>
      </c>
      <c r="F486" s="9">
        <v>0.42800000000000005</v>
      </c>
      <c r="G486" s="11">
        <v>54.997914171656682</v>
      </c>
    </row>
    <row r="487" spans="2:7" x14ac:dyDescent="0.35">
      <c r="B487" s="4">
        <v>44859</v>
      </c>
      <c r="C487" s="6" t="s">
        <v>5</v>
      </c>
      <c r="D4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7" s="7">
        <v>68.95</v>
      </c>
      <c r="F487" s="9">
        <v>0.81320000000000003</v>
      </c>
      <c r="G487" s="11">
        <v>53.671442682437849</v>
      </c>
    </row>
    <row r="488" spans="2:7" x14ac:dyDescent="0.35">
      <c r="B488" s="4">
        <v>44861</v>
      </c>
      <c r="C488" s="6" t="s">
        <v>5</v>
      </c>
      <c r="D4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8" s="7">
        <v>67.19</v>
      </c>
      <c r="F488" s="9">
        <v>0.36380000000000007</v>
      </c>
      <c r="G488" s="11">
        <v>54.098285763042178</v>
      </c>
    </row>
    <row r="489" spans="2:7" x14ac:dyDescent="0.35">
      <c r="B489" s="4">
        <v>44865</v>
      </c>
      <c r="C489" s="6" t="s">
        <v>5</v>
      </c>
      <c r="D4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89" s="7">
        <v>71.099999999999994</v>
      </c>
      <c r="F489" s="9">
        <v>0.35310000000000002</v>
      </c>
      <c r="G489" s="11">
        <v>53.937067361498606</v>
      </c>
    </row>
    <row r="490" spans="2:7" x14ac:dyDescent="0.35">
      <c r="B490" s="4">
        <v>44866</v>
      </c>
      <c r="C490" s="6" t="s">
        <v>5</v>
      </c>
      <c r="D4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0" s="7">
        <v>33.22</v>
      </c>
      <c r="F490" s="9">
        <v>0.40392500000000003</v>
      </c>
      <c r="G490" s="11">
        <v>53.768899380495604</v>
      </c>
    </row>
    <row r="491" spans="2:7" x14ac:dyDescent="0.35">
      <c r="B491" s="4">
        <v>44867</v>
      </c>
      <c r="C491" s="6" t="s">
        <v>5</v>
      </c>
      <c r="D4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1" s="7">
        <v>36.54</v>
      </c>
      <c r="F491" s="9">
        <v>0.74097500000000005</v>
      </c>
      <c r="G491" s="11">
        <v>53.639518071770098</v>
      </c>
    </row>
    <row r="492" spans="2:7" x14ac:dyDescent="0.35">
      <c r="B492" s="4">
        <v>44873</v>
      </c>
      <c r="C492" s="6" t="s">
        <v>5</v>
      </c>
      <c r="D4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2" s="7">
        <v>31.6</v>
      </c>
      <c r="F492" s="9">
        <v>3.062875</v>
      </c>
      <c r="G492" s="11">
        <v>52.995357305056125</v>
      </c>
    </row>
    <row r="493" spans="2:7" x14ac:dyDescent="0.35">
      <c r="B493" s="4">
        <v>44875</v>
      </c>
      <c r="C493" s="6" t="s">
        <v>5</v>
      </c>
      <c r="D4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3" s="7">
        <v>68.55</v>
      </c>
      <c r="F493" s="9">
        <v>2.0116000000000001</v>
      </c>
      <c r="G493" s="11">
        <v>52.998372481735665</v>
      </c>
    </row>
    <row r="494" spans="2:7" x14ac:dyDescent="0.35">
      <c r="B494" s="4">
        <v>44880</v>
      </c>
      <c r="C494" s="6" t="s">
        <v>5</v>
      </c>
      <c r="D4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4" s="7">
        <v>71.8</v>
      </c>
      <c r="F494" s="9">
        <v>3.0388000000000002</v>
      </c>
      <c r="G494" s="11">
        <v>50.062451893004116</v>
      </c>
    </row>
    <row r="495" spans="2:7" x14ac:dyDescent="0.35">
      <c r="B495" s="4">
        <v>44883</v>
      </c>
      <c r="C495" s="6" t="s">
        <v>5</v>
      </c>
      <c r="D4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5" s="7">
        <v>65.73</v>
      </c>
      <c r="F495" s="9">
        <v>1.3910000000000002</v>
      </c>
      <c r="G495" s="11">
        <v>53.678785842674138</v>
      </c>
    </row>
    <row r="496" spans="2:7" x14ac:dyDescent="0.35">
      <c r="B496" s="4">
        <v>44894</v>
      </c>
      <c r="C496" s="6" t="s">
        <v>5</v>
      </c>
      <c r="D4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6" s="7">
        <v>33.82</v>
      </c>
      <c r="F496" s="9">
        <v>2.0410250000000003</v>
      </c>
      <c r="G496" s="11">
        <v>53.459498640174722</v>
      </c>
    </row>
    <row r="497" spans="2:7" x14ac:dyDescent="0.35">
      <c r="B497" s="4">
        <v>44895</v>
      </c>
      <c r="C497" s="6" t="s">
        <v>5</v>
      </c>
      <c r="D4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7" s="7">
        <v>32.54</v>
      </c>
      <c r="F497" s="9">
        <v>0.714225</v>
      </c>
      <c r="G497" s="11">
        <v>54.154823067875341</v>
      </c>
    </row>
    <row r="498" spans="2:7" x14ac:dyDescent="0.35">
      <c r="B498" s="4">
        <v>44898</v>
      </c>
      <c r="C498" s="6" t="s">
        <v>5</v>
      </c>
      <c r="D4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8" s="7">
        <v>30.78</v>
      </c>
      <c r="F498" s="9">
        <v>0.49220000000000003</v>
      </c>
      <c r="G498" s="11">
        <v>53.938488033229909</v>
      </c>
    </row>
    <row r="499" spans="2:7" x14ac:dyDescent="0.35">
      <c r="B499" s="4">
        <v>44901</v>
      </c>
      <c r="C499" s="6" t="s">
        <v>5</v>
      </c>
      <c r="D4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499" s="7">
        <v>70.680000000000007</v>
      </c>
      <c r="F499" s="9">
        <v>0.195275</v>
      </c>
      <c r="G499" s="11">
        <v>54.752157827803316</v>
      </c>
    </row>
    <row r="500" spans="2:7" x14ac:dyDescent="0.35">
      <c r="B500" s="4">
        <v>44902</v>
      </c>
      <c r="C500" s="6" t="s">
        <v>5</v>
      </c>
      <c r="D5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0" s="7">
        <v>34.770000000000003</v>
      </c>
      <c r="F500" s="9">
        <v>0.24877500000000002</v>
      </c>
      <c r="G500" s="11">
        <v>54.763526128156123</v>
      </c>
    </row>
    <row r="501" spans="2:7" x14ac:dyDescent="0.35">
      <c r="B501" s="4">
        <v>44903</v>
      </c>
      <c r="C501" s="6" t="s">
        <v>5</v>
      </c>
      <c r="D5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1" s="7">
        <v>67.48</v>
      </c>
      <c r="F501" s="9">
        <v>0.26750000000000002</v>
      </c>
      <c r="G501" s="11">
        <v>54.710399266853372</v>
      </c>
    </row>
    <row r="502" spans="2:7" x14ac:dyDescent="0.35">
      <c r="B502" s="4">
        <v>44905</v>
      </c>
      <c r="C502" s="6" t="s">
        <v>5</v>
      </c>
      <c r="D5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2" s="7">
        <v>68.55</v>
      </c>
      <c r="F502" s="9">
        <v>2.3513250000000001</v>
      </c>
      <c r="G502" s="11">
        <v>52.726949719565653</v>
      </c>
    </row>
    <row r="503" spans="2:7" x14ac:dyDescent="0.35">
      <c r="B503" s="4">
        <v>44908</v>
      </c>
      <c r="C503" s="6" t="s">
        <v>5</v>
      </c>
      <c r="D5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3" s="7">
        <v>64.86</v>
      </c>
      <c r="F503" s="9">
        <v>2.501125</v>
      </c>
      <c r="G503" s="11">
        <v>52.80393218784365</v>
      </c>
    </row>
    <row r="504" spans="2:7" x14ac:dyDescent="0.35">
      <c r="B504" s="4">
        <v>44909</v>
      </c>
      <c r="C504" s="6" t="s">
        <v>5</v>
      </c>
      <c r="D5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4" s="7">
        <v>67.459999999999994</v>
      </c>
      <c r="F504" s="9">
        <v>3.6487000000000003</v>
      </c>
      <c r="G504" s="11">
        <v>51.763543227091638</v>
      </c>
    </row>
    <row r="505" spans="2:7" x14ac:dyDescent="0.35">
      <c r="B505" s="4">
        <v>44912</v>
      </c>
      <c r="C505" s="6" t="s">
        <v>5</v>
      </c>
      <c r="D5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5" s="7">
        <v>33.93</v>
      </c>
      <c r="F505" s="9">
        <v>0.48150000000000004</v>
      </c>
      <c r="G505" s="11">
        <v>51.889897869103891</v>
      </c>
    </row>
    <row r="506" spans="2:7" x14ac:dyDescent="0.35">
      <c r="B506" s="4">
        <v>44957</v>
      </c>
      <c r="C506" s="6" t="s">
        <v>5</v>
      </c>
      <c r="D5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6" s="7">
        <v>18.22</v>
      </c>
      <c r="F506" s="9">
        <v>1.6852500000000001</v>
      </c>
      <c r="G506" s="11">
        <v>51.860087699441564</v>
      </c>
    </row>
    <row r="507" spans="2:7" x14ac:dyDescent="0.35">
      <c r="B507" s="4">
        <v>44966</v>
      </c>
      <c r="C507" s="6" t="s">
        <v>5</v>
      </c>
      <c r="D5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7" s="7">
        <v>36.090000000000003</v>
      </c>
      <c r="F507" s="9">
        <v>0.45474999999999999</v>
      </c>
      <c r="G507" s="11">
        <v>51.899155059517859</v>
      </c>
    </row>
    <row r="508" spans="2:7" x14ac:dyDescent="0.35">
      <c r="B508" s="4">
        <v>44967</v>
      </c>
      <c r="C508" s="6" t="s">
        <v>5</v>
      </c>
      <c r="D5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8" s="7">
        <v>67.59</v>
      </c>
      <c r="F508" s="9">
        <v>0.33437499999999998</v>
      </c>
      <c r="G508" s="11">
        <v>54.402811513020055</v>
      </c>
    </row>
    <row r="509" spans="2:7" x14ac:dyDescent="0.35">
      <c r="B509" s="4">
        <v>44968</v>
      </c>
      <c r="C509" s="6" t="s">
        <v>5</v>
      </c>
      <c r="D5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09" s="7">
        <v>64.680000000000007</v>
      </c>
      <c r="F509" s="9">
        <v>1.0325500000000001</v>
      </c>
      <c r="G509" s="11">
        <v>53.704105150722469</v>
      </c>
    </row>
    <row r="510" spans="2:7" x14ac:dyDescent="0.35">
      <c r="B510" s="4">
        <v>44970</v>
      </c>
      <c r="C510" s="6" t="s">
        <v>5</v>
      </c>
      <c r="D5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0" s="7">
        <v>29.12</v>
      </c>
      <c r="F510" s="9">
        <v>2.9692500000000002</v>
      </c>
      <c r="G510" s="11">
        <v>52.890337767954975</v>
      </c>
    </row>
    <row r="511" spans="2:7" x14ac:dyDescent="0.35">
      <c r="B511" s="4">
        <v>44971</v>
      </c>
      <c r="C511" s="6" t="s">
        <v>5</v>
      </c>
      <c r="D5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1" s="7">
        <v>35.19</v>
      </c>
      <c r="F511" s="9">
        <v>1.1984000000000001</v>
      </c>
      <c r="G511" s="11">
        <v>53.864328929788506</v>
      </c>
    </row>
    <row r="512" spans="2:7" x14ac:dyDescent="0.35">
      <c r="B512" s="4">
        <v>44972</v>
      </c>
      <c r="C512" s="6" t="s">
        <v>5</v>
      </c>
      <c r="D5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2" s="7">
        <v>208.02</v>
      </c>
      <c r="F512" s="9">
        <v>0.47882500000000006</v>
      </c>
      <c r="G512" s="11">
        <v>54.588983714948611</v>
      </c>
    </row>
    <row r="513" spans="2:7" x14ac:dyDescent="0.35">
      <c r="B513" s="4">
        <v>44973</v>
      </c>
      <c r="C513" s="6" t="s">
        <v>5</v>
      </c>
      <c r="D5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3" s="7">
        <v>43.79</v>
      </c>
      <c r="F513" s="9">
        <v>1.1047750000000001</v>
      </c>
      <c r="G513" s="11">
        <v>53.447329703304959</v>
      </c>
    </row>
    <row r="514" spans="2:7" x14ac:dyDescent="0.35">
      <c r="B514" s="4">
        <v>44974</v>
      </c>
      <c r="C514" s="6" t="s">
        <v>5</v>
      </c>
      <c r="D5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4" s="7">
        <v>218.62</v>
      </c>
      <c r="F514" s="9">
        <v>1.8029500000000001</v>
      </c>
      <c r="G514" s="11">
        <v>53.242715570442954</v>
      </c>
    </row>
    <row r="515" spans="2:7" x14ac:dyDescent="0.35">
      <c r="B515" s="4">
        <v>44975</v>
      </c>
      <c r="C515" s="6" t="s">
        <v>5</v>
      </c>
      <c r="D5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5" s="7">
        <v>172.45</v>
      </c>
      <c r="F515" s="9">
        <v>0.75970000000000004</v>
      </c>
      <c r="G515" s="11">
        <v>53.946289183316679</v>
      </c>
    </row>
    <row r="516" spans="2:7" x14ac:dyDescent="0.35">
      <c r="B516" s="4">
        <v>44977</v>
      </c>
      <c r="C516" s="6" t="s">
        <v>5</v>
      </c>
      <c r="D5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6" s="7">
        <v>36.020000000000003</v>
      </c>
      <c r="F516" s="9">
        <v>2.0972</v>
      </c>
      <c r="G516" s="11">
        <v>53.059936839669831</v>
      </c>
    </row>
    <row r="517" spans="2:7" x14ac:dyDescent="0.35">
      <c r="B517" s="4">
        <v>44978</v>
      </c>
      <c r="C517" s="6" t="s">
        <v>5</v>
      </c>
      <c r="D5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7" s="7">
        <v>178.59</v>
      </c>
      <c r="F517" s="9">
        <v>2.0784750000000001</v>
      </c>
      <c r="G517" s="11">
        <v>52.966257967767689</v>
      </c>
    </row>
    <row r="518" spans="2:7" x14ac:dyDescent="0.35">
      <c r="B518" s="4">
        <v>44979</v>
      </c>
      <c r="C518" s="6" t="s">
        <v>5</v>
      </c>
      <c r="D5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8" s="7">
        <v>256.04000000000002</v>
      </c>
      <c r="F518" s="9">
        <v>0.53767500000000001</v>
      </c>
      <c r="G518" s="11">
        <v>53.793663837372321</v>
      </c>
    </row>
    <row r="519" spans="2:7" x14ac:dyDescent="0.35">
      <c r="B519" s="4">
        <v>44980</v>
      </c>
      <c r="C519" s="6" t="s">
        <v>5</v>
      </c>
      <c r="D5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19" s="7">
        <v>65.19</v>
      </c>
      <c r="F519" s="9">
        <v>1.3241250000000002</v>
      </c>
      <c r="G519" s="11">
        <v>53.085143783079388</v>
      </c>
    </row>
    <row r="520" spans="2:7" x14ac:dyDescent="0.35">
      <c r="B520" s="4">
        <v>44981</v>
      </c>
      <c r="C520" s="6" t="s">
        <v>5</v>
      </c>
      <c r="D5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0" s="7">
        <v>280.24</v>
      </c>
      <c r="F520" s="9">
        <v>4.2559250000000004</v>
      </c>
      <c r="G520" s="11">
        <v>51.461447034105667</v>
      </c>
    </row>
    <row r="521" spans="2:7" x14ac:dyDescent="0.35">
      <c r="B521" s="4">
        <v>44982</v>
      </c>
      <c r="C521" s="6" t="s">
        <v>5</v>
      </c>
      <c r="D5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1" s="7">
        <v>290.58999999999997</v>
      </c>
      <c r="F521" s="9">
        <v>0.55640000000000001</v>
      </c>
      <c r="G521" s="11">
        <v>54.34409622293505</v>
      </c>
    </row>
    <row r="522" spans="2:7" x14ac:dyDescent="0.35">
      <c r="B522" s="4">
        <v>44984</v>
      </c>
      <c r="C522" s="6" t="s">
        <v>5</v>
      </c>
      <c r="D5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2" s="7">
        <v>260.70999999999998</v>
      </c>
      <c r="F522" s="9">
        <v>1.0512750000000002</v>
      </c>
      <c r="G522" s="11">
        <v>53.267547593962412</v>
      </c>
    </row>
    <row r="523" spans="2:7" x14ac:dyDescent="0.35">
      <c r="B523" s="4">
        <v>44985</v>
      </c>
      <c r="C523" s="6" t="s">
        <v>5</v>
      </c>
      <c r="D5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3" s="7">
        <v>336.64</v>
      </c>
      <c r="F523" s="9">
        <v>3.9830750000000004</v>
      </c>
      <c r="G523" s="11">
        <v>51.514104507795324</v>
      </c>
    </row>
    <row r="524" spans="2:7" x14ac:dyDescent="0.35">
      <c r="B524" s="4">
        <v>44986</v>
      </c>
      <c r="C524" s="6" t="s">
        <v>5</v>
      </c>
      <c r="D5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4" s="7">
        <v>287.95999999999998</v>
      </c>
      <c r="F524" s="9">
        <v>0.39590000000000003</v>
      </c>
      <c r="G524" s="11">
        <v>54.395538584527515</v>
      </c>
    </row>
    <row r="525" spans="2:7" x14ac:dyDescent="0.35">
      <c r="B525" s="4">
        <v>44987</v>
      </c>
      <c r="C525" s="6" t="s">
        <v>5</v>
      </c>
      <c r="D5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5" s="7">
        <v>441.02</v>
      </c>
      <c r="F525" s="9">
        <v>2.0972</v>
      </c>
      <c r="G525" s="11">
        <v>53.187669432856573</v>
      </c>
    </row>
    <row r="526" spans="2:7" x14ac:dyDescent="0.35">
      <c r="B526" s="4">
        <v>44988</v>
      </c>
      <c r="C526" s="6" t="s">
        <v>5</v>
      </c>
      <c r="D5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6" s="7">
        <v>203.11</v>
      </c>
      <c r="F526" s="9">
        <v>1.0780250000000002</v>
      </c>
      <c r="G526" s="11">
        <v>53.783035723472672</v>
      </c>
    </row>
    <row r="527" spans="2:7" x14ac:dyDescent="0.35">
      <c r="B527" s="4">
        <v>44989</v>
      </c>
      <c r="C527" s="6" t="s">
        <v>5</v>
      </c>
      <c r="D5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7" s="7">
        <v>237.76</v>
      </c>
      <c r="F527" s="9">
        <v>1.393675</v>
      </c>
      <c r="G527" s="11">
        <v>53.393131410256409</v>
      </c>
    </row>
    <row r="528" spans="2:7" x14ac:dyDescent="0.35">
      <c r="B528" s="4">
        <v>44991</v>
      </c>
      <c r="C528" s="6" t="s">
        <v>5</v>
      </c>
      <c r="D5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8" s="7">
        <v>329.91</v>
      </c>
      <c r="F528" s="9">
        <v>0.66874999999999996</v>
      </c>
      <c r="G528" s="11">
        <v>54.144792759948011</v>
      </c>
    </row>
    <row r="529" spans="2:7" x14ac:dyDescent="0.35">
      <c r="B529" s="4">
        <v>44992</v>
      </c>
      <c r="C529" s="6" t="s">
        <v>5</v>
      </c>
      <c r="D5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29" s="7">
        <v>185.43</v>
      </c>
      <c r="F529" s="9">
        <v>0.63129999999999997</v>
      </c>
      <c r="G529" s="11">
        <v>54.060652990392313</v>
      </c>
    </row>
    <row r="530" spans="2:7" x14ac:dyDescent="0.35">
      <c r="B530" s="4">
        <v>44993</v>
      </c>
      <c r="C530" s="6" t="s">
        <v>5</v>
      </c>
      <c r="D5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0" s="7">
        <v>250.1</v>
      </c>
      <c r="F530" s="9">
        <v>1.04325</v>
      </c>
      <c r="G530" s="11">
        <v>53.407568074877041</v>
      </c>
    </row>
    <row r="531" spans="2:7" x14ac:dyDescent="0.35">
      <c r="B531" s="4">
        <v>44994</v>
      </c>
      <c r="C531" s="6" t="s">
        <v>5</v>
      </c>
      <c r="D5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1" s="7">
        <v>73.97</v>
      </c>
      <c r="F531" s="9">
        <v>0.21934999999999999</v>
      </c>
      <c r="G531" s="11">
        <v>54.515149999999998</v>
      </c>
    </row>
    <row r="532" spans="2:7" x14ac:dyDescent="0.35">
      <c r="B532" s="4">
        <v>44995</v>
      </c>
      <c r="C532" s="6" t="s">
        <v>5</v>
      </c>
      <c r="D5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2" s="7">
        <v>161.07</v>
      </c>
      <c r="F532" s="9">
        <v>1.07</v>
      </c>
      <c r="G532" s="11">
        <v>53.371192606452261</v>
      </c>
    </row>
    <row r="533" spans="2:7" x14ac:dyDescent="0.35">
      <c r="B533" s="4">
        <v>44996</v>
      </c>
      <c r="C533" s="6" t="s">
        <v>5</v>
      </c>
      <c r="D5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3" s="7">
        <v>340.41</v>
      </c>
      <c r="F533" s="9">
        <v>2.6001000000000003</v>
      </c>
      <c r="G533" s="11">
        <v>53.181039830695255</v>
      </c>
    </row>
    <row r="534" spans="2:7" x14ac:dyDescent="0.35">
      <c r="B534" s="4">
        <v>44999</v>
      </c>
      <c r="C534" s="6" t="s">
        <v>5</v>
      </c>
      <c r="D5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4" s="7">
        <v>369.69</v>
      </c>
      <c r="F534" s="9">
        <v>0.65537500000000004</v>
      </c>
      <c r="G534" s="11">
        <v>54.105777581423403</v>
      </c>
    </row>
    <row r="535" spans="2:7" x14ac:dyDescent="0.35">
      <c r="B535" s="4">
        <v>45000</v>
      </c>
      <c r="C535" s="6" t="s">
        <v>5</v>
      </c>
      <c r="D5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5" s="7">
        <v>187.89</v>
      </c>
      <c r="F535" s="9">
        <v>1.5381250000000002</v>
      </c>
      <c r="G535" s="11">
        <v>53.883218782435129</v>
      </c>
    </row>
    <row r="536" spans="2:7" x14ac:dyDescent="0.35">
      <c r="B536" s="4">
        <v>45001</v>
      </c>
      <c r="C536" s="6" t="s">
        <v>5</v>
      </c>
      <c r="D5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6" s="7">
        <v>214.58</v>
      </c>
      <c r="F536" s="9">
        <v>0.382525</v>
      </c>
      <c r="G536" s="11">
        <v>54.409304500800722</v>
      </c>
    </row>
    <row r="537" spans="2:7" x14ac:dyDescent="0.35">
      <c r="B537" s="4">
        <v>45002</v>
      </c>
      <c r="C537" s="6" t="s">
        <v>5</v>
      </c>
      <c r="D5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7" s="7">
        <v>279.58999999999997</v>
      </c>
      <c r="F537" s="9">
        <v>0.44137500000000002</v>
      </c>
      <c r="G537" s="11">
        <v>54.478108087426222</v>
      </c>
    </row>
    <row r="538" spans="2:7" x14ac:dyDescent="0.35">
      <c r="B538" s="4">
        <v>45003</v>
      </c>
      <c r="C538" s="6" t="s">
        <v>5</v>
      </c>
      <c r="D5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8" s="7">
        <v>93.28</v>
      </c>
      <c r="F538" s="9">
        <v>1.2091000000000001</v>
      </c>
      <c r="G538" s="11">
        <v>53.944852094689033</v>
      </c>
    </row>
    <row r="539" spans="2:7" x14ac:dyDescent="0.35">
      <c r="B539" s="4">
        <v>45006</v>
      </c>
      <c r="C539" s="6" t="s">
        <v>5</v>
      </c>
      <c r="D5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39" s="7">
        <v>241.04</v>
      </c>
      <c r="F539" s="9">
        <v>0.75167500000000009</v>
      </c>
      <c r="G539" s="11">
        <v>53.865411322941647</v>
      </c>
    </row>
    <row r="540" spans="2:7" x14ac:dyDescent="0.35">
      <c r="B540" s="4">
        <v>45008</v>
      </c>
      <c r="C540" s="6" t="s">
        <v>5</v>
      </c>
      <c r="D5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40" s="7">
        <v>153.87</v>
      </c>
      <c r="F540" s="9">
        <v>1.1208250000000002</v>
      </c>
      <c r="G540" s="11">
        <v>53.939728909845911</v>
      </c>
    </row>
    <row r="541" spans="2:7" x14ac:dyDescent="0.35">
      <c r="B541" s="4">
        <v>45009</v>
      </c>
      <c r="C541" s="6" t="s">
        <v>5</v>
      </c>
      <c r="D5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41" s="7">
        <v>207.94</v>
      </c>
      <c r="F541" s="9">
        <v>0.80249999999999999</v>
      </c>
      <c r="G541" s="11">
        <v>52.964897859708643</v>
      </c>
    </row>
    <row r="542" spans="2:7" x14ac:dyDescent="0.35">
      <c r="B542" s="4">
        <v>45010</v>
      </c>
      <c r="C542" s="6" t="s">
        <v>5</v>
      </c>
      <c r="D5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42" s="7">
        <v>95.66</v>
      </c>
      <c r="F542" s="9">
        <v>1.6825750000000002</v>
      </c>
      <c r="G542" s="11">
        <v>52.570101923076919</v>
      </c>
    </row>
    <row r="543" spans="2:7" x14ac:dyDescent="0.35">
      <c r="B543" s="4">
        <v>45017</v>
      </c>
      <c r="C543" s="6" t="s">
        <v>5</v>
      </c>
      <c r="D5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543" s="7">
        <v>973.6</v>
      </c>
      <c r="F543" s="9">
        <v>1.773525</v>
      </c>
      <c r="G543" s="11">
        <v>53.068606454653704</v>
      </c>
    </row>
    <row r="544" spans="2:7" x14ac:dyDescent="0.35">
      <c r="B544" s="4">
        <v>44996</v>
      </c>
      <c r="C544" s="6" t="s">
        <v>11</v>
      </c>
      <c r="D544" s="6" t="str">
        <f>IF(ISNUMBER(MATCH(ING_PRV[[#This Row],[Proveedor]],PARAMETROS!$A$2:$A$8,0)),"COMPRADA",
                    IF(ISNUMBER(MATCH(ING_PRV[[#This Row],[Proveedor]],PARAMETROS!$B$2:$B$8,0)),"PROPIA","NA")
)</f>
        <v>NA</v>
      </c>
      <c r="E544" s="7">
        <v>20</v>
      </c>
      <c r="F544" s="9">
        <v>2.0329999999999999</v>
      </c>
      <c r="G544" s="11">
        <v>52.965370096463026</v>
      </c>
    </row>
    <row r="545" spans="2:9" x14ac:dyDescent="0.35">
      <c r="B545" s="4">
        <v>45017</v>
      </c>
      <c r="C545" s="6" t="s">
        <v>11</v>
      </c>
      <c r="D545" s="6" t="str">
        <f>IF(ISNUMBER(MATCH(ING_PRV[[#This Row],[Proveedor]],PARAMETROS!$A$2:$A$8,0)),"COMPRADA",
                    IF(ISNUMBER(MATCH(ING_PRV[[#This Row],[Proveedor]],PARAMETROS!$B$2:$B$8,0)),"PROPIA","NA")
)</f>
        <v>NA</v>
      </c>
      <c r="E545" s="7">
        <v>79.489999999999995</v>
      </c>
      <c r="F545" s="9">
        <v>2.362025</v>
      </c>
      <c r="G545" s="11">
        <v>48.196788817109883</v>
      </c>
    </row>
    <row r="546" spans="2:9" x14ac:dyDescent="0.35">
      <c r="B546" s="4">
        <v>44805</v>
      </c>
      <c r="C546" s="6" t="s">
        <v>12</v>
      </c>
      <c r="D546" s="6" t="str">
        <f>IF(ISNUMBER(MATCH(ING_PRV[[#This Row],[Proveedor]],PARAMETROS!$A$2:$A$8,0)),"COMPRADA",
                    IF(ISNUMBER(MATCH(ING_PRV[[#This Row],[Proveedor]],PARAMETROS!$B$2:$B$8,0)),"PROPIA","NA")
)</f>
        <v>NA</v>
      </c>
      <c r="E546" s="7">
        <v>745.3</v>
      </c>
      <c r="F546" s="9">
        <v>2.8836499999999998</v>
      </c>
      <c r="G546" s="11">
        <v>52.464384054351079</v>
      </c>
      <c r="I546" s="28"/>
    </row>
    <row r="547" spans="2:9" x14ac:dyDescent="0.35">
      <c r="B547" s="4">
        <v>44806</v>
      </c>
      <c r="C547" s="6" t="s">
        <v>12</v>
      </c>
      <c r="D547" s="6" t="str">
        <f>IF(ISNUMBER(MATCH(ING_PRV[[#This Row],[Proveedor]],PARAMETROS!$A$2:$A$8,0)),"COMPRADA",
                    IF(ISNUMBER(MATCH(ING_PRV[[#This Row],[Proveedor]],PARAMETROS!$B$2:$B$8,0)),"PROPIA","NA")
)</f>
        <v>NA</v>
      </c>
      <c r="E547" s="7">
        <v>448.14</v>
      </c>
      <c r="F547" s="9">
        <v>3.9215500000000003</v>
      </c>
      <c r="G547" s="11">
        <v>50.961410127385356</v>
      </c>
      <c r="I547" s="28"/>
    </row>
    <row r="548" spans="2:9" x14ac:dyDescent="0.35">
      <c r="B548" s="4">
        <v>44807</v>
      </c>
      <c r="C548" s="6" t="s">
        <v>12</v>
      </c>
      <c r="D548" s="6" t="str">
        <f>IF(ISNUMBER(MATCH(ING_PRV[[#This Row],[Proveedor]],PARAMETROS!$A$2:$A$8,0)),"COMPRADA",
                    IF(ISNUMBER(MATCH(ING_PRV[[#This Row],[Proveedor]],PARAMETROS!$B$2:$B$8,0)),"PROPIA","NA")
)</f>
        <v>NA</v>
      </c>
      <c r="E548" s="7">
        <v>495.77</v>
      </c>
      <c r="F548" s="9">
        <v>1.1636249999999999</v>
      </c>
      <c r="G548" s="11">
        <v>54.063623072301219</v>
      </c>
      <c r="I548" s="28"/>
    </row>
    <row r="549" spans="2:9" x14ac:dyDescent="0.35">
      <c r="B549" s="4">
        <v>44809</v>
      </c>
      <c r="C549" s="6" t="s">
        <v>12</v>
      </c>
      <c r="D549" s="6" t="str">
        <f>IF(ISNUMBER(MATCH(ING_PRV[[#This Row],[Proveedor]],PARAMETROS!$A$2:$A$8,0)),"COMPRADA",
                    IF(ISNUMBER(MATCH(ING_PRV[[#This Row],[Proveedor]],PARAMETROS!$B$2:$B$8,0)),"PROPIA","NA")
)</f>
        <v>NA</v>
      </c>
      <c r="E549" s="7">
        <v>857.64</v>
      </c>
      <c r="F549" s="9">
        <v>3.3812000000000002</v>
      </c>
      <c r="G549" s="11">
        <v>51.920653324518511</v>
      </c>
      <c r="I549" s="28"/>
    </row>
    <row r="550" spans="2:9" x14ac:dyDescent="0.35">
      <c r="B550" s="4">
        <v>44810</v>
      </c>
      <c r="C550" s="6" t="s">
        <v>12</v>
      </c>
      <c r="D550" s="6" t="str">
        <f>IF(ISNUMBER(MATCH(ING_PRV[[#This Row],[Proveedor]],PARAMETROS!$A$2:$A$8,0)),"COMPRADA",
                    IF(ISNUMBER(MATCH(ING_PRV[[#This Row],[Proveedor]],PARAMETROS!$B$2:$B$8,0)),"PROPIA","NA")
)</f>
        <v>NA</v>
      </c>
      <c r="E550" s="7">
        <v>1126.3</v>
      </c>
      <c r="F550" s="9">
        <v>2.7284999999999999</v>
      </c>
      <c r="G550" s="11">
        <v>52.904910468781367</v>
      </c>
      <c r="I550" s="28"/>
    </row>
    <row r="551" spans="2:9" x14ac:dyDescent="0.35">
      <c r="B551" s="4">
        <v>44811</v>
      </c>
      <c r="C551" s="6" t="s">
        <v>12</v>
      </c>
      <c r="D551" s="6" t="str">
        <f>IF(ISNUMBER(MATCH(ING_PRV[[#This Row],[Proveedor]],PARAMETROS!$A$2:$A$8,0)),"COMPRADA",
                    IF(ISNUMBER(MATCH(ING_PRV[[#This Row],[Proveedor]],PARAMETROS!$B$2:$B$8,0)),"PROPIA","NA")
)</f>
        <v>NA</v>
      </c>
      <c r="E551" s="7">
        <v>848.3</v>
      </c>
      <c r="F551" s="9">
        <v>1.1770000000000003</v>
      </c>
      <c r="G551" s="11">
        <v>53.243784815520357</v>
      </c>
      <c r="I551" s="28"/>
    </row>
    <row r="552" spans="2:9" x14ac:dyDescent="0.35">
      <c r="B552" s="4">
        <v>44812</v>
      </c>
      <c r="C552" s="6" t="s">
        <v>12</v>
      </c>
      <c r="D552" s="6" t="str">
        <f>IF(ISNUMBER(MATCH(ING_PRV[[#This Row],[Proveedor]],PARAMETROS!$A$2:$A$8,0)),"COMPRADA",
                    IF(ISNUMBER(MATCH(ING_PRV[[#This Row],[Proveedor]],PARAMETROS!$B$2:$B$8,0)),"PROPIA","NA")
)</f>
        <v>NA</v>
      </c>
      <c r="E552" s="7">
        <v>510.66</v>
      </c>
      <c r="F552" s="9">
        <v>1.8671500000000003</v>
      </c>
      <c r="G552" s="11">
        <v>53.60015331366273</v>
      </c>
      <c r="I552" s="28"/>
    </row>
    <row r="553" spans="2:9" x14ac:dyDescent="0.35">
      <c r="B553" s="4">
        <v>44813</v>
      </c>
      <c r="C553" s="6" t="s">
        <v>12</v>
      </c>
      <c r="D553" s="6" t="str">
        <f>IF(ISNUMBER(MATCH(ING_PRV[[#This Row],[Proveedor]],PARAMETROS!$A$2:$A$8,0)),"COMPRADA",
                    IF(ISNUMBER(MATCH(ING_PRV[[#This Row],[Proveedor]],PARAMETROS!$B$2:$B$8,0)),"PROPIA","NA")
)</f>
        <v>NA</v>
      </c>
      <c r="E553" s="7">
        <v>482.83</v>
      </c>
      <c r="F553" s="9">
        <v>1.3803000000000001</v>
      </c>
      <c r="G553" s="11">
        <v>53.843038469244632</v>
      </c>
      <c r="I553" s="28"/>
    </row>
    <row r="554" spans="2:9" x14ac:dyDescent="0.35">
      <c r="B554" s="4">
        <v>44814</v>
      </c>
      <c r="C554" s="6" t="s">
        <v>12</v>
      </c>
      <c r="D554" s="6" t="str">
        <f>IF(ISNUMBER(MATCH(ING_PRV[[#This Row],[Proveedor]],PARAMETROS!$A$2:$A$8,0)),"COMPRADA",
                    IF(ISNUMBER(MATCH(ING_PRV[[#This Row],[Proveedor]],PARAMETROS!$B$2:$B$8,0)),"PROPIA","NA")
)</f>
        <v>NA</v>
      </c>
      <c r="E554" s="7">
        <v>687.81</v>
      </c>
      <c r="F554" s="9">
        <v>1.1609499999999999</v>
      </c>
      <c r="G554" s="11">
        <v>53.739620506658653</v>
      </c>
      <c r="I554" s="28"/>
    </row>
    <row r="555" spans="2:9" x14ac:dyDescent="0.35">
      <c r="B555" s="4">
        <v>44816</v>
      </c>
      <c r="C555" s="6" t="s">
        <v>12</v>
      </c>
      <c r="D555" s="6" t="str">
        <f>IF(ISNUMBER(MATCH(ING_PRV[[#This Row],[Proveedor]],PARAMETROS!$A$2:$A$8,0)),"COMPRADA",
                    IF(ISNUMBER(MATCH(ING_PRV[[#This Row],[Proveedor]],PARAMETROS!$B$2:$B$8,0)),"PROPIA","NA")
)</f>
        <v>NA</v>
      </c>
      <c r="E555" s="7">
        <v>628.91</v>
      </c>
      <c r="F555" s="9">
        <v>1.7521250000000002</v>
      </c>
      <c r="G555" s="11">
        <v>53.067569987462385</v>
      </c>
      <c r="I555" s="28"/>
    </row>
    <row r="556" spans="2:9" x14ac:dyDescent="0.35">
      <c r="B556" s="4">
        <v>44817</v>
      </c>
      <c r="C556" s="6" t="s">
        <v>12</v>
      </c>
      <c r="D556" s="6" t="str">
        <f>IF(ISNUMBER(MATCH(ING_PRV[[#This Row],[Proveedor]],PARAMETROS!$A$2:$A$8,0)),"COMPRADA",
                    IF(ISNUMBER(MATCH(ING_PRV[[#This Row],[Proveedor]],PARAMETROS!$B$2:$B$8,0)),"PROPIA","NA")
)</f>
        <v>NA</v>
      </c>
      <c r="E556" s="7">
        <v>583.5</v>
      </c>
      <c r="F556" s="9">
        <v>1.1000000000000001</v>
      </c>
      <c r="G556" s="11">
        <v>53.1</v>
      </c>
      <c r="I556" s="28"/>
    </row>
    <row r="557" spans="2:9" x14ac:dyDescent="0.35">
      <c r="B557" s="4">
        <v>44818</v>
      </c>
      <c r="C557" s="6" t="s">
        <v>12</v>
      </c>
      <c r="D557" s="6" t="str">
        <f>IF(ISNUMBER(MATCH(ING_PRV[[#This Row],[Proveedor]],PARAMETROS!$A$2:$A$8,0)),"COMPRADA",
                    IF(ISNUMBER(MATCH(ING_PRV[[#This Row],[Proveedor]],PARAMETROS!$B$2:$B$8,0)),"PROPIA","NA")
)</f>
        <v>NA</v>
      </c>
      <c r="E557" s="7">
        <v>922.12</v>
      </c>
      <c r="F557" s="9">
        <v>2.48</v>
      </c>
      <c r="G557" s="11">
        <v>52.1</v>
      </c>
      <c r="I557" s="28"/>
    </row>
    <row r="558" spans="2:9" x14ac:dyDescent="0.35">
      <c r="B558" s="4">
        <v>44819</v>
      </c>
      <c r="C558" s="6" t="s">
        <v>12</v>
      </c>
      <c r="D558" s="6" t="str">
        <f>IF(ISNUMBER(MATCH(ING_PRV[[#This Row],[Proveedor]],PARAMETROS!$A$2:$A$8,0)),"COMPRADA",
                    IF(ISNUMBER(MATCH(ING_PRV[[#This Row],[Proveedor]],PARAMETROS!$B$2:$B$8,0)),"PROPIA","NA")
)</f>
        <v>NA</v>
      </c>
      <c r="E558" s="7">
        <v>858.18</v>
      </c>
      <c r="F558" s="9">
        <v>1.03</v>
      </c>
      <c r="G558" s="11">
        <v>53.1</v>
      </c>
      <c r="I558" s="28"/>
    </row>
    <row r="559" spans="2:9" x14ac:dyDescent="0.35">
      <c r="B559" s="4">
        <v>44820</v>
      </c>
      <c r="C559" s="6" t="s">
        <v>12</v>
      </c>
      <c r="D559" s="6" t="str">
        <f>IF(ISNUMBER(MATCH(ING_PRV[[#This Row],[Proveedor]],PARAMETROS!$A$2:$A$8,0)),"COMPRADA",
                    IF(ISNUMBER(MATCH(ING_PRV[[#This Row],[Proveedor]],PARAMETROS!$B$2:$B$8,0)),"PROPIA","NA")
)</f>
        <v>NA</v>
      </c>
      <c r="E559" s="7">
        <v>505.92</v>
      </c>
      <c r="F559" s="9">
        <v>0.67</v>
      </c>
      <c r="G559" s="11">
        <v>52.1</v>
      </c>
      <c r="I559" s="28"/>
    </row>
    <row r="560" spans="2:9" x14ac:dyDescent="0.35">
      <c r="B560" s="4">
        <v>44821</v>
      </c>
      <c r="C560" s="6" t="s">
        <v>12</v>
      </c>
      <c r="D560" s="6" t="str">
        <f>IF(ISNUMBER(MATCH(ING_PRV[[#This Row],[Proveedor]],PARAMETROS!$A$2:$A$8,0)),"COMPRADA",
                    IF(ISNUMBER(MATCH(ING_PRV[[#This Row],[Proveedor]],PARAMETROS!$B$2:$B$8,0)),"PROPIA","NA")
)</f>
        <v>NA</v>
      </c>
      <c r="E560" s="7">
        <v>339.46</v>
      </c>
      <c r="F560" s="9">
        <v>3.34</v>
      </c>
      <c r="G560" s="11">
        <v>50.8</v>
      </c>
      <c r="I560" s="28"/>
    </row>
    <row r="561" spans="2:9" x14ac:dyDescent="0.35">
      <c r="B561" s="4">
        <v>44823</v>
      </c>
      <c r="C561" s="6" t="s">
        <v>12</v>
      </c>
      <c r="D561" s="6" t="str">
        <f>IF(ISNUMBER(MATCH(ING_PRV[[#This Row],[Proveedor]],PARAMETROS!$A$2:$A$8,0)),"COMPRADA",
                    IF(ISNUMBER(MATCH(ING_PRV[[#This Row],[Proveedor]],PARAMETROS!$B$2:$B$8,0)),"PROPIA","NA")
)</f>
        <v>NA</v>
      </c>
      <c r="E561" s="7">
        <v>667.27</v>
      </c>
      <c r="F561" s="9">
        <v>2.12</v>
      </c>
      <c r="G561" s="11">
        <v>52.5</v>
      </c>
      <c r="I561" s="28"/>
    </row>
    <row r="562" spans="2:9" x14ac:dyDescent="0.35">
      <c r="B562" s="4">
        <v>44825</v>
      </c>
      <c r="C562" s="6" t="s">
        <v>12</v>
      </c>
      <c r="D562" s="6" t="str">
        <f>IF(ISNUMBER(MATCH(ING_PRV[[#This Row],[Proveedor]],PARAMETROS!$A$2:$A$8,0)),"COMPRADA",
                    IF(ISNUMBER(MATCH(ING_PRV[[#This Row],[Proveedor]],PARAMETROS!$B$2:$B$8,0)),"PROPIA","NA")
)</f>
        <v>NA</v>
      </c>
      <c r="E562" s="7">
        <v>546.14</v>
      </c>
      <c r="F562" s="9">
        <v>1.22</v>
      </c>
      <c r="G562" s="11">
        <v>52</v>
      </c>
      <c r="I562" s="28"/>
    </row>
    <row r="563" spans="2:9" x14ac:dyDescent="0.35">
      <c r="B563" s="4">
        <v>44827</v>
      </c>
      <c r="C563" s="6" t="s">
        <v>12</v>
      </c>
      <c r="D563" s="6" t="str">
        <f>IF(ISNUMBER(MATCH(ING_PRV[[#This Row],[Proveedor]],PARAMETROS!$A$2:$A$8,0)),"COMPRADA",
                    IF(ISNUMBER(MATCH(ING_PRV[[#This Row],[Proveedor]],PARAMETROS!$B$2:$B$8,0)),"PROPIA","NA")
)</f>
        <v>NA</v>
      </c>
      <c r="E563" s="7">
        <v>769.41</v>
      </c>
      <c r="F563" s="9">
        <v>1.259925</v>
      </c>
      <c r="G563" s="11">
        <v>51.469574321135774</v>
      </c>
      <c r="I563" s="28"/>
    </row>
    <row r="564" spans="2:9" x14ac:dyDescent="0.35">
      <c r="B564" s="4">
        <v>44828</v>
      </c>
      <c r="C564" s="6" t="s">
        <v>12</v>
      </c>
      <c r="D564" s="6" t="str">
        <f>IF(ISNUMBER(MATCH(ING_PRV[[#This Row],[Proveedor]],PARAMETROS!$A$2:$A$8,0)),"COMPRADA",
                    IF(ISNUMBER(MATCH(ING_PRV[[#This Row],[Proveedor]],PARAMETROS!$B$2:$B$8,0)),"PROPIA","NA")
)</f>
        <v>NA</v>
      </c>
      <c r="E564" s="7">
        <v>552.15</v>
      </c>
      <c r="F564" s="9">
        <v>2.5305500000000003</v>
      </c>
      <c r="G564" s="11">
        <v>51.131142264056727</v>
      </c>
      <c r="I564" s="28"/>
    </row>
    <row r="565" spans="2:9" x14ac:dyDescent="0.35">
      <c r="B565" s="4">
        <v>44830</v>
      </c>
      <c r="C565" s="6" t="s">
        <v>12</v>
      </c>
      <c r="D565" s="6" t="str">
        <f>IF(ISNUMBER(MATCH(ING_PRV[[#This Row],[Proveedor]],PARAMETROS!$A$2:$A$8,0)),"COMPRADA",
                    IF(ISNUMBER(MATCH(ING_PRV[[#This Row],[Proveedor]],PARAMETROS!$B$2:$B$8,0)),"PROPIA","NA")
)</f>
        <v>NA</v>
      </c>
      <c r="E565" s="7">
        <v>632.32000000000005</v>
      </c>
      <c r="F565" s="9">
        <v>1.4391500000000002</v>
      </c>
      <c r="G565" s="11">
        <v>53.306143981324283</v>
      </c>
      <c r="I565" s="28"/>
    </row>
    <row r="566" spans="2:9" x14ac:dyDescent="0.35">
      <c r="B566" s="4">
        <v>44831</v>
      </c>
      <c r="C566" s="6" t="s">
        <v>12</v>
      </c>
      <c r="D566" s="6" t="str">
        <f>IF(ISNUMBER(MATCH(ING_PRV[[#This Row],[Proveedor]],PARAMETROS!$A$2:$A$8,0)),"COMPRADA",
                    IF(ISNUMBER(MATCH(ING_PRV[[#This Row],[Proveedor]],PARAMETROS!$B$2:$B$8,0)),"PROPIA","NA")
)</f>
        <v>NA</v>
      </c>
      <c r="E566" s="7">
        <v>496.63</v>
      </c>
      <c r="F566" s="9">
        <v>1.6558250000000001</v>
      </c>
      <c r="G566" s="11">
        <v>52.015106829060684</v>
      </c>
      <c r="I566" s="28"/>
    </row>
    <row r="567" spans="2:9" x14ac:dyDescent="0.35">
      <c r="B567" s="4">
        <v>44832</v>
      </c>
      <c r="C567" s="6" t="s">
        <v>12</v>
      </c>
      <c r="D567" s="6" t="str">
        <f>IF(ISNUMBER(MATCH(ING_PRV[[#This Row],[Proveedor]],PARAMETROS!$A$2:$A$8,0)),"COMPRADA",
                    IF(ISNUMBER(MATCH(ING_PRV[[#This Row],[Proveedor]],PARAMETROS!$B$2:$B$8,0)),"PROPIA","NA")
)</f>
        <v>NA</v>
      </c>
      <c r="E567" s="7">
        <v>781.15</v>
      </c>
      <c r="F567" s="9">
        <v>1.6558250000000001</v>
      </c>
      <c r="G567" s="11">
        <v>52.015106829060684</v>
      </c>
      <c r="I567" s="28"/>
    </row>
    <row r="568" spans="2:9" x14ac:dyDescent="0.35">
      <c r="B568" s="4">
        <v>44833</v>
      </c>
      <c r="C568" s="6" t="s">
        <v>12</v>
      </c>
      <c r="D568" s="6" t="str">
        <f>IF(ISNUMBER(MATCH(ING_PRV[[#This Row],[Proveedor]],PARAMETROS!$A$2:$A$8,0)),"COMPRADA",
                    IF(ISNUMBER(MATCH(ING_PRV[[#This Row],[Proveedor]],PARAMETROS!$B$2:$B$8,0)),"PROPIA","NA")
)</f>
        <v>NA</v>
      </c>
      <c r="E568" s="7">
        <v>395.82</v>
      </c>
      <c r="F568" s="9">
        <v>2.02765</v>
      </c>
      <c r="G568" s="11">
        <v>51.611524701901068</v>
      </c>
      <c r="I568" s="28"/>
    </row>
    <row r="569" spans="2:9" x14ac:dyDescent="0.35">
      <c r="B569" s="4">
        <v>44834</v>
      </c>
      <c r="C569" s="6" t="s">
        <v>12</v>
      </c>
      <c r="D569" s="6" t="str">
        <f>IF(ISNUMBER(MATCH(ING_PRV[[#This Row],[Proveedor]],PARAMETROS!$A$2:$A$8,0)),"COMPRADA",
                    IF(ISNUMBER(MATCH(ING_PRV[[#This Row],[Proveedor]],PARAMETROS!$B$2:$B$8,0)),"PROPIA","NA")
)</f>
        <v>NA</v>
      </c>
      <c r="E569" s="7">
        <v>411.06</v>
      </c>
      <c r="F569" s="9">
        <v>1.4792750000000001</v>
      </c>
      <c r="G569" s="11">
        <v>53.71863970893142</v>
      </c>
      <c r="I569" s="28"/>
    </row>
    <row r="570" spans="2:9" x14ac:dyDescent="0.35">
      <c r="B570" s="4">
        <v>44839</v>
      </c>
      <c r="C570" s="6" t="s">
        <v>12</v>
      </c>
      <c r="D570" s="6" t="str">
        <f>IF(ISNUMBER(MATCH(ING_PRV[[#This Row],[Proveedor]],PARAMETROS!$A$2:$A$8,0)),"COMPRADA",
                    IF(ISNUMBER(MATCH(ING_PRV[[#This Row],[Proveedor]],PARAMETROS!$B$2:$B$8,0)),"PROPIA","NA")
)</f>
        <v>NA</v>
      </c>
      <c r="E570" s="7">
        <v>686.3</v>
      </c>
      <c r="F570" s="9">
        <v>2.2817750000000001</v>
      </c>
      <c r="G570" s="11">
        <v>52.765213393303348</v>
      </c>
      <c r="I570" s="28"/>
    </row>
    <row r="571" spans="2:9" x14ac:dyDescent="0.35">
      <c r="B571" s="4">
        <v>44840</v>
      </c>
      <c r="C571" s="6" t="s">
        <v>12</v>
      </c>
      <c r="D571" s="6" t="str">
        <f>IF(ISNUMBER(MATCH(ING_PRV[[#This Row],[Proveedor]],PARAMETROS!$A$2:$A$8,0)),"COMPRADA",
                    IF(ISNUMBER(MATCH(ING_PRV[[#This Row],[Proveedor]],PARAMETROS!$B$2:$B$8,0)),"PROPIA","NA")
)</f>
        <v>NA</v>
      </c>
      <c r="E571" s="7">
        <v>530.75</v>
      </c>
      <c r="F571" s="9">
        <v>1.284</v>
      </c>
      <c r="G571" s="11">
        <v>52.307732499749321</v>
      </c>
      <c r="I571" s="28"/>
    </row>
    <row r="572" spans="2:9" x14ac:dyDescent="0.35">
      <c r="B572" s="4">
        <v>44841</v>
      </c>
      <c r="C572" s="6" t="s">
        <v>12</v>
      </c>
      <c r="D572" s="6" t="str">
        <f>IF(ISNUMBER(MATCH(ING_PRV[[#This Row],[Proveedor]],PARAMETROS!$A$2:$A$8,0)),"COMPRADA",
                    IF(ISNUMBER(MATCH(ING_PRV[[#This Row],[Proveedor]],PARAMETROS!$B$2:$B$8,0)),"PROPIA","NA")
)</f>
        <v>NA</v>
      </c>
      <c r="E572" s="7">
        <v>430.46999999999991</v>
      </c>
      <c r="F572" s="9">
        <v>1.2224750000000002</v>
      </c>
      <c r="G572" s="11">
        <v>53.363123534827864</v>
      </c>
      <c r="I572" s="28"/>
    </row>
    <row r="573" spans="2:9" x14ac:dyDescent="0.35">
      <c r="B573" s="4">
        <v>44842</v>
      </c>
      <c r="C573" s="6" t="s">
        <v>12</v>
      </c>
      <c r="D573" s="6" t="str">
        <f>IF(ISNUMBER(MATCH(ING_PRV[[#This Row],[Proveedor]],PARAMETROS!$A$2:$A$8,0)),"COMPRADA",
                    IF(ISNUMBER(MATCH(ING_PRV[[#This Row],[Proveedor]],PARAMETROS!$B$2:$B$8,0)),"PROPIA","NA")
)</f>
        <v>NA</v>
      </c>
      <c r="E573" s="7">
        <v>422.82000000000005</v>
      </c>
      <c r="F573" s="9">
        <v>9.6835000000000004</v>
      </c>
      <c r="G573" s="11">
        <v>45.061169585541442</v>
      </c>
      <c r="I573" s="28"/>
    </row>
    <row r="574" spans="2:9" x14ac:dyDescent="0.35">
      <c r="B574" s="4">
        <v>44852</v>
      </c>
      <c r="C574" s="6" t="s">
        <v>12</v>
      </c>
      <c r="D574" s="6" t="str">
        <f>IF(ISNUMBER(MATCH(ING_PRV[[#This Row],[Proveedor]],PARAMETROS!$A$2:$A$8,0)),"COMPRADA",
                    IF(ISNUMBER(MATCH(ING_PRV[[#This Row],[Proveedor]],PARAMETROS!$B$2:$B$8,0)),"PROPIA","NA")
)</f>
        <v>NA</v>
      </c>
      <c r="E574" s="7">
        <v>283.27999999999997</v>
      </c>
      <c r="F574" s="9">
        <v>1.8484250000000002</v>
      </c>
      <c r="G574" s="11">
        <v>52.950560025556221</v>
      </c>
      <c r="I574" s="28"/>
    </row>
    <row r="575" spans="2:9" x14ac:dyDescent="0.35">
      <c r="B575" s="4">
        <v>44853</v>
      </c>
      <c r="C575" s="6" t="s">
        <v>12</v>
      </c>
      <c r="D575" s="6" t="str">
        <f>IF(ISNUMBER(MATCH(ING_PRV[[#This Row],[Proveedor]],PARAMETROS!$A$2:$A$8,0)),"COMPRADA",
                    IF(ISNUMBER(MATCH(ING_PRV[[#This Row],[Proveedor]],PARAMETROS!$B$2:$B$8,0)),"PROPIA","NA")
)</f>
        <v>NA</v>
      </c>
      <c r="E575" s="7">
        <v>672.75999999999988</v>
      </c>
      <c r="F575" s="9">
        <v>1.2064250000000001</v>
      </c>
      <c r="G575" s="11">
        <v>53.550414777277275</v>
      </c>
      <c r="I575" s="28"/>
    </row>
    <row r="576" spans="2:9" x14ac:dyDescent="0.35">
      <c r="B576" s="4">
        <v>44854</v>
      </c>
      <c r="C576" s="6" t="s">
        <v>12</v>
      </c>
      <c r="D576" s="6" t="str">
        <f>IF(ISNUMBER(MATCH(ING_PRV[[#This Row],[Proveedor]],PARAMETROS!$A$2:$A$8,0)),"COMPRADA",
                    IF(ISNUMBER(MATCH(ING_PRV[[#This Row],[Proveedor]],PARAMETROS!$B$2:$B$8,0)),"PROPIA","NA")
)</f>
        <v>NA</v>
      </c>
      <c r="E576" s="7">
        <v>626.61999999999989</v>
      </c>
      <c r="F576" s="9">
        <v>3.555075</v>
      </c>
      <c r="G576" s="11">
        <v>50.972699181972445</v>
      </c>
      <c r="I576" s="28"/>
    </row>
    <row r="577" spans="2:9" x14ac:dyDescent="0.35">
      <c r="B577" s="4">
        <v>44855</v>
      </c>
      <c r="C577" s="6" t="s">
        <v>12</v>
      </c>
      <c r="D577" s="6" t="str">
        <f>IF(ISNUMBER(MATCH(ING_PRV[[#This Row],[Proveedor]],PARAMETROS!$A$2:$A$8,0)),"COMPRADA",
                    IF(ISNUMBER(MATCH(ING_PRV[[#This Row],[Proveedor]],PARAMETROS!$B$2:$B$8,0)),"PROPIA","NA")
)</f>
        <v>NA</v>
      </c>
      <c r="E577" s="7">
        <v>610.12</v>
      </c>
      <c r="F577" s="9">
        <v>2.3192250000000003</v>
      </c>
      <c r="G577" s="11">
        <v>52.479215198380977</v>
      </c>
      <c r="I577" s="28"/>
    </row>
    <row r="578" spans="2:9" x14ac:dyDescent="0.35">
      <c r="B578" s="4">
        <v>44856</v>
      </c>
      <c r="C578" s="6" t="s">
        <v>12</v>
      </c>
      <c r="D578" s="6" t="str">
        <f>IF(ISNUMBER(MATCH(ING_PRV[[#This Row],[Proveedor]],PARAMETROS!$A$2:$A$8,0)),"COMPRADA",
                    IF(ISNUMBER(MATCH(ING_PRV[[#This Row],[Proveedor]],PARAMETROS!$B$2:$B$8,0)),"PROPIA","NA")
)</f>
        <v>NA</v>
      </c>
      <c r="E578" s="7">
        <v>706.22000000000014</v>
      </c>
      <c r="F578" s="9">
        <v>5.4944500000000005</v>
      </c>
      <c r="G578" s="11">
        <v>50.264274609515262</v>
      </c>
      <c r="I578" s="28"/>
    </row>
    <row r="579" spans="2:9" x14ac:dyDescent="0.35">
      <c r="B579" s="4">
        <v>44857</v>
      </c>
      <c r="C579" s="6" t="s">
        <v>12</v>
      </c>
      <c r="D579" s="6" t="str">
        <f>IF(ISNUMBER(MATCH(ING_PRV[[#This Row],[Proveedor]],PARAMETROS!$A$2:$A$8,0)),"COMPRADA",
                    IF(ISNUMBER(MATCH(ING_PRV[[#This Row],[Proveedor]],PARAMETROS!$B$2:$B$8,0)),"PROPIA","NA")
)</f>
        <v>NA</v>
      </c>
      <c r="E579" s="7">
        <v>377.02</v>
      </c>
      <c r="F579" s="9">
        <v>4.2746500000000003</v>
      </c>
      <c r="G579" s="11">
        <v>50.990335283018865</v>
      </c>
      <c r="I579" s="28"/>
    </row>
    <row r="580" spans="2:9" x14ac:dyDescent="0.35">
      <c r="B580" s="4">
        <v>44858</v>
      </c>
      <c r="C580" s="6" t="s">
        <v>12</v>
      </c>
      <c r="D580" s="6" t="str">
        <f>IF(ISNUMBER(MATCH(ING_PRV[[#This Row],[Proveedor]],PARAMETROS!$A$2:$A$8,0)),"COMPRADA",
                    IF(ISNUMBER(MATCH(ING_PRV[[#This Row],[Proveedor]],PARAMETROS!$B$2:$B$8,0)),"PROPIA","NA")
)</f>
        <v>NA</v>
      </c>
      <c r="E580" s="7">
        <v>642.37000000000012</v>
      </c>
      <c r="F580" s="9">
        <v>1.1021000000000001</v>
      </c>
      <c r="G580" s="11">
        <v>53.627915623437026</v>
      </c>
      <c r="I580" s="28"/>
    </row>
    <row r="581" spans="2:9" x14ac:dyDescent="0.35">
      <c r="B581" s="4">
        <v>44859</v>
      </c>
      <c r="C581" s="6" t="s">
        <v>12</v>
      </c>
      <c r="D581" s="6" t="str">
        <f>IF(ISNUMBER(MATCH(ING_PRV[[#This Row],[Proveedor]],PARAMETROS!$A$2:$A$8,0)),"COMPRADA",
                    IF(ISNUMBER(MATCH(ING_PRV[[#This Row],[Proveedor]],PARAMETROS!$B$2:$B$8,0)),"PROPIA","NA")
)</f>
        <v>NA</v>
      </c>
      <c r="E581" s="7">
        <v>667.43</v>
      </c>
      <c r="F581" s="9">
        <v>3.1912750000000001</v>
      </c>
      <c r="G581" s="11">
        <v>52.05099968051119</v>
      </c>
      <c r="I581" s="28"/>
    </row>
    <row r="582" spans="2:9" x14ac:dyDescent="0.35">
      <c r="B582" s="4">
        <v>44860</v>
      </c>
      <c r="C582" s="6" t="s">
        <v>12</v>
      </c>
      <c r="D582" s="6" t="str">
        <f>IF(ISNUMBER(MATCH(ING_PRV[[#This Row],[Proveedor]],PARAMETROS!$A$2:$A$8,0)),"COMPRADA",
                    IF(ISNUMBER(MATCH(ING_PRV[[#This Row],[Proveedor]],PARAMETROS!$B$2:$B$8,0)),"PROPIA","NA")
)</f>
        <v>NA</v>
      </c>
      <c r="E582" s="7">
        <v>838.08</v>
      </c>
      <c r="F582" s="9">
        <v>3.2340750000000003</v>
      </c>
      <c r="G582" s="11">
        <v>49.982346512672123</v>
      </c>
      <c r="I582" s="28"/>
    </row>
    <row r="583" spans="2:9" x14ac:dyDescent="0.35">
      <c r="B583" s="4">
        <v>44861</v>
      </c>
      <c r="C583" s="6" t="s">
        <v>12</v>
      </c>
      <c r="D583" s="6" t="str">
        <f>IF(ISNUMBER(MATCH(ING_PRV[[#This Row],[Proveedor]],PARAMETROS!$A$2:$A$8,0)),"COMPRADA",
                    IF(ISNUMBER(MATCH(ING_PRV[[#This Row],[Proveedor]],PARAMETROS!$B$2:$B$8,0)),"PROPIA","NA")
)</f>
        <v>NA</v>
      </c>
      <c r="E583" s="7">
        <v>88.52</v>
      </c>
      <c r="F583" s="9">
        <v>2.1828000000000003</v>
      </c>
      <c r="G583" s="11">
        <v>51.393731940279864</v>
      </c>
      <c r="I583" s="28"/>
    </row>
    <row r="584" spans="2:9" x14ac:dyDescent="0.35">
      <c r="B584" s="4">
        <v>44862</v>
      </c>
      <c r="C584" s="6" t="s">
        <v>12</v>
      </c>
      <c r="D584" s="6" t="str">
        <f>IF(ISNUMBER(MATCH(ING_PRV[[#This Row],[Proveedor]],PARAMETROS!$A$2:$A$8,0)),"COMPRADA",
                    IF(ISNUMBER(MATCH(ING_PRV[[#This Row],[Proveedor]],PARAMETROS!$B$2:$B$8,0)),"PROPIA","NA")
)</f>
        <v>NA</v>
      </c>
      <c r="E584" s="7">
        <v>277.56</v>
      </c>
      <c r="F584" s="9">
        <v>1.5327750000000002</v>
      </c>
      <c r="G584" s="11">
        <v>53.363950713109851</v>
      </c>
      <c r="I584" s="28"/>
    </row>
    <row r="585" spans="2:9" x14ac:dyDescent="0.35">
      <c r="B585" s="4">
        <v>44863</v>
      </c>
      <c r="C585" s="6" t="s">
        <v>12</v>
      </c>
      <c r="D585" s="6" t="str">
        <f>IF(ISNUMBER(MATCH(ING_PRV[[#This Row],[Proveedor]],PARAMETROS!$A$2:$A$8,0)),"COMPRADA",
                    IF(ISNUMBER(MATCH(ING_PRV[[#This Row],[Proveedor]],PARAMETROS!$B$2:$B$8,0)),"PROPIA","NA")
)</f>
        <v>NA</v>
      </c>
      <c r="E585" s="7">
        <v>761.47</v>
      </c>
      <c r="F585" s="9">
        <v>1.885875</v>
      </c>
      <c r="G585" s="11">
        <v>52.761618223565854</v>
      </c>
      <c r="I585" s="28"/>
    </row>
    <row r="586" spans="2:9" x14ac:dyDescent="0.35">
      <c r="B586" s="4">
        <v>44865</v>
      </c>
      <c r="C586" s="6" t="s">
        <v>12</v>
      </c>
      <c r="D586" s="6" t="str">
        <f>IF(ISNUMBER(MATCH(ING_PRV[[#This Row],[Proveedor]],PARAMETROS!$A$2:$A$8,0)),"COMPRADA",
                    IF(ISNUMBER(MATCH(ING_PRV[[#This Row],[Proveedor]],PARAMETROS!$B$2:$B$8,0)),"PROPIA","NA")
)</f>
        <v>NA</v>
      </c>
      <c r="E586" s="7">
        <v>579.33000000000004</v>
      </c>
      <c r="F586" s="9">
        <v>1.527425</v>
      </c>
      <c r="G586" s="11">
        <v>52.666100629651979</v>
      </c>
      <c r="I586" s="28"/>
    </row>
    <row r="587" spans="2:9" x14ac:dyDescent="0.35">
      <c r="B587" s="4">
        <v>44866</v>
      </c>
      <c r="C587" s="6" t="s">
        <v>12</v>
      </c>
      <c r="D587" s="6" t="str">
        <f>IF(ISNUMBER(MATCH(ING_PRV[[#This Row],[Proveedor]],PARAMETROS!$A$2:$A$8,0)),"COMPRADA",
                    IF(ISNUMBER(MATCH(ING_PRV[[#This Row],[Proveedor]],PARAMETROS!$B$2:$B$8,0)),"PROPIA","NA")
)</f>
        <v>NA</v>
      </c>
      <c r="E587" s="7">
        <v>750.8</v>
      </c>
      <c r="F587" s="9">
        <v>0.68747499999999995</v>
      </c>
      <c r="G587" s="11">
        <v>54.249501494023903</v>
      </c>
      <c r="I587" s="28"/>
    </row>
    <row r="588" spans="2:9" x14ac:dyDescent="0.35">
      <c r="B588" s="4">
        <v>44867</v>
      </c>
      <c r="C588" s="6" t="s">
        <v>12</v>
      </c>
      <c r="D588" s="6" t="str">
        <f>IF(ISNUMBER(MATCH(ING_PRV[[#This Row],[Proveedor]],PARAMETROS!$A$2:$A$8,0)),"COMPRADA",
                    IF(ISNUMBER(MATCH(ING_PRV[[#This Row],[Proveedor]],PARAMETROS!$B$2:$B$8,0)),"PROPIA","NA")
)</f>
        <v>NA</v>
      </c>
      <c r="E588" s="7">
        <v>678.88</v>
      </c>
      <c r="F588" s="9">
        <v>2.158725</v>
      </c>
      <c r="G588" s="11">
        <v>52.319906604214871</v>
      </c>
      <c r="I588" s="28"/>
    </row>
    <row r="589" spans="2:9" x14ac:dyDescent="0.35">
      <c r="B589" s="4">
        <v>44868</v>
      </c>
      <c r="C589" s="6" t="s">
        <v>12</v>
      </c>
      <c r="D589" s="6" t="str">
        <f>IF(ISNUMBER(MATCH(ING_PRV[[#This Row],[Proveedor]],PARAMETROS!$A$2:$A$8,0)),"COMPRADA",
                    IF(ISNUMBER(MATCH(ING_PRV[[#This Row],[Proveedor]],PARAMETROS!$B$2:$B$8,0)),"PROPIA","NA")
)</f>
        <v>NA</v>
      </c>
      <c r="E589" s="7">
        <v>697.91</v>
      </c>
      <c r="F589" s="9">
        <v>2.9318000000000004</v>
      </c>
      <c r="G589" s="11">
        <v>50.947020362144855</v>
      </c>
      <c r="I589" s="28"/>
    </row>
    <row r="590" spans="2:9" x14ac:dyDescent="0.35">
      <c r="B590" s="4">
        <v>44869</v>
      </c>
      <c r="C590" s="6" t="s">
        <v>12</v>
      </c>
      <c r="D590" s="6" t="str">
        <f>IF(ISNUMBER(MATCH(ING_PRV[[#This Row],[Proveedor]],PARAMETROS!$A$2:$A$8,0)),"COMPRADA",
                    IF(ISNUMBER(MATCH(ING_PRV[[#This Row],[Proveedor]],PARAMETROS!$B$2:$B$8,0)),"PROPIA","NA")
)</f>
        <v>NA</v>
      </c>
      <c r="E590" s="7">
        <v>427.48</v>
      </c>
      <c r="F590" s="9">
        <v>2.367375</v>
      </c>
      <c r="G590" s="11">
        <v>52.457408217534741</v>
      </c>
      <c r="I590" s="28"/>
    </row>
    <row r="591" spans="2:9" x14ac:dyDescent="0.35">
      <c r="B591" s="4">
        <v>44873</v>
      </c>
      <c r="C591" s="6" t="s">
        <v>12</v>
      </c>
      <c r="D591" s="6" t="str">
        <f>IF(ISNUMBER(MATCH(ING_PRV[[#This Row],[Proveedor]],PARAMETROS!$A$2:$A$8,0)),"COMPRADA",
                    IF(ISNUMBER(MATCH(ING_PRV[[#This Row],[Proveedor]],PARAMETROS!$B$2:$B$8,0)),"PROPIA","NA")
)</f>
        <v>NA</v>
      </c>
      <c r="E591" s="7">
        <v>544.15</v>
      </c>
      <c r="F591" s="9">
        <v>2.0597500000000002</v>
      </c>
      <c r="G591" s="11">
        <v>52.627109936153232</v>
      </c>
      <c r="I591" s="28"/>
    </row>
    <row r="592" spans="2:9" x14ac:dyDescent="0.35">
      <c r="B592" s="4">
        <v>44874</v>
      </c>
      <c r="C592" s="6" t="s">
        <v>12</v>
      </c>
      <c r="D592" s="6" t="str">
        <f>IF(ISNUMBER(MATCH(ING_PRV[[#This Row],[Proveedor]],PARAMETROS!$A$2:$A$8,0)),"COMPRADA",
                    IF(ISNUMBER(MATCH(ING_PRV[[#This Row],[Proveedor]],PARAMETROS!$B$2:$B$8,0)),"PROPIA","NA")
)</f>
        <v>NA</v>
      </c>
      <c r="E592" s="7">
        <v>478.73</v>
      </c>
      <c r="F592" s="9">
        <v>4.03925</v>
      </c>
      <c r="G592" s="11">
        <v>51.499771022104945</v>
      </c>
      <c r="I592" s="28"/>
    </row>
    <row r="593" spans="2:9" x14ac:dyDescent="0.35">
      <c r="B593" s="4">
        <v>44875</v>
      </c>
      <c r="C593" s="6" t="s">
        <v>12</v>
      </c>
      <c r="D593" s="6" t="str">
        <f>IF(ISNUMBER(MATCH(ING_PRV[[#This Row],[Proveedor]],PARAMETROS!$A$2:$A$8,0)),"COMPRADA",
                    IF(ISNUMBER(MATCH(ING_PRV[[#This Row],[Proveedor]],PARAMETROS!$B$2:$B$8,0)),"PROPIA","NA")
)</f>
        <v>NA</v>
      </c>
      <c r="E593" s="7">
        <v>402.48</v>
      </c>
      <c r="F593" s="9">
        <v>3.5764749999999998</v>
      </c>
      <c r="G593" s="11">
        <v>51.035954772181057</v>
      </c>
      <c r="I593" s="28"/>
    </row>
    <row r="594" spans="2:9" x14ac:dyDescent="0.35">
      <c r="B594" s="4">
        <v>44876</v>
      </c>
      <c r="C594" s="6" t="s">
        <v>12</v>
      </c>
      <c r="D594" s="6" t="str">
        <f>IF(ISNUMBER(MATCH(ING_PRV[[#This Row],[Proveedor]],PARAMETROS!$A$2:$A$8,0)),"COMPRADA",
                    IF(ISNUMBER(MATCH(ING_PRV[[#This Row],[Proveedor]],PARAMETROS!$B$2:$B$8,0)),"PROPIA","NA")
)</f>
        <v>NA</v>
      </c>
      <c r="E594" s="7">
        <v>636.12</v>
      </c>
      <c r="F594" s="9">
        <v>1.987525</v>
      </c>
      <c r="G594" s="11">
        <v>52.935535866247754</v>
      </c>
      <c r="I594" s="28"/>
    </row>
    <row r="595" spans="2:9" x14ac:dyDescent="0.35">
      <c r="B595" s="4">
        <v>44880</v>
      </c>
      <c r="C595" s="6" t="s">
        <v>12</v>
      </c>
      <c r="D595" s="6" t="str">
        <f>IF(ISNUMBER(MATCH(ING_PRV[[#This Row],[Proveedor]],PARAMETROS!$A$2:$A$8,0)),"COMPRADA",
                    IF(ISNUMBER(MATCH(ING_PRV[[#This Row],[Proveedor]],PARAMETROS!$B$2:$B$8,0)),"PROPIA","NA")
)</f>
        <v>NA</v>
      </c>
      <c r="E595" s="7">
        <v>633.63</v>
      </c>
      <c r="F595" s="9">
        <v>1.0940750000000001</v>
      </c>
      <c r="G595" s="11">
        <v>53.543268200636945</v>
      </c>
      <c r="I595" s="28"/>
    </row>
    <row r="596" spans="2:9" x14ac:dyDescent="0.35">
      <c r="B596" s="4">
        <v>44881</v>
      </c>
      <c r="C596" s="6" t="s">
        <v>12</v>
      </c>
      <c r="D596" s="6" t="str">
        <f>IF(ISNUMBER(MATCH(ING_PRV[[#This Row],[Proveedor]],PARAMETROS!$A$2:$A$8,0)),"COMPRADA",
                    IF(ISNUMBER(MATCH(ING_PRV[[#This Row],[Proveedor]],PARAMETROS!$B$2:$B$8,0)),"PROPIA","NA")
)</f>
        <v>NA</v>
      </c>
      <c r="E596" s="7">
        <v>748.6</v>
      </c>
      <c r="F596" s="9">
        <v>3.9563250000000001</v>
      </c>
      <c r="G596" s="11">
        <v>51.508539340063663</v>
      </c>
      <c r="I596" s="28"/>
    </row>
    <row r="597" spans="2:9" x14ac:dyDescent="0.35">
      <c r="B597" s="4">
        <v>44882</v>
      </c>
      <c r="C597" s="6" t="s">
        <v>12</v>
      </c>
      <c r="D597" s="6" t="str">
        <f>IF(ISNUMBER(MATCH(ING_PRV[[#This Row],[Proveedor]],PARAMETROS!$A$2:$A$8,0)),"COMPRADA",
                    IF(ISNUMBER(MATCH(ING_PRV[[#This Row],[Proveedor]],PARAMETROS!$B$2:$B$8,0)),"PROPIA","NA")
)</f>
        <v>NA</v>
      </c>
      <c r="E597" s="7">
        <v>604.89</v>
      </c>
      <c r="F597" s="9">
        <v>0.44672499999999998</v>
      </c>
      <c r="G597" s="11">
        <v>54.419071763649065</v>
      </c>
      <c r="I597" s="28"/>
    </row>
    <row r="598" spans="2:9" x14ac:dyDescent="0.35">
      <c r="B598" s="4">
        <v>44883</v>
      </c>
      <c r="C598" s="6" t="s">
        <v>12</v>
      </c>
      <c r="D598" s="6" t="str">
        <f>IF(ISNUMBER(MATCH(ING_PRV[[#This Row],[Proveedor]],PARAMETROS!$A$2:$A$8,0)),"COMPRADA",
                    IF(ISNUMBER(MATCH(ING_PRV[[#This Row],[Proveedor]],PARAMETROS!$B$2:$B$8,0)),"PROPIA","NA")
)</f>
        <v>NA</v>
      </c>
      <c r="E598" s="7">
        <v>172.1</v>
      </c>
      <c r="F598" s="9">
        <v>3.3972500000000001</v>
      </c>
      <c r="G598" s="11">
        <v>50.767766504708476</v>
      </c>
      <c r="I598" s="28"/>
    </row>
    <row r="599" spans="2:9" x14ac:dyDescent="0.35">
      <c r="B599" s="4">
        <v>44886</v>
      </c>
      <c r="C599" s="6" t="s">
        <v>12</v>
      </c>
      <c r="D599" s="6" t="str">
        <f>IF(ISNUMBER(MATCH(ING_PRV[[#This Row],[Proveedor]],PARAMETROS!$A$2:$A$8,0)),"COMPRADA",
                    IF(ISNUMBER(MATCH(ING_PRV[[#This Row],[Proveedor]],PARAMETROS!$B$2:$B$8,0)),"PROPIA","NA")
)</f>
        <v>NA</v>
      </c>
      <c r="E599" s="7">
        <v>776.52</v>
      </c>
      <c r="F599" s="9">
        <v>4.7936000000000005</v>
      </c>
      <c r="G599" s="11">
        <v>48.603422309417041</v>
      </c>
      <c r="I599" s="28"/>
    </row>
    <row r="600" spans="2:9" x14ac:dyDescent="0.35">
      <c r="B600" s="4">
        <v>44887</v>
      </c>
      <c r="C600" s="6" t="s">
        <v>12</v>
      </c>
      <c r="D600" s="6" t="str">
        <f>IF(ISNUMBER(MATCH(ING_PRV[[#This Row],[Proveedor]],PARAMETROS!$A$2:$A$8,0)),"COMPRADA",
                    IF(ISNUMBER(MATCH(ING_PRV[[#This Row],[Proveedor]],PARAMETROS!$B$2:$B$8,0)),"PROPIA","NA")
)</f>
        <v>NA</v>
      </c>
      <c r="E600" s="7">
        <v>297.16000000000003</v>
      </c>
      <c r="F600" s="9">
        <v>1.2438750000000001</v>
      </c>
      <c r="G600" s="11">
        <v>53.542975236283539</v>
      </c>
      <c r="I600" s="28"/>
    </row>
    <row r="601" spans="2:9" x14ac:dyDescent="0.35">
      <c r="B601" s="4">
        <v>44888</v>
      </c>
      <c r="C601" s="6" t="s">
        <v>12</v>
      </c>
      <c r="D601" s="6" t="str">
        <f>IF(ISNUMBER(MATCH(ING_PRV[[#This Row],[Proveedor]],PARAMETROS!$A$2:$A$8,0)),"COMPRADA",
                    IF(ISNUMBER(MATCH(ING_PRV[[#This Row],[Proveedor]],PARAMETROS!$B$2:$B$8,0)),"PROPIA","NA")
)</f>
        <v>NA</v>
      </c>
      <c r="E601" s="7">
        <v>282</v>
      </c>
      <c r="F601" s="9">
        <v>2.367375</v>
      </c>
      <c r="G601" s="11">
        <v>50.453021295481804</v>
      </c>
      <c r="I601" s="28"/>
    </row>
    <row r="602" spans="2:9" x14ac:dyDescent="0.35">
      <c r="B602" s="4">
        <v>44889</v>
      </c>
      <c r="C602" s="6" t="s">
        <v>12</v>
      </c>
      <c r="D602" s="6" t="str">
        <f>IF(ISNUMBER(MATCH(ING_PRV[[#This Row],[Proveedor]],PARAMETROS!$A$2:$A$8,0)),"COMPRADA",
                    IF(ISNUMBER(MATCH(ING_PRV[[#This Row],[Proveedor]],PARAMETROS!$B$2:$B$8,0)),"PROPIA","NA")
)</f>
        <v>NA</v>
      </c>
      <c r="E602" s="7">
        <v>47.21</v>
      </c>
      <c r="F602" s="9">
        <v>5.6522750000000004</v>
      </c>
      <c r="G602" s="11">
        <v>47.186496729886201</v>
      </c>
      <c r="I602" s="28"/>
    </row>
    <row r="603" spans="2:9" x14ac:dyDescent="0.35">
      <c r="B603" s="4">
        <v>44890</v>
      </c>
      <c r="C603" s="6" t="s">
        <v>12</v>
      </c>
      <c r="D603" s="6" t="str">
        <f>IF(ISNUMBER(MATCH(ING_PRV[[#This Row],[Proveedor]],PARAMETROS!$A$2:$A$8,0)),"COMPRADA",
                    IF(ISNUMBER(MATCH(ING_PRV[[#This Row],[Proveedor]],PARAMETROS!$B$2:$B$8,0)),"PROPIA","NA")
)</f>
        <v>NA</v>
      </c>
      <c r="E603" s="7">
        <v>348.7</v>
      </c>
      <c r="F603" s="9">
        <v>4.601</v>
      </c>
      <c r="G603" s="11">
        <v>51.831963716730037</v>
      </c>
      <c r="I603" s="28"/>
    </row>
    <row r="604" spans="2:9" x14ac:dyDescent="0.35">
      <c r="B604" s="4">
        <v>44895</v>
      </c>
      <c r="C604" s="6" t="s">
        <v>12</v>
      </c>
      <c r="D604" s="6" t="str">
        <f>IF(ISNUMBER(MATCH(ING_PRV[[#This Row],[Proveedor]],PARAMETROS!$A$2:$A$8,0)),"COMPRADA",
                    IF(ISNUMBER(MATCH(ING_PRV[[#This Row],[Proveedor]],PARAMETROS!$B$2:$B$8,0)),"PROPIA","NA")
)</f>
        <v>NA</v>
      </c>
      <c r="E604" s="7">
        <v>349.79</v>
      </c>
      <c r="F604" s="9">
        <v>0.97370000000000012</v>
      </c>
      <c r="G604" s="11">
        <v>54.194269152762516</v>
      </c>
      <c r="I604" s="28"/>
    </row>
    <row r="605" spans="2:9" x14ac:dyDescent="0.35">
      <c r="B605" s="4">
        <v>44896</v>
      </c>
      <c r="C605" s="6" t="s">
        <v>12</v>
      </c>
      <c r="D605" s="6" t="str">
        <f>IF(ISNUMBER(MATCH(ING_PRV[[#This Row],[Proveedor]],PARAMETROS!$A$2:$A$8,0)),"COMPRADA",
                    IF(ISNUMBER(MATCH(ING_PRV[[#This Row],[Proveedor]],PARAMETROS!$B$2:$B$8,0)),"PROPIA","NA")
)</f>
        <v>NA</v>
      </c>
      <c r="E605" s="7">
        <v>170.68</v>
      </c>
      <c r="F605" s="9">
        <v>4.1275250000000003</v>
      </c>
      <c r="G605" s="11">
        <v>52.101875585058501</v>
      </c>
      <c r="I605" s="28"/>
    </row>
    <row r="606" spans="2:9" x14ac:dyDescent="0.35">
      <c r="B606" s="4">
        <v>44897</v>
      </c>
      <c r="C606" s="6" t="s">
        <v>12</v>
      </c>
      <c r="D606" s="6" t="str">
        <f>IF(ISNUMBER(MATCH(ING_PRV[[#This Row],[Proveedor]],PARAMETROS!$A$2:$A$8,0)),"COMPRADA",
                    IF(ISNUMBER(MATCH(ING_PRV[[#This Row],[Proveedor]],PARAMETROS!$B$2:$B$8,0)),"PROPIA","NA")
)</f>
        <v>NA</v>
      </c>
      <c r="E606" s="7">
        <v>453.06</v>
      </c>
      <c r="F606" s="9">
        <v>1.987525</v>
      </c>
      <c r="G606" s="11">
        <v>53.624138980180625</v>
      </c>
      <c r="I606" s="28"/>
    </row>
    <row r="607" spans="2:9" x14ac:dyDescent="0.35">
      <c r="B607" s="4">
        <v>44903</v>
      </c>
      <c r="C607" s="6" t="s">
        <v>12</v>
      </c>
      <c r="D607" s="6" t="str">
        <f>IF(ISNUMBER(MATCH(ING_PRV[[#This Row],[Proveedor]],PARAMETROS!$A$2:$A$8,0)),"COMPRADA",
                    IF(ISNUMBER(MATCH(ING_PRV[[#This Row],[Proveedor]],PARAMETROS!$B$2:$B$8,0)),"PROPIA","NA")
)</f>
        <v>NA</v>
      </c>
      <c r="E607" s="7">
        <v>678.07</v>
      </c>
      <c r="F607" s="9">
        <v>2.7552500000000002</v>
      </c>
      <c r="G607" s="11">
        <v>52.712610042122151</v>
      </c>
      <c r="I607" s="28"/>
    </row>
    <row r="608" spans="2:9" x14ac:dyDescent="0.35">
      <c r="B608" s="4">
        <v>44907</v>
      </c>
      <c r="C608" s="6" t="s">
        <v>12</v>
      </c>
      <c r="D608" s="6" t="str">
        <f>IF(ISNUMBER(MATCH(ING_PRV[[#This Row],[Proveedor]],PARAMETROS!$A$2:$A$8,0)),"COMPRADA",
                    IF(ISNUMBER(MATCH(ING_PRV[[#This Row],[Proveedor]],PARAMETROS!$B$2:$B$8,0)),"PROPIA","NA")
)</f>
        <v>NA</v>
      </c>
      <c r="E608" s="7">
        <v>595.17999999999995</v>
      </c>
      <c r="F608" s="9">
        <v>3.7476750000000001</v>
      </c>
      <c r="G608" s="11">
        <v>51.398464435403113</v>
      </c>
      <c r="I608" s="28"/>
    </row>
    <row r="609" spans="2:9" x14ac:dyDescent="0.35">
      <c r="B609" s="4">
        <v>44908</v>
      </c>
      <c r="C609" s="6" t="s">
        <v>12</v>
      </c>
      <c r="D609" s="6" t="str">
        <f>IF(ISNUMBER(MATCH(ING_PRV[[#This Row],[Proveedor]],PARAMETROS!$A$2:$A$8,0)),"COMPRADA",
                    IF(ISNUMBER(MATCH(ING_PRV[[#This Row],[Proveedor]],PARAMETROS!$B$2:$B$8,0)),"PROPIA","NA")
)</f>
        <v>NA</v>
      </c>
      <c r="E609" s="7">
        <v>793.86</v>
      </c>
      <c r="F609" s="9">
        <v>3.8867750000000001</v>
      </c>
      <c r="G609" s="11">
        <v>49.293153946529927</v>
      </c>
      <c r="I609" s="28"/>
    </row>
    <row r="610" spans="2:9" x14ac:dyDescent="0.35">
      <c r="B610" s="4">
        <v>44909</v>
      </c>
      <c r="C610" s="6" t="s">
        <v>12</v>
      </c>
      <c r="D610" s="6" t="str">
        <f>IF(ISNUMBER(MATCH(ING_PRV[[#This Row],[Proveedor]],PARAMETROS!$A$2:$A$8,0)),"COMPRADA",
                    IF(ISNUMBER(MATCH(ING_PRV[[#This Row],[Proveedor]],PARAMETROS!$B$2:$B$8,0)),"PROPIA","NA")
)</f>
        <v>NA</v>
      </c>
      <c r="E610" s="7">
        <v>766.15</v>
      </c>
      <c r="F610" s="9">
        <v>3.2019750000000005</v>
      </c>
      <c r="G610" s="11">
        <v>50.836722097741351</v>
      </c>
      <c r="I610" s="28"/>
    </row>
    <row r="611" spans="2:9" x14ac:dyDescent="0.35">
      <c r="B611" s="4">
        <v>44910</v>
      </c>
      <c r="C611" s="6" t="s">
        <v>12</v>
      </c>
      <c r="D611" s="6" t="str">
        <f>IF(ISNUMBER(MATCH(ING_PRV[[#This Row],[Proveedor]],PARAMETROS!$A$2:$A$8,0)),"COMPRADA",
                    IF(ISNUMBER(MATCH(ING_PRV[[#This Row],[Proveedor]],PARAMETROS!$B$2:$B$8,0)),"PROPIA","NA")
)</f>
        <v>NA</v>
      </c>
      <c r="E611" s="7">
        <v>787.11</v>
      </c>
      <c r="F611" s="9">
        <v>1.64245</v>
      </c>
      <c r="G611" s="11">
        <v>53.324247007253625</v>
      </c>
      <c r="I611" s="28"/>
    </row>
    <row r="612" spans="2:9" x14ac:dyDescent="0.35">
      <c r="B612" s="4">
        <v>44911</v>
      </c>
      <c r="C612" s="6" t="s">
        <v>12</v>
      </c>
      <c r="D612" s="6" t="str">
        <f>IF(ISNUMBER(MATCH(ING_PRV[[#This Row],[Proveedor]],PARAMETROS!$A$2:$A$8,0)),"COMPRADA",
                    IF(ISNUMBER(MATCH(ING_PRV[[#This Row],[Proveedor]],PARAMETROS!$B$2:$B$8,0)),"PROPIA","NA")
)</f>
        <v>NA</v>
      </c>
      <c r="E612" s="7">
        <v>719.16</v>
      </c>
      <c r="F612" s="9">
        <v>1.0619750000000001</v>
      </c>
      <c r="G612" s="11">
        <v>54.079425000000001</v>
      </c>
      <c r="I612" s="28"/>
    </row>
    <row r="613" spans="2:9" x14ac:dyDescent="0.35">
      <c r="B613" s="4">
        <v>44912</v>
      </c>
      <c r="C613" s="6" t="s">
        <v>12</v>
      </c>
      <c r="D613" s="6" t="str">
        <f>IF(ISNUMBER(MATCH(ING_PRV[[#This Row],[Proveedor]],PARAMETROS!$A$2:$A$8,0)),"COMPRADA",
                    IF(ISNUMBER(MATCH(ING_PRV[[#This Row],[Proveedor]],PARAMETROS!$B$2:$B$8,0)),"PROPIA","NA")
)</f>
        <v>NA</v>
      </c>
      <c r="E613" s="7">
        <v>254.48</v>
      </c>
      <c r="F613" s="9">
        <v>0.65805000000000002</v>
      </c>
      <c r="G613" s="11">
        <v>53.915275627938385</v>
      </c>
      <c r="I613" s="28"/>
    </row>
    <row r="614" spans="2:9" x14ac:dyDescent="0.35">
      <c r="B614" s="4">
        <v>44914</v>
      </c>
      <c r="C614" s="6" t="s">
        <v>12</v>
      </c>
      <c r="D614" s="6" t="str">
        <f>IF(ISNUMBER(MATCH(ING_PRV[[#This Row],[Proveedor]],PARAMETROS!$A$2:$A$8,0)),"COMPRADA",
                    IF(ISNUMBER(MATCH(ING_PRV[[#This Row],[Proveedor]],PARAMETROS!$B$2:$B$8,0)),"PROPIA","NA")
)</f>
        <v>NA</v>
      </c>
      <c r="E614" s="7">
        <v>294.77</v>
      </c>
      <c r="F614" s="9">
        <v>0.45474999999999999</v>
      </c>
      <c r="G614" s="11">
        <v>54.563040733679372</v>
      </c>
      <c r="I614" s="28"/>
    </row>
    <row r="615" spans="2:9" x14ac:dyDescent="0.35">
      <c r="B615" s="4">
        <v>44915</v>
      </c>
      <c r="C615" s="6" t="s">
        <v>12</v>
      </c>
      <c r="D615" s="6" t="str">
        <f>IF(ISNUMBER(MATCH(ING_PRV[[#This Row],[Proveedor]],PARAMETROS!$A$2:$A$8,0)),"COMPRADA",
                    IF(ISNUMBER(MATCH(ING_PRV[[#This Row],[Proveedor]],PARAMETROS!$B$2:$B$8,0)),"PROPIA","NA")
)</f>
        <v>NA</v>
      </c>
      <c r="E615" s="7">
        <v>672.18</v>
      </c>
      <c r="F615" s="9">
        <v>1.1984000000000001</v>
      </c>
      <c r="G615" s="11">
        <v>53.471433150821298</v>
      </c>
      <c r="I615" s="28"/>
    </row>
    <row r="616" spans="2:9" x14ac:dyDescent="0.35">
      <c r="B616" s="4">
        <v>44916</v>
      </c>
      <c r="C616" s="6" t="s">
        <v>12</v>
      </c>
      <c r="D616" s="6" t="str">
        <f>IF(ISNUMBER(MATCH(ING_PRV[[#This Row],[Proveedor]],PARAMETROS!$A$2:$A$8,0)),"COMPRADA",
                    IF(ISNUMBER(MATCH(ING_PRV[[#This Row],[Proveedor]],PARAMETROS!$B$2:$B$8,0)),"PROPIA","NA")
)</f>
        <v>NA</v>
      </c>
      <c r="E616" s="7">
        <v>768.19</v>
      </c>
      <c r="F616" s="9">
        <v>1.1315250000000001</v>
      </c>
      <c r="G616" s="11">
        <v>53.804350288048369</v>
      </c>
      <c r="I616" s="28"/>
    </row>
    <row r="617" spans="2:9" x14ac:dyDescent="0.35">
      <c r="B617" s="4">
        <v>44917</v>
      </c>
      <c r="C617" s="6" t="s">
        <v>12</v>
      </c>
      <c r="D617" s="6" t="str">
        <f>IF(ISNUMBER(MATCH(ING_PRV[[#This Row],[Proveedor]],PARAMETROS!$A$2:$A$8,0)),"COMPRADA",
                    IF(ISNUMBER(MATCH(ING_PRV[[#This Row],[Proveedor]],PARAMETROS!$B$2:$B$8,0)),"PROPIA","NA")
)</f>
        <v>NA</v>
      </c>
      <c r="E617" s="7">
        <v>603.94000000000005</v>
      </c>
      <c r="F617" s="9">
        <v>1.3829750000000001</v>
      </c>
      <c r="G617" s="11">
        <v>53.102793668002001</v>
      </c>
      <c r="I617" s="28"/>
    </row>
    <row r="618" spans="2:9" x14ac:dyDescent="0.35">
      <c r="B618" s="4">
        <v>44918</v>
      </c>
      <c r="C618" s="6" t="s">
        <v>12</v>
      </c>
      <c r="D618" s="6" t="str">
        <f>IF(ISNUMBER(MATCH(ING_PRV[[#This Row],[Proveedor]],PARAMETROS!$A$2:$A$8,0)),"COMPRADA",
                    IF(ISNUMBER(MATCH(ING_PRV[[#This Row],[Proveedor]],PARAMETROS!$B$2:$B$8,0)),"PROPIA","NA")
)</f>
        <v>NA</v>
      </c>
      <c r="E618" s="7">
        <v>673.17</v>
      </c>
      <c r="F618" s="9">
        <v>1.5033500000000002</v>
      </c>
      <c r="G618" s="11">
        <v>53.98139318885449</v>
      </c>
      <c r="I618" s="28"/>
    </row>
    <row r="619" spans="2:9" x14ac:dyDescent="0.35">
      <c r="B619" s="4">
        <v>44921</v>
      </c>
      <c r="C619" s="6" t="s">
        <v>12</v>
      </c>
      <c r="D619" s="6" t="str">
        <f>IF(ISNUMBER(MATCH(ING_PRV[[#This Row],[Proveedor]],PARAMETROS!$A$2:$A$8,0)),"COMPRADA",
                    IF(ISNUMBER(MATCH(ING_PRV[[#This Row],[Proveedor]],PARAMETROS!$B$2:$B$8,0)),"PROPIA","NA")
)</f>
        <v>NA</v>
      </c>
      <c r="E619" s="7">
        <v>580.48</v>
      </c>
      <c r="F619" s="9">
        <v>2.3272499999999998</v>
      </c>
      <c r="G619" s="11">
        <v>52.732617591262724</v>
      </c>
      <c r="I619" s="28"/>
    </row>
    <row r="620" spans="2:9" x14ac:dyDescent="0.35">
      <c r="B620" s="4">
        <v>44922</v>
      </c>
      <c r="C620" s="6" t="s">
        <v>12</v>
      </c>
      <c r="D620" s="6" t="str">
        <f>IF(ISNUMBER(MATCH(ING_PRV[[#This Row],[Proveedor]],PARAMETROS!$A$2:$A$8,0)),"COMPRADA",
                    IF(ISNUMBER(MATCH(ING_PRV[[#This Row],[Proveedor]],PARAMETROS!$B$2:$B$8,0)),"PROPIA","NA")
)</f>
        <v>NA</v>
      </c>
      <c r="E620" s="7">
        <v>2712.78</v>
      </c>
      <c r="F620" s="9">
        <v>1.211775</v>
      </c>
      <c r="G620" s="11">
        <v>53.980413284343129</v>
      </c>
      <c r="I620" s="28"/>
    </row>
    <row r="621" spans="2:9" x14ac:dyDescent="0.35">
      <c r="B621" s="4">
        <v>44923</v>
      </c>
      <c r="C621" s="6" t="s">
        <v>12</v>
      </c>
      <c r="D621" s="6" t="str">
        <f>IF(ISNUMBER(MATCH(ING_PRV[[#This Row],[Proveedor]],PARAMETROS!$A$2:$A$8,0)),"COMPRADA",
                    IF(ISNUMBER(MATCH(ING_PRV[[#This Row],[Proveedor]],PARAMETROS!$B$2:$B$8,0)),"PROPIA","NA")
)</f>
        <v>NA</v>
      </c>
      <c r="E621" s="7">
        <v>476.74</v>
      </c>
      <c r="F621" s="9">
        <v>0.93892500000000001</v>
      </c>
      <c r="G621" s="11">
        <v>54.161856312877269</v>
      </c>
      <c r="I621" s="28"/>
    </row>
    <row r="622" spans="2:9" x14ac:dyDescent="0.35">
      <c r="B622" s="4">
        <v>44952</v>
      </c>
      <c r="C622" s="6" t="s">
        <v>12</v>
      </c>
      <c r="D622" s="6" t="str">
        <f>IF(ISNUMBER(MATCH(ING_PRV[[#This Row],[Proveedor]],PARAMETROS!$A$2:$A$8,0)),"COMPRADA",
                    IF(ISNUMBER(MATCH(ING_PRV[[#This Row],[Proveedor]],PARAMETROS!$B$2:$B$8,0)),"PROPIA","NA")
)</f>
        <v>NA</v>
      </c>
      <c r="E622" s="7">
        <v>139.13999999999999</v>
      </c>
      <c r="F622" s="9">
        <v>1.38565</v>
      </c>
      <c r="G622" s="11">
        <v>53.749432852593038</v>
      </c>
      <c r="I622" s="28"/>
    </row>
    <row r="623" spans="2:9" x14ac:dyDescent="0.35">
      <c r="B623" s="4">
        <v>44953</v>
      </c>
      <c r="C623" s="6" t="s">
        <v>12</v>
      </c>
      <c r="D623" s="6" t="str">
        <f>IF(ISNUMBER(MATCH(ING_PRV[[#This Row],[Proveedor]],PARAMETROS!$A$2:$A$8,0)),"COMPRADA",
                    IF(ISNUMBER(MATCH(ING_PRV[[#This Row],[Proveedor]],PARAMETROS!$B$2:$B$8,0)),"PROPIA","NA")
)</f>
        <v>NA</v>
      </c>
      <c r="E623" s="7">
        <v>715.84</v>
      </c>
      <c r="F623" s="9">
        <v>1.1689750000000001</v>
      </c>
      <c r="G623" s="11">
        <v>53.764947376363999</v>
      </c>
      <c r="I623" s="28"/>
    </row>
    <row r="624" spans="2:9" x14ac:dyDescent="0.35">
      <c r="B624" s="4">
        <v>44954</v>
      </c>
      <c r="C624" s="6" t="s">
        <v>12</v>
      </c>
      <c r="D624" s="6" t="str">
        <f>IF(ISNUMBER(MATCH(ING_PRV[[#This Row],[Proveedor]],PARAMETROS!$A$2:$A$8,0)),"COMPRADA",
                    IF(ISNUMBER(MATCH(ING_PRV[[#This Row],[Proveedor]],PARAMETROS!$B$2:$B$8,0)),"PROPIA","NA")
)</f>
        <v>NA</v>
      </c>
      <c r="E624" s="7">
        <v>623.52</v>
      </c>
      <c r="F624" s="9">
        <v>1.9313500000000001</v>
      </c>
      <c r="G624" s="11">
        <v>52.637642105394356</v>
      </c>
      <c r="I624" s="28"/>
    </row>
    <row r="625" spans="2:9" x14ac:dyDescent="0.35">
      <c r="B625" s="4">
        <v>44956</v>
      </c>
      <c r="C625" s="6" t="s">
        <v>12</v>
      </c>
      <c r="D625" s="6" t="str">
        <f>IF(ISNUMBER(MATCH(ING_PRV[[#This Row],[Proveedor]],PARAMETROS!$A$2:$A$8,0)),"COMPRADA",
                    IF(ISNUMBER(MATCH(ING_PRV[[#This Row],[Proveedor]],PARAMETROS!$B$2:$B$8,0)),"PROPIA","NA")
)</f>
        <v>NA</v>
      </c>
      <c r="E625" s="7">
        <v>812.33</v>
      </c>
      <c r="F625" s="9">
        <v>1.5541750000000001</v>
      </c>
      <c r="G625" s="11">
        <v>53.62078482043097</v>
      </c>
      <c r="I625" s="28"/>
    </row>
    <row r="626" spans="2:9" x14ac:dyDescent="0.35">
      <c r="B626" s="4">
        <v>44957</v>
      </c>
      <c r="C626" s="6" t="s">
        <v>12</v>
      </c>
      <c r="D626" s="6" t="str">
        <f>IF(ISNUMBER(MATCH(ING_PRV[[#This Row],[Proveedor]],PARAMETROS!$A$2:$A$8,0)),"COMPRADA",
                    IF(ISNUMBER(MATCH(ING_PRV[[#This Row],[Proveedor]],PARAMETROS!$B$2:$B$8,0)),"PROPIA","NA")
)</f>
        <v>NA</v>
      </c>
      <c r="E626" s="7">
        <v>577.28</v>
      </c>
      <c r="F626" s="9">
        <v>1.7253750000000001</v>
      </c>
      <c r="G626" s="11">
        <v>52.335801205659628</v>
      </c>
      <c r="I626" s="28"/>
    </row>
    <row r="627" spans="2:9" x14ac:dyDescent="0.35">
      <c r="B627" s="4">
        <v>44958</v>
      </c>
      <c r="C627" s="6" t="s">
        <v>12</v>
      </c>
      <c r="D627" s="6" t="str">
        <f>IF(ISNUMBER(MATCH(ING_PRV[[#This Row],[Proveedor]],PARAMETROS!$A$2:$A$8,0)),"COMPRADA",
                    IF(ISNUMBER(MATCH(ING_PRV[[#This Row],[Proveedor]],PARAMETROS!$B$2:$B$8,0)),"PROPIA","NA")
)</f>
        <v>NA</v>
      </c>
      <c r="E627" s="7">
        <v>648</v>
      </c>
      <c r="F627" s="9">
        <v>1.8832000000000002</v>
      </c>
      <c r="G627" s="11">
        <v>52.764451918176391</v>
      </c>
      <c r="I627" s="28"/>
    </row>
    <row r="628" spans="2:9" x14ac:dyDescent="0.35">
      <c r="B628" s="4">
        <v>44959</v>
      </c>
      <c r="C628" s="6" t="s">
        <v>12</v>
      </c>
      <c r="D628" s="6" t="str">
        <f>IF(ISNUMBER(MATCH(ING_PRV[[#This Row],[Proveedor]],PARAMETROS!$A$2:$A$8,0)),"COMPRADA",
                    IF(ISNUMBER(MATCH(ING_PRV[[#This Row],[Proveedor]],PARAMETROS!$B$2:$B$8,0)),"PROPIA","NA")
)</f>
        <v>NA</v>
      </c>
      <c r="E628" s="7">
        <v>704.12</v>
      </c>
      <c r="F628" s="9">
        <v>1.4659000000000002</v>
      </c>
      <c r="G628" s="11">
        <v>53.238102072042793</v>
      </c>
      <c r="I628" s="28"/>
    </row>
    <row r="629" spans="2:9" x14ac:dyDescent="0.35">
      <c r="B629" s="4">
        <v>44960</v>
      </c>
      <c r="C629" s="6" t="s">
        <v>12</v>
      </c>
      <c r="D629" s="6" t="str">
        <f>IF(ISNUMBER(MATCH(ING_PRV[[#This Row],[Proveedor]],PARAMETROS!$A$2:$A$8,0)),"COMPRADA",
                    IF(ISNUMBER(MATCH(ING_PRV[[#This Row],[Proveedor]],PARAMETROS!$B$2:$B$8,0)),"PROPIA","NA")
)</f>
        <v>NA</v>
      </c>
      <c r="E629" s="7">
        <v>730.36</v>
      </c>
      <c r="F629" s="9">
        <v>1.7280500000000001</v>
      </c>
      <c r="G629" s="11">
        <v>53.17434033457436</v>
      </c>
      <c r="I629" s="28"/>
    </row>
    <row r="630" spans="2:9" x14ac:dyDescent="0.35">
      <c r="B630" s="4">
        <v>44963</v>
      </c>
      <c r="C630" s="6" t="s">
        <v>12</v>
      </c>
      <c r="D630" s="6" t="str">
        <f>IF(ISNUMBER(MATCH(ING_PRV[[#This Row],[Proveedor]],PARAMETROS!$A$2:$A$8,0)),"COMPRADA",
                    IF(ISNUMBER(MATCH(ING_PRV[[#This Row],[Proveedor]],PARAMETROS!$B$2:$B$8,0)),"PROPIA","NA")
)</f>
        <v>NA</v>
      </c>
      <c r="E630" s="7">
        <v>567.77</v>
      </c>
      <c r="F630" s="9">
        <v>2.0329999999999999</v>
      </c>
      <c r="G630" s="11">
        <v>53.037268370066123</v>
      </c>
      <c r="I630" s="28"/>
    </row>
    <row r="631" spans="2:9" x14ac:dyDescent="0.35">
      <c r="B631" s="4">
        <v>44964</v>
      </c>
      <c r="C631" s="6" t="s">
        <v>12</v>
      </c>
      <c r="D631" s="6" t="str">
        <f>IF(ISNUMBER(MATCH(ING_PRV[[#This Row],[Proveedor]],PARAMETROS!$A$2:$A$8,0)),"COMPRADA",
                    IF(ISNUMBER(MATCH(ING_PRV[[#This Row],[Proveedor]],PARAMETROS!$B$2:$B$8,0)),"PROPIA","NA")
)</f>
        <v>NA</v>
      </c>
      <c r="E631" s="7">
        <v>787.29</v>
      </c>
      <c r="F631" s="9">
        <v>1.8002750000000003</v>
      </c>
      <c r="G631" s="11">
        <v>53.3004900258655</v>
      </c>
      <c r="I631" s="28"/>
    </row>
    <row r="632" spans="2:9" x14ac:dyDescent="0.35">
      <c r="B632" s="4">
        <v>44965</v>
      </c>
      <c r="C632" s="6" t="s">
        <v>12</v>
      </c>
      <c r="D632" s="6" t="str">
        <f>IF(ISNUMBER(MATCH(ING_PRV[[#This Row],[Proveedor]],PARAMETROS!$A$2:$A$8,0)),"COMPRADA",
                    IF(ISNUMBER(MATCH(ING_PRV[[#This Row],[Proveedor]],PARAMETROS!$B$2:$B$8,0)),"PROPIA","NA")
)</f>
        <v>NA</v>
      </c>
      <c r="E632" s="7">
        <v>641.16</v>
      </c>
      <c r="F632" s="9">
        <v>1.2759749999999999</v>
      </c>
      <c r="G632" s="11">
        <v>52.90104083896788</v>
      </c>
      <c r="I632" s="28"/>
    </row>
    <row r="633" spans="2:9" x14ac:dyDescent="0.35">
      <c r="B633" s="4">
        <v>44966</v>
      </c>
      <c r="C633" s="6" t="s">
        <v>12</v>
      </c>
      <c r="D633" s="6" t="str">
        <f>IF(ISNUMBER(MATCH(ING_PRV[[#This Row],[Proveedor]],PARAMETROS!$A$2:$A$8,0)),"COMPRADA",
                    IF(ISNUMBER(MATCH(ING_PRV[[#This Row],[Proveedor]],PARAMETROS!$B$2:$B$8,0)),"PROPIA","NA")
)</f>
        <v>NA</v>
      </c>
      <c r="E633" s="7">
        <v>799.8</v>
      </c>
      <c r="F633" s="9">
        <v>2.8997000000000002</v>
      </c>
      <c r="G633" s="11">
        <v>51.372303324335128</v>
      </c>
      <c r="I633" s="28"/>
    </row>
    <row r="634" spans="2:9" x14ac:dyDescent="0.35">
      <c r="B634" s="4">
        <v>44967</v>
      </c>
      <c r="C634" s="6" t="s">
        <v>12</v>
      </c>
      <c r="D634" s="6" t="str">
        <f>IF(ISNUMBER(MATCH(ING_PRV[[#This Row],[Proveedor]],PARAMETROS!$A$2:$A$8,0)),"COMPRADA",
                    IF(ISNUMBER(MATCH(ING_PRV[[#This Row],[Proveedor]],PARAMETROS!$B$2:$B$8,0)),"PROPIA","NA")
)</f>
        <v>NA</v>
      </c>
      <c r="E634" s="7">
        <v>178.18</v>
      </c>
      <c r="F634" s="9">
        <v>2.2630500000000002</v>
      </c>
      <c r="G634" s="11">
        <v>52.731833921832887</v>
      </c>
      <c r="I634" s="28"/>
    </row>
    <row r="635" spans="2:9" x14ac:dyDescent="0.35">
      <c r="B635" s="4">
        <v>44964</v>
      </c>
      <c r="C635" s="6" t="s">
        <v>13</v>
      </c>
      <c r="D635" s="6" t="str">
        <f>IF(ISNUMBER(MATCH(ING_PRV[[#This Row],[Proveedor]],PARAMETROS!$A$2:$A$8,0)),"COMPRADA",
                    IF(ISNUMBER(MATCH(ING_PRV[[#This Row],[Proveedor]],PARAMETROS!$B$2:$B$8,0)),"PROPIA","NA")
)</f>
        <v>NA</v>
      </c>
      <c r="E635" s="7">
        <v>285.93</v>
      </c>
      <c r="F635" s="9">
        <v>5.1360000000000001</v>
      </c>
      <c r="G635" s="11">
        <v>51.348688805947738</v>
      </c>
      <c r="I635" s="28"/>
    </row>
    <row r="636" spans="2:9" x14ac:dyDescent="0.35">
      <c r="B636" s="4">
        <v>44971</v>
      </c>
      <c r="C636" s="6" t="s">
        <v>13</v>
      </c>
      <c r="D636" s="6" t="str">
        <f>IF(ISNUMBER(MATCH(ING_PRV[[#This Row],[Proveedor]],PARAMETROS!$A$2:$A$8,0)),"COMPRADA",
                    IF(ISNUMBER(MATCH(ING_PRV[[#This Row],[Proveedor]],PARAMETROS!$B$2:$B$8,0)),"PROPIA","NA")
)</f>
        <v>NA</v>
      </c>
      <c r="E636" s="7">
        <v>55.86</v>
      </c>
      <c r="F636" s="9">
        <v>27.82</v>
      </c>
      <c r="G636" s="11">
        <v>36.799141688184463</v>
      </c>
      <c r="I636" s="28"/>
    </row>
    <row r="637" spans="2:9" x14ac:dyDescent="0.35">
      <c r="B637" s="4">
        <v>44986</v>
      </c>
      <c r="C637" s="6" t="s">
        <v>13</v>
      </c>
      <c r="D637" s="6" t="str">
        <f>IF(ISNUMBER(MATCH(ING_PRV[[#This Row],[Proveedor]],PARAMETROS!$A$2:$A$8,0)),"COMPRADA",
                    IF(ISNUMBER(MATCH(ING_PRV[[#This Row],[Proveedor]],PARAMETROS!$B$2:$B$8,0)),"PROPIA","NA")
)</f>
        <v>NA</v>
      </c>
      <c r="E637" s="7">
        <v>546.51</v>
      </c>
      <c r="F637" s="9">
        <v>2.16675</v>
      </c>
      <c r="G637" s="11">
        <v>53.181206248750755</v>
      </c>
      <c r="I637" s="28"/>
    </row>
    <row r="638" spans="2:9" x14ac:dyDescent="0.35">
      <c r="B638" s="4">
        <v>44987</v>
      </c>
      <c r="C638" s="6" t="s">
        <v>13</v>
      </c>
      <c r="D638" s="6" t="str">
        <f>IF(ISNUMBER(MATCH(ING_PRV[[#This Row],[Proveedor]],PARAMETROS!$A$2:$A$8,0)),"COMPRADA",
                    IF(ISNUMBER(MATCH(ING_PRV[[#This Row],[Proveedor]],PARAMETROS!$B$2:$B$8,0)),"PROPIA","NA")
)</f>
        <v>NA</v>
      </c>
      <c r="E638" s="7">
        <v>265.56</v>
      </c>
      <c r="F638" s="9">
        <v>3.4133</v>
      </c>
      <c r="G638" s="11">
        <v>52.417210505372061</v>
      </c>
      <c r="I638" s="28"/>
    </row>
    <row r="639" spans="2:9" x14ac:dyDescent="0.35">
      <c r="B639" s="4">
        <v>44988</v>
      </c>
      <c r="C639" s="6" t="s">
        <v>13</v>
      </c>
      <c r="D639" s="6" t="str">
        <f>IF(ISNUMBER(MATCH(ING_PRV[[#This Row],[Proveedor]],PARAMETROS!$A$2:$A$8,0)),"COMPRADA",
                    IF(ISNUMBER(MATCH(ING_PRV[[#This Row],[Proveedor]],PARAMETROS!$B$2:$B$8,0)),"PROPIA","NA")
)</f>
        <v>NA</v>
      </c>
      <c r="E639" s="7">
        <v>329.66</v>
      </c>
      <c r="F639" s="9">
        <v>1.3749499999999999</v>
      </c>
      <c r="G639" s="11">
        <v>51.85634743897559</v>
      </c>
      <c r="I639" s="28"/>
    </row>
    <row r="640" spans="2:9" x14ac:dyDescent="0.35">
      <c r="B640" s="4">
        <v>44989</v>
      </c>
      <c r="C640" s="6" t="s">
        <v>13</v>
      </c>
      <c r="D640" s="6" t="str">
        <f>IF(ISNUMBER(MATCH(ING_PRV[[#This Row],[Proveedor]],PARAMETROS!$A$2:$A$8,0)),"COMPRADA",
                    IF(ISNUMBER(MATCH(ING_PRV[[#This Row],[Proveedor]],PARAMETROS!$B$2:$B$8,0)),"PROPIA","NA")
)</f>
        <v>NA</v>
      </c>
      <c r="E640" s="7">
        <v>355.55</v>
      </c>
      <c r="F640" s="9">
        <v>2.2068750000000001</v>
      </c>
      <c r="G640" s="11">
        <v>53.347407155388467</v>
      </c>
      <c r="I640" s="28"/>
    </row>
    <row r="641" spans="2:9" x14ac:dyDescent="0.35">
      <c r="B641" s="4">
        <v>44992</v>
      </c>
      <c r="C641" s="6" t="s">
        <v>13</v>
      </c>
      <c r="D641" s="6" t="str">
        <f>IF(ISNUMBER(MATCH(ING_PRV[[#This Row],[Proveedor]],PARAMETROS!$A$2:$A$8,0)),"COMPRADA",
                    IF(ISNUMBER(MATCH(ING_PRV[[#This Row],[Proveedor]],PARAMETROS!$B$2:$B$8,0)),"PROPIA","NA")
)</f>
        <v>NA</v>
      </c>
      <c r="E641" s="7">
        <v>347.46</v>
      </c>
      <c r="F641" s="9">
        <v>1.3374999999999999</v>
      </c>
      <c r="G641" s="11">
        <v>54.125479722777222</v>
      </c>
      <c r="I641" s="28"/>
    </row>
    <row r="642" spans="2:9" x14ac:dyDescent="0.35">
      <c r="B642" s="4">
        <v>44993</v>
      </c>
      <c r="C642" s="6" t="s">
        <v>13</v>
      </c>
      <c r="D642" s="6" t="str">
        <f>IF(ISNUMBER(MATCH(ING_PRV[[#This Row],[Proveedor]],PARAMETROS!$A$2:$A$8,0)),"COMPRADA",
                    IF(ISNUMBER(MATCH(ING_PRV[[#This Row],[Proveedor]],PARAMETROS!$B$2:$B$8,0)),"PROPIA","NA")
)</f>
        <v>NA</v>
      </c>
      <c r="E642" s="7">
        <v>481.51</v>
      </c>
      <c r="F642" s="9">
        <v>2.164075</v>
      </c>
      <c r="G642" s="11">
        <v>53.005458779488201</v>
      </c>
      <c r="I642" s="28"/>
    </row>
    <row r="643" spans="2:9" x14ac:dyDescent="0.35">
      <c r="B643" s="4">
        <v>44994</v>
      </c>
      <c r="C643" s="6" t="s">
        <v>13</v>
      </c>
      <c r="D643" s="6" t="str">
        <f>IF(ISNUMBER(MATCH(ING_PRV[[#This Row],[Proveedor]],PARAMETROS!$A$2:$A$8,0)),"COMPRADA",
                    IF(ISNUMBER(MATCH(ING_PRV[[#This Row],[Proveedor]],PARAMETROS!$B$2:$B$8,0)),"PROPIA","NA")
)</f>
        <v>NA</v>
      </c>
      <c r="E643" s="7">
        <v>89.34</v>
      </c>
      <c r="F643" s="9">
        <v>1.4659000000000002</v>
      </c>
      <c r="G643" s="11">
        <v>54.05028877757811</v>
      </c>
      <c r="I643" s="28"/>
    </row>
    <row r="644" spans="2:9" x14ac:dyDescent="0.35">
      <c r="B644" s="4">
        <v>44995</v>
      </c>
      <c r="C644" s="6" t="s">
        <v>13</v>
      </c>
      <c r="D644" s="6" t="str">
        <f>IF(ISNUMBER(MATCH(ING_PRV[[#This Row],[Proveedor]],PARAMETROS!$A$2:$A$8,0)),"COMPRADA",
                    IF(ISNUMBER(MATCH(ING_PRV[[#This Row],[Proveedor]],PARAMETROS!$B$2:$B$8,0)),"PROPIA","NA")
)</f>
        <v>NA</v>
      </c>
      <c r="E644" s="7">
        <v>133.63</v>
      </c>
      <c r="F644" s="9">
        <v>3.8145500000000001</v>
      </c>
      <c r="G644" s="11">
        <v>52.154367954522534</v>
      </c>
      <c r="I644" s="28"/>
    </row>
    <row r="645" spans="2:9" x14ac:dyDescent="0.35">
      <c r="B645" s="4">
        <v>44998</v>
      </c>
      <c r="C645" s="6" t="s">
        <v>13</v>
      </c>
      <c r="D645" s="6" t="str">
        <f>IF(ISNUMBER(MATCH(ING_PRV[[#This Row],[Proveedor]],PARAMETROS!$A$2:$A$8,0)),"COMPRADA",
                    IF(ISNUMBER(MATCH(ING_PRV[[#This Row],[Proveedor]],PARAMETROS!$B$2:$B$8,0)),"PROPIA","NA")
)</f>
        <v>NA</v>
      </c>
      <c r="E645" s="7">
        <v>181.93</v>
      </c>
      <c r="F645" s="9">
        <v>2.501125</v>
      </c>
      <c r="G645" s="11">
        <v>53.072584375250301</v>
      </c>
      <c r="I645" s="28"/>
    </row>
    <row r="646" spans="2:9" x14ac:dyDescent="0.35">
      <c r="B646" s="4">
        <v>44999</v>
      </c>
      <c r="C646" s="6" t="s">
        <v>13</v>
      </c>
      <c r="D646" s="6" t="str">
        <f>IF(ISNUMBER(MATCH(ING_PRV[[#This Row],[Proveedor]],PARAMETROS!$A$2:$A$8,0)),"COMPRADA",
                    IF(ISNUMBER(MATCH(ING_PRV[[#This Row],[Proveedor]],PARAMETROS!$B$2:$B$8,0)),"PROPIA","NA")
)</f>
        <v>NA</v>
      </c>
      <c r="E646" s="7">
        <v>426.5</v>
      </c>
      <c r="F646" s="9">
        <v>1.6692000000000002</v>
      </c>
      <c r="G646" s="11">
        <v>53.527638445736045</v>
      </c>
      <c r="I646" s="28"/>
    </row>
    <row r="647" spans="2:9" x14ac:dyDescent="0.35">
      <c r="B647" s="4">
        <v>45000</v>
      </c>
      <c r="C647" s="6" t="s">
        <v>13</v>
      </c>
      <c r="D647" s="6" t="str">
        <f>IF(ISNUMBER(MATCH(ING_PRV[[#This Row],[Proveedor]],PARAMETROS!$A$2:$A$8,0)),"COMPRADA",
                    IF(ISNUMBER(MATCH(ING_PRV[[#This Row],[Proveedor]],PARAMETROS!$B$2:$B$8,0)),"PROPIA","NA")
)</f>
        <v>NA</v>
      </c>
      <c r="E647" s="7">
        <v>307.41000000000003</v>
      </c>
      <c r="F647" s="9">
        <v>1.98485</v>
      </c>
      <c r="G647" s="11">
        <v>53.345910602197037</v>
      </c>
      <c r="I647" s="28"/>
    </row>
    <row r="648" spans="2:9" x14ac:dyDescent="0.35">
      <c r="B648" s="4">
        <v>45001</v>
      </c>
      <c r="C648" s="6" t="s">
        <v>13</v>
      </c>
      <c r="D648" s="6" t="str">
        <f>IF(ISNUMBER(MATCH(ING_PRV[[#This Row],[Proveedor]],PARAMETROS!$A$2:$A$8,0)),"COMPRADA",
                    IF(ISNUMBER(MATCH(ING_PRV[[#This Row],[Proveedor]],PARAMETROS!$B$2:$B$8,0)),"PROPIA","NA")
)</f>
        <v>NA</v>
      </c>
      <c r="E648" s="7">
        <v>408.03</v>
      </c>
      <c r="F648" s="9">
        <v>1.3910000000000002</v>
      </c>
      <c r="G648" s="11">
        <v>54.018282104316548</v>
      </c>
      <c r="I648" s="28"/>
    </row>
    <row r="649" spans="2:9" x14ac:dyDescent="0.35">
      <c r="B649" s="4">
        <v>45002</v>
      </c>
      <c r="C649" s="6" t="s">
        <v>13</v>
      </c>
      <c r="D649" s="6" t="str">
        <f>IF(ISNUMBER(MATCH(ING_PRV[[#This Row],[Proveedor]],PARAMETROS!$A$2:$A$8,0)),"COMPRADA",
                    IF(ISNUMBER(MATCH(ING_PRV[[#This Row],[Proveedor]],PARAMETROS!$B$2:$B$8,0)),"PROPIA","NA")
)</f>
        <v>NA</v>
      </c>
      <c r="E649" s="7">
        <v>185.94</v>
      </c>
      <c r="F649" s="9">
        <v>1.0646500000000001</v>
      </c>
      <c r="G649" s="11">
        <v>54.214739205302955</v>
      </c>
      <c r="I649" s="28"/>
    </row>
    <row r="650" spans="2:9" x14ac:dyDescent="0.35">
      <c r="B650" s="4">
        <v>45003</v>
      </c>
      <c r="C650" s="6" t="s">
        <v>13</v>
      </c>
      <c r="D650" s="6" t="str">
        <f>IF(ISNUMBER(MATCH(ING_PRV[[#This Row],[Proveedor]],PARAMETROS!$A$2:$A$8,0)),"COMPRADA",
                    IF(ISNUMBER(MATCH(ING_PRV[[#This Row],[Proveedor]],PARAMETROS!$B$2:$B$8,0)),"PROPIA","NA")
)</f>
        <v>NA</v>
      </c>
      <c r="E650" s="7">
        <v>272.31</v>
      </c>
      <c r="F650" s="9">
        <v>1.4899750000000003</v>
      </c>
      <c r="G650" s="11">
        <v>53.605501303388813</v>
      </c>
      <c r="I650" s="28"/>
    </row>
    <row r="651" spans="2:9" x14ac:dyDescent="0.35">
      <c r="B651" s="4">
        <v>45017</v>
      </c>
      <c r="C651" s="6" t="s">
        <v>13</v>
      </c>
      <c r="D651" s="6" t="str">
        <f>IF(ISNUMBER(MATCH(ING_PRV[[#This Row],[Proveedor]],PARAMETROS!$A$2:$A$8,0)),"COMPRADA",
                    IF(ISNUMBER(MATCH(ING_PRV[[#This Row],[Proveedor]],PARAMETROS!$B$2:$B$8,0)),"PROPIA","NA")
)</f>
        <v>NA</v>
      </c>
      <c r="E651" s="7">
        <v>303.64</v>
      </c>
      <c r="F651" s="9">
        <v>8.0490750000000002</v>
      </c>
      <c r="G651" s="11">
        <v>48.3829539456869</v>
      </c>
      <c r="I651" s="28"/>
    </row>
    <row r="652" spans="2:9" x14ac:dyDescent="0.35">
      <c r="B652" s="4">
        <v>44932</v>
      </c>
      <c r="C652" s="6" t="s">
        <v>7</v>
      </c>
      <c r="D6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52" s="7">
        <v>73.13</v>
      </c>
      <c r="F652" s="9">
        <v>1.3374999999999999</v>
      </c>
      <c r="G652" s="11">
        <v>53.58056300029795</v>
      </c>
      <c r="I652" s="28"/>
    </row>
    <row r="653" spans="2:9" x14ac:dyDescent="0.35">
      <c r="B653" s="4">
        <v>44964</v>
      </c>
      <c r="C653" s="6" t="s">
        <v>7</v>
      </c>
      <c r="D6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53" s="7">
        <v>47.83</v>
      </c>
      <c r="F653" s="9">
        <v>1.596975</v>
      </c>
      <c r="G653" s="11">
        <v>53.625322063155267</v>
      </c>
      <c r="I653" s="28"/>
    </row>
    <row r="654" spans="2:9" x14ac:dyDescent="0.35">
      <c r="B654" s="4">
        <v>44965</v>
      </c>
      <c r="C654" s="6" t="s">
        <v>7</v>
      </c>
      <c r="D6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54" s="7">
        <v>87.05</v>
      </c>
      <c r="F654" s="9">
        <v>2.0009000000000001</v>
      </c>
      <c r="G654" s="11">
        <v>53.334962219129054</v>
      </c>
      <c r="I654" s="28"/>
    </row>
    <row r="655" spans="2:9" x14ac:dyDescent="0.35">
      <c r="B655" s="4">
        <v>44966</v>
      </c>
      <c r="C655" s="6" t="s">
        <v>7</v>
      </c>
      <c r="D6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55" s="7">
        <v>154.51</v>
      </c>
      <c r="F655" s="9">
        <v>1.2519</v>
      </c>
      <c r="G655" s="11">
        <v>53.152429004544089</v>
      </c>
      <c r="I655" s="28"/>
    </row>
    <row r="656" spans="2:9" x14ac:dyDescent="0.35">
      <c r="B656" s="4">
        <v>44967</v>
      </c>
      <c r="C656" s="6" t="s">
        <v>7</v>
      </c>
      <c r="D6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56" s="7">
        <v>161.04</v>
      </c>
      <c r="F656" s="9">
        <v>5.6388999999999996</v>
      </c>
      <c r="G656" s="11">
        <v>49.795821414575627</v>
      </c>
      <c r="I656" s="28"/>
    </row>
    <row r="657" spans="2:9" x14ac:dyDescent="0.35">
      <c r="B657" s="4">
        <v>44968</v>
      </c>
      <c r="C657" s="6" t="s">
        <v>7</v>
      </c>
      <c r="D6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57" s="7">
        <v>95.91</v>
      </c>
      <c r="F657" s="9">
        <v>0.97637499999999999</v>
      </c>
      <c r="G657" s="11">
        <v>52.324099216710174</v>
      </c>
      <c r="I657" s="28"/>
    </row>
    <row r="658" spans="2:9" x14ac:dyDescent="0.35">
      <c r="B658" s="4">
        <v>44970</v>
      </c>
      <c r="C658" s="6" t="s">
        <v>7</v>
      </c>
      <c r="D6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58" s="7">
        <v>22.84</v>
      </c>
      <c r="F658" s="9">
        <v>2.7552500000000002</v>
      </c>
      <c r="G658" s="11">
        <v>52.386461062325772</v>
      </c>
      <c r="I658" s="28"/>
    </row>
    <row r="659" spans="2:9" x14ac:dyDescent="0.35">
      <c r="B659" s="4">
        <v>44971</v>
      </c>
      <c r="C659" s="6" t="s">
        <v>7</v>
      </c>
      <c r="D6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59" s="7">
        <v>117.76</v>
      </c>
      <c r="F659" s="9">
        <v>3.2126749999999999</v>
      </c>
      <c r="G659" s="11">
        <v>51.551478847190339</v>
      </c>
      <c r="I659" s="28"/>
    </row>
    <row r="660" spans="2:9" x14ac:dyDescent="0.35">
      <c r="B660" s="4">
        <v>44972</v>
      </c>
      <c r="C660" s="6" t="s">
        <v>7</v>
      </c>
      <c r="D6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0" s="7">
        <v>118.47</v>
      </c>
      <c r="F660" s="9">
        <v>1.249225</v>
      </c>
      <c r="G660" s="11">
        <v>53.037446768219837</v>
      </c>
      <c r="I660" s="28"/>
    </row>
    <row r="661" spans="2:9" x14ac:dyDescent="0.35">
      <c r="B661" s="4">
        <v>44973</v>
      </c>
      <c r="C661" s="6" t="s">
        <v>7</v>
      </c>
      <c r="D6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1" s="7">
        <v>119.16</v>
      </c>
      <c r="F661" s="9">
        <v>2.5412500000000002</v>
      </c>
      <c r="G661" s="11">
        <v>51.903052389522095</v>
      </c>
      <c r="I661" s="28"/>
    </row>
    <row r="662" spans="2:9" x14ac:dyDescent="0.35">
      <c r="B662" s="4">
        <v>44974</v>
      </c>
      <c r="C662" s="6" t="s">
        <v>7</v>
      </c>
      <c r="D6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2" s="7">
        <v>96.21</v>
      </c>
      <c r="F662" s="9">
        <v>1.7842250000000002</v>
      </c>
      <c r="G662" s="11">
        <v>53.036566331107345</v>
      </c>
      <c r="I662" s="28"/>
    </row>
    <row r="663" spans="2:9" x14ac:dyDescent="0.35">
      <c r="B663" s="4">
        <v>44975</v>
      </c>
      <c r="C663" s="6" t="s">
        <v>7</v>
      </c>
      <c r="D6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3" s="7">
        <v>90.84</v>
      </c>
      <c r="F663" s="9">
        <v>1.8404</v>
      </c>
      <c r="G663" s="11">
        <v>53.126037075957591</v>
      </c>
      <c r="I663" s="28"/>
    </row>
    <row r="664" spans="2:9" x14ac:dyDescent="0.35">
      <c r="B664" s="4">
        <v>44977</v>
      </c>
      <c r="C664" s="6" t="s">
        <v>7</v>
      </c>
      <c r="D6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4" s="7">
        <v>136.4</v>
      </c>
      <c r="F664" s="9">
        <v>3.2206999999999999</v>
      </c>
      <c r="G664" s="11">
        <v>46.3463604346951</v>
      </c>
      <c r="I664" s="28"/>
    </row>
    <row r="665" spans="2:9" x14ac:dyDescent="0.35">
      <c r="B665" s="4">
        <v>44978</v>
      </c>
      <c r="C665" s="6" t="s">
        <v>7</v>
      </c>
      <c r="D6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5" s="7">
        <v>137.63999999999999</v>
      </c>
      <c r="F665" s="9">
        <v>1.21445</v>
      </c>
      <c r="G665" s="11">
        <v>53.686726902798597</v>
      </c>
      <c r="I665" s="28"/>
    </row>
    <row r="666" spans="2:9" x14ac:dyDescent="0.35">
      <c r="B666" s="4">
        <v>44979</v>
      </c>
      <c r="C666" s="6" t="s">
        <v>7</v>
      </c>
      <c r="D6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6" s="7">
        <v>95.7</v>
      </c>
      <c r="F666" s="9">
        <v>0.93625000000000003</v>
      </c>
      <c r="G666" s="11">
        <v>52.886934053434359</v>
      </c>
      <c r="I666" s="28"/>
    </row>
    <row r="667" spans="2:9" x14ac:dyDescent="0.35">
      <c r="B667" s="4">
        <v>44980</v>
      </c>
      <c r="C667" s="6" t="s">
        <v>7</v>
      </c>
      <c r="D6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7" s="7">
        <v>97.66</v>
      </c>
      <c r="F667" s="9">
        <v>1.0272000000000001</v>
      </c>
      <c r="G667" s="11">
        <v>53.60211084433773</v>
      </c>
      <c r="I667" s="28"/>
    </row>
    <row r="668" spans="2:9" x14ac:dyDescent="0.35">
      <c r="B668" s="4">
        <v>44981</v>
      </c>
      <c r="C668" s="6" t="s">
        <v>7</v>
      </c>
      <c r="D6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8" s="7">
        <v>76.2</v>
      </c>
      <c r="F668" s="9">
        <v>1.49265</v>
      </c>
      <c r="G668" s="11">
        <v>48.318292316926772</v>
      </c>
      <c r="I668" s="28"/>
    </row>
    <row r="669" spans="2:9" x14ac:dyDescent="0.35">
      <c r="B669" s="4">
        <v>44984</v>
      </c>
      <c r="C669" s="6" t="s">
        <v>7</v>
      </c>
      <c r="D6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69" s="7">
        <v>170.61</v>
      </c>
      <c r="F669" s="9">
        <v>0.87739999999999996</v>
      </c>
      <c r="G669" s="11">
        <v>53.97329554780876</v>
      </c>
      <c r="I669" s="28"/>
    </row>
    <row r="670" spans="2:9" x14ac:dyDescent="0.35">
      <c r="B670" s="4">
        <v>44985</v>
      </c>
      <c r="C670" s="6" t="s">
        <v>7</v>
      </c>
      <c r="D6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0" s="7">
        <v>95.98</v>
      </c>
      <c r="F670" s="9">
        <v>2.1774500000000003</v>
      </c>
      <c r="G670" s="11">
        <v>52.403375124288708</v>
      </c>
      <c r="I670" s="28"/>
    </row>
    <row r="671" spans="2:9" x14ac:dyDescent="0.35">
      <c r="B671" s="4">
        <v>44986</v>
      </c>
      <c r="C671" s="6" t="s">
        <v>7</v>
      </c>
      <c r="D6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1" s="7">
        <v>319.33999999999997</v>
      </c>
      <c r="F671" s="9">
        <v>4.3656000000000006</v>
      </c>
      <c r="G671" s="11">
        <v>51.378855611199917</v>
      </c>
      <c r="I671" s="28"/>
    </row>
    <row r="672" spans="2:9" x14ac:dyDescent="0.35">
      <c r="B672" s="4">
        <v>44987</v>
      </c>
      <c r="C672" s="6" t="s">
        <v>7</v>
      </c>
      <c r="D6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2" s="7">
        <v>186.97</v>
      </c>
      <c r="F672" s="9">
        <v>1.1609499999999999</v>
      </c>
      <c r="G672" s="11">
        <v>53.613539370867556</v>
      </c>
      <c r="I672" s="28"/>
    </row>
    <row r="673" spans="2:9" x14ac:dyDescent="0.35">
      <c r="B673" s="4">
        <v>44988</v>
      </c>
      <c r="C673" s="6" t="s">
        <v>7</v>
      </c>
      <c r="D6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3" s="7">
        <v>188.59</v>
      </c>
      <c r="F673" s="9">
        <v>2.2470000000000003</v>
      </c>
      <c r="G673" s="11">
        <v>52.940152080541949</v>
      </c>
      <c r="I673" s="28"/>
    </row>
    <row r="674" spans="2:9" x14ac:dyDescent="0.35">
      <c r="B674" s="4">
        <v>44989</v>
      </c>
      <c r="C674" s="6" t="s">
        <v>7</v>
      </c>
      <c r="D6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4" s="7">
        <v>143.66</v>
      </c>
      <c r="F674" s="9">
        <v>3.6915000000000004</v>
      </c>
      <c r="G674" s="11">
        <v>52.064254999999996</v>
      </c>
      <c r="I674" s="28"/>
    </row>
    <row r="675" spans="2:9" x14ac:dyDescent="0.35">
      <c r="B675" s="4">
        <v>44991</v>
      </c>
      <c r="C675" s="6" t="s">
        <v>7</v>
      </c>
      <c r="D6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5" s="7">
        <v>188</v>
      </c>
      <c r="F675" s="9">
        <v>2.0544000000000002</v>
      </c>
      <c r="G675" s="11">
        <v>53.246129238564713</v>
      </c>
      <c r="I675" s="28"/>
    </row>
    <row r="676" spans="2:9" x14ac:dyDescent="0.35">
      <c r="B676" s="4">
        <v>44992</v>
      </c>
      <c r="C676" s="6" t="s">
        <v>7</v>
      </c>
      <c r="D6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6" s="7">
        <v>145.66999999999999</v>
      </c>
      <c r="F676" s="9">
        <v>7.4739500000000012</v>
      </c>
      <c r="G676" s="11">
        <v>48.703452543973611</v>
      </c>
      <c r="I676" s="28"/>
    </row>
    <row r="677" spans="2:9" x14ac:dyDescent="0.35">
      <c r="B677" s="4">
        <v>44993</v>
      </c>
      <c r="C677" s="6" t="s">
        <v>7</v>
      </c>
      <c r="D6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7" s="7">
        <v>122</v>
      </c>
      <c r="F677" s="9">
        <v>0.91752500000000015</v>
      </c>
      <c r="G677" s="11">
        <v>52.291685786342725</v>
      </c>
      <c r="I677" s="28"/>
    </row>
    <row r="678" spans="2:9" x14ac:dyDescent="0.35">
      <c r="B678" s="4">
        <v>44994</v>
      </c>
      <c r="C678" s="6" t="s">
        <v>7</v>
      </c>
      <c r="D6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8" s="7">
        <v>123.84</v>
      </c>
      <c r="F678" s="9">
        <v>2.7338500000000003</v>
      </c>
      <c r="G678" s="11">
        <v>53.213898141486808</v>
      </c>
      <c r="I678" s="28"/>
    </row>
    <row r="679" spans="2:9" x14ac:dyDescent="0.35">
      <c r="B679" s="4">
        <v>44995</v>
      </c>
      <c r="C679" s="6" t="s">
        <v>7</v>
      </c>
      <c r="D6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79" s="7">
        <v>115.99</v>
      </c>
      <c r="F679" s="9">
        <v>2.303175</v>
      </c>
      <c r="G679" s="11">
        <v>50.901193814737049</v>
      </c>
      <c r="I679" s="28"/>
    </row>
    <row r="680" spans="2:9" x14ac:dyDescent="0.35">
      <c r="B680" s="4">
        <v>44996</v>
      </c>
      <c r="C680" s="6" t="s">
        <v>7</v>
      </c>
      <c r="D6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0" s="7">
        <v>70.41</v>
      </c>
      <c r="F680" s="9">
        <v>2.6856999999999998</v>
      </c>
      <c r="G680" s="11">
        <v>51.118164440799283</v>
      </c>
      <c r="I680" s="28"/>
    </row>
    <row r="681" spans="2:9" x14ac:dyDescent="0.35">
      <c r="B681" s="4">
        <v>44998</v>
      </c>
      <c r="C681" s="6" t="s">
        <v>7</v>
      </c>
      <c r="D6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1" s="7">
        <v>220</v>
      </c>
      <c r="F681" s="9">
        <v>0.65002500000000007</v>
      </c>
      <c r="G681" s="11">
        <v>54.586132292604823</v>
      </c>
      <c r="I681" s="28"/>
    </row>
    <row r="682" spans="2:9" x14ac:dyDescent="0.35">
      <c r="B682" s="4">
        <v>44999</v>
      </c>
      <c r="C682" s="6" t="s">
        <v>7</v>
      </c>
      <c r="D6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2" s="7">
        <v>191</v>
      </c>
      <c r="F682" s="9">
        <v>2.1293000000000002</v>
      </c>
      <c r="G682" s="11">
        <v>52.609004283007579</v>
      </c>
      <c r="I682" s="28"/>
    </row>
    <row r="683" spans="2:9" x14ac:dyDescent="0.35">
      <c r="B683" s="4">
        <v>45000</v>
      </c>
      <c r="C683" s="6" t="s">
        <v>7</v>
      </c>
      <c r="D6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3" s="7">
        <v>216</v>
      </c>
      <c r="F683" s="9">
        <v>1.07</v>
      </c>
      <c r="G683" s="11">
        <v>54.256923855721389</v>
      </c>
      <c r="I683" s="28"/>
    </row>
    <row r="684" spans="2:9" x14ac:dyDescent="0.35">
      <c r="B684" s="4">
        <v>45001</v>
      </c>
      <c r="C684" s="6" t="s">
        <v>7</v>
      </c>
      <c r="D6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4" s="7">
        <v>191.24</v>
      </c>
      <c r="F684" s="9">
        <v>13.998275</v>
      </c>
      <c r="G684" s="11">
        <v>44.636315315873645</v>
      </c>
      <c r="I684" s="28"/>
    </row>
    <row r="685" spans="2:9" x14ac:dyDescent="0.35">
      <c r="B685" s="4">
        <v>45002</v>
      </c>
      <c r="C685" s="6" t="s">
        <v>7</v>
      </c>
      <c r="D6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5" s="7">
        <v>192.88</v>
      </c>
      <c r="F685" s="9">
        <v>1.3161</v>
      </c>
      <c r="G685" s="11">
        <v>52.29524640093728</v>
      </c>
      <c r="I685" s="28"/>
    </row>
    <row r="686" spans="2:9" x14ac:dyDescent="0.35">
      <c r="B686" s="4">
        <v>45006</v>
      </c>
      <c r="C686" s="6" t="s">
        <v>7</v>
      </c>
      <c r="D6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6" s="7">
        <v>194.18</v>
      </c>
      <c r="F686" s="9">
        <v>5.2349750000000004</v>
      </c>
      <c r="G686" s="11">
        <v>50.414404573959786</v>
      </c>
      <c r="I686" s="28"/>
    </row>
    <row r="687" spans="2:9" x14ac:dyDescent="0.35">
      <c r="B687" s="4">
        <v>45008</v>
      </c>
      <c r="C687" s="6" t="s">
        <v>7</v>
      </c>
      <c r="D6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7" s="7">
        <v>73.14</v>
      </c>
      <c r="F687" s="9">
        <v>0.98707500000000004</v>
      </c>
      <c r="G687" s="11">
        <v>52.770487804878044</v>
      </c>
      <c r="I687" s="28"/>
    </row>
    <row r="688" spans="2:9" x14ac:dyDescent="0.35">
      <c r="B688" s="4">
        <v>45009</v>
      </c>
      <c r="C688" s="6" t="s">
        <v>7</v>
      </c>
      <c r="D6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8" s="7">
        <v>149.54</v>
      </c>
      <c r="F688" s="9">
        <v>2.859575</v>
      </c>
      <c r="G688" s="11">
        <v>50.522688323179871</v>
      </c>
      <c r="I688" s="28"/>
    </row>
    <row r="689" spans="2:9" x14ac:dyDescent="0.35">
      <c r="B689" s="4">
        <v>45010</v>
      </c>
      <c r="C689" s="6" t="s">
        <v>7</v>
      </c>
      <c r="D6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89" s="7">
        <v>24.53</v>
      </c>
      <c r="F689" s="9">
        <v>3.7396500000000001</v>
      </c>
      <c r="G689" s="11">
        <v>52.47711602835642</v>
      </c>
      <c r="I689" s="28"/>
    </row>
    <row r="690" spans="2:9" x14ac:dyDescent="0.35">
      <c r="B690" s="4">
        <v>44947</v>
      </c>
      <c r="C690" s="6" t="s">
        <v>3</v>
      </c>
      <c r="D6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0" s="7">
        <v>42.82</v>
      </c>
      <c r="F690" s="9">
        <v>3.977725</v>
      </c>
      <c r="G690" s="11">
        <v>47.842686235081736</v>
      </c>
      <c r="I690" s="28"/>
    </row>
    <row r="691" spans="2:9" x14ac:dyDescent="0.35">
      <c r="B691" s="4">
        <v>44953</v>
      </c>
      <c r="C691" s="6" t="s">
        <v>3</v>
      </c>
      <c r="D6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1" s="7">
        <v>85.91</v>
      </c>
      <c r="F691" s="9">
        <v>3.2982750000000003</v>
      </c>
      <c r="G691" s="11">
        <v>52.450639050279328</v>
      </c>
      <c r="I691" s="28"/>
    </row>
    <row r="692" spans="2:9" x14ac:dyDescent="0.35">
      <c r="B692" s="4">
        <v>44954</v>
      </c>
      <c r="C692" s="6" t="s">
        <v>3</v>
      </c>
      <c r="D6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2" s="7">
        <v>42.73</v>
      </c>
      <c r="F692" s="9">
        <v>1.8216749999999999</v>
      </c>
      <c r="G692" s="11">
        <v>53.658374112098222</v>
      </c>
      <c r="I692" s="28"/>
    </row>
    <row r="693" spans="2:9" x14ac:dyDescent="0.35">
      <c r="B693" s="4">
        <v>44956</v>
      </c>
      <c r="C693" s="6" t="s">
        <v>3</v>
      </c>
      <c r="D6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3" s="7">
        <v>87.62</v>
      </c>
      <c r="F693" s="9">
        <v>3.3624750000000003</v>
      </c>
      <c r="G693" s="11">
        <v>49.839964648190836</v>
      </c>
      <c r="I693" s="28"/>
    </row>
    <row r="694" spans="2:9" x14ac:dyDescent="0.35">
      <c r="B694" s="4">
        <v>44957</v>
      </c>
      <c r="C694" s="6" t="s">
        <v>3</v>
      </c>
      <c r="D6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4" s="7">
        <v>64.569999999999993</v>
      </c>
      <c r="F694" s="9">
        <v>2.1212750000000002</v>
      </c>
      <c r="G694" s="11">
        <v>52.787218586739279</v>
      </c>
      <c r="I694" s="28"/>
    </row>
    <row r="695" spans="2:9" x14ac:dyDescent="0.35">
      <c r="B695" s="4">
        <v>44958</v>
      </c>
      <c r="C695" s="6" t="s">
        <v>3</v>
      </c>
      <c r="D6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5" s="7">
        <v>63.6</v>
      </c>
      <c r="F695" s="9">
        <v>3.7610500000000004</v>
      </c>
      <c r="G695" s="11">
        <v>49.500955862206297</v>
      </c>
      <c r="I695" s="28"/>
    </row>
    <row r="696" spans="2:9" x14ac:dyDescent="0.35">
      <c r="B696" s="4">
        <v>44959</v>
      </c>
      <c r="C696" s="6" t="s">
        <v>3</v>
      </c>
      <c r="D6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6" s="7">
        <v>44.39</v>
      </c>
      <c r="F696" s="9">
        <v>4.8283750000000003</v>
      </c>
      <c r="G696" s="11">
        <v>50.567201653354637</v>
      </c>
      <c r="I696" s="28"/>
    </row>
    <row r="697" spans="2:9" x14ac:dyDescent="0.35">
      <c r="B697" s="4">
        <v>44960</v>
      </c>
      <c r="C697" s="6" t="s">
        <v>3</v>
      </c>
      <c r="D6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7" s="7">
        <v>22.54</v>
      </c>
      <c r="F697" s="9">
        <v>2.4422750000000004</v>
      </c>
      <c r="G697" s="11">
        <v>51.849830481200755</v>
      </c>
      <c r="I697" s="28"/>
    </row>
    <row r="698" spans="2:9" x14ac:dyDescent="0.35">
      <c r="B698" s="4">
        <v>44961</v>
      </c>
      <c r="C698" s="6" t="s">
        <v>3</v>
      </c>
      <c r="D6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8" s="7">
        <v>47.22</v>
      </c>
      <c r="F698" s="9">
        <v>2.0517250000000002</v>
      </c>
      <c r="G698" s="11">
        <v>52.99887702191235</v>
      </c>
      <c r="I698" s="28"/>
    </row>
    <row r="699" spans="2:9" x14ac:dyDescent="0.35">
      <c r="B699" s="4">
        <v>44966</v>
      </c>
      <c r="C699" s="6" t="s">
        <v>3</v>
      </c>
      <c r="D6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699" s="7">
        <v>62.39</v>
      </c>
      <c r="F699" s="9">
        <v>5.6121500000000006</v>
      </c>
      <c r="G699" s="11">
        <v>50.315158936425426</v>
      </c>
      <c r="I699" s="28"/>
    </row>
    <row r="700" spans="2:9" x14ac:dyDescent="0.35">
      <c r="B700" s="4">
        <v>44967</v>
      </c>
      <c r="C700" s="6" t="s">
        <v>3</v>
      </c>
      <c r="D7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0" s="7">
        <v>86.61</v>
      </c>
      <c r="F700" s="9">
        <v>1.4819500000000001</v>
      </c>
      <c r="G700" s="11">
        <v>53.677462654046217</v>
      </c>
      <c r="I700" s="28"/>
    </row>
    <row r="701" spans="2:9" x14ac:dyDescent="0.35">
      <c r="B701" s="4">
        <v>44970</v>
      </c>
      <c r="C701" s="6" t="s">
        <v>3</v>
      </c>
      <c r="D7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1" s="7">
        <v>86.07</v>
      </c>
      <c r="F701" s="9">
        <v>4.7989500000000005</v>
      </c>
      <c r="G701" s="11">
        <v>51.607725878661086</v>
      </c>
      <c r="I701" s="28"/>
    </row>
    <row r="702" spans="2:9" x14ac:dyDescent="0.35">
      <c r="B702" s="4">
        <v>44971</v>
      </c>
      <c r="C702" s="6" t="s">
        <v>3</v>
      </c>
      <c r="D7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2" s="7">
        <v>86.15</v>
      </c>
      <c r="F702" s="9">
        <v>2.9612250000000002</v>
      </c>
      <c r="G702" s="11">
        <v>50.485733336924923</v>
      </c>
      <c r="I702" s="28"/>
    </row>
    <row r="703" spans="2:9" x14ac:dyDescent="0.35">
      <c r="B703" s="4">
        <v>44973</v>
      </c>
      <c r="C703" s="6" t="s">
        <v>3</v>
      </c>
      <c r="D7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3" s="7">
        <v>87.81</v>
      </c>
      <c r="F703" s="9">
        <v>2.8756250000000003</v>
      </c>
      <c r="G703" s="11">
        <v>51.723274258480942</v>
      </c>
      <c r="I703" s="28"/>
    </row>
    <row r="704" spans="2:9" x14ac:dyDescent="0.35">
      <c r="B704" s="4">
        <v>44974</v>
      </c>
      <c r="C704" s="6" t="s">
        <v>3</v>
      </c>
      <c r="D7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4" s="7">
        <v>65.81</v>
      </c>
      <c r="F704" s="9">
        <v>3.2661750000000005</v>
      </c>
      <c r="G704" s="11">
        <v>52.591136344537816</v>
      </c>
      <c r="I704" s="28"/>
    </row>
    <row r="705" spans="2:9" x14ac:dyDescent="0.35">
      <c r="B705" s="4">
        <v>44975</v>
      </c>
      <c r="C705" s="6" t="s">
        <v>3</v>
      </c>
      <c r="D7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5" s="7">
        <v>43.8</v>
      </c>
      <c r="F705" s="9">
        <v>1.9019250000000001</v>
      </c>
      <c r="G705" s="11">
        <v>53.182236758517035</v>
      </c>
      <c r="I705" s="28"/>
    </row>
    <row r="706" spans="2:9" x14ac:dyDescent="0.35">
      <c r="B706" s="4">
        <v>44977</v>
      </c>
      <c r="C706" s="6" t="s">
        <v>3</v>
      </c>
      <c r="D7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6" s="7">
        <v>23.85</v>
      </c>
      <c r="F706" s="9">
        <v>3.7289500000000002</v>
      </c>
      <c r="G706" s="11">
        <v>52.048876109007573</v>
      </c>
      <c r="I706" s="28"/>
    </row>
    <row r="707" spans="2:9" x14ac:dyDescent="0.35">
      <c r="B707" s="4">
        <v>44978</v>
      </c>
      <c r="C707" s="6" t="s">
        <v>3</v>
      </c>
      <c r="D7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7" s="7">
        <v>87.73</v>
      </c>
      <c r="F707" s="9">
        <v>2.5573000000000001</v>
      </c>
      <c r="G707" s="11">
        <v>52.571762246898757</v>
      </c>
      <c r="I707" s="28"/>
    </row>
    <row r="708" spans="2:9" x14ac:dyDescent="0.35">
      <c r="B708" s="4">
        <v>44979</v>
      </c>
      <c r="C708" s="6" t="s">
        <v>3</v>
      </c>
      <c r="D7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8" s="7">
        <v>45.23</v>
      </c>
      <c r="F708" s="9">
        <v>3.3758499999999998</v>
      </c>
      <c r="G708" s="11">
        <v>52.352444679224547</v>
      </c>
      <c r="I708" s="28"/>
    </row>
    <row r="709" spans="2:9" x14ac:dyDescent="0.35">
      <c r="B709" s="4">
        <v>44980</v>
      </c>
      <c r="C709" s="6" t="s">
        <v>3</v>
      </c>
      <c r="D7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09" s="7">
        <v>46.45</v>
      </c>
      <c r="F709" s="9">
        <v>6.4761750000000005</v>
      </c>
      <c r="G709" s="11">
        <v>49.855990119760477</v>
      </c>
      <c r="I709" s="28"/>
    </row>
    <row r="710" spans="2:9" x14ac:dyDescent="0.35">
      <c r="B710" s="4">
        <v>44981</v>
      </c>
      <c r="C710" s="6" t="s">
        <v>3</v>
      </c>
      <c r="D7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0" s="7">
        <v>91.46</v>
      </c>
      <c r="F710" s="9">
        <v>2.996</v>
      </c>
      <c r="G710" s="11">
        <v>51.72860617204622</v>
      </c>
      <c r="I710" s="28"/>
    </row>
    <row r="711" spans="2:9" x14ac:dyDescent="0.35">
      <c r="B711" s="4">
        <v>44982</v>
      </c>
      <c r="C711" s="6" t="s">
        <v>3</v>
      </c>
      <c r="D7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1" s="7">
        <v>42.35</v>
      </c>
      <c r="F711" s="9">
        <v>2.7311750000000004</v>
      </c>
      <c r="G711" s="11">
        <v>52.562323352520842</v>
      </c>
      <c r="I711" s="28"/>
    </row>
    <row r="712" spans="2:9" x14ac:dyDescent="0.35">
      <c r="B712" s="4">
        <v>44984</v>
      </c>
      <c r="C712" s="6" t="s">
        <v>3</v>
      </c>
      <c r="D7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2" s="7">
        <v>87.98</v>
      </c>
      <c r="F712" s="9">
        <v>5.5105000000000004</v>
      </c>
      <c r="G712" s="11">
        <v>50.002741252123514</v>
      </c>
      <c r="I712" s="28"/>
    </row>
    <row r="713" spans="2:9" x14ac:dyDescent="0.35">
      <c r="B713" s="4">
        <v>44985</v>
      </c>
      <c r="C713" s="6" t="s">
        <v>3</v>
      </c>
      <c r="D7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3" s="7">
        <v>64.92</v>
      </c>
      <c r="F713" s="9">
        <v>2.7686250000000001</v>
      </c>
      <c r="G713" s="11">
        <v>52.746727970706061</v>
      </c>
      <c r="I713" s="28"/>
    </row>
    <row r="714" spans="2:9" x14ac:dyDescent="0.35">
      <c r="B714" s="4">
        <v>44986</v>
      </c>
      <c r="C714" s="6" t="s">
        <v>3</v>
      </c>
      <c r="D7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4" s="7">
        <v>91.31</v>
      </c>
      <c r="F714" s="9">
        <v>1.87785</v>
      </c>
      <c r="G714" s="11">
        <v>53.30208757231199</v>
      </c>
      <c r="I714" s="28"/>
    </row>
    <row r="715" spans="2:9" x14ac:dyDescent="0.35">
      <c r="B715" s="4">
        <v>44987</v>
      </c>
      <c r="C715" s="6" t="s">
        <v>3</v>
      </c>
      <c r="D7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5" s="7">
        <v>92</v>
      </c>
      <c r="F715" s="9">
        <v>2.3887749999999999</v>
      </c>
      <c r="G715" s="11">
        <v>52.816073747368947</v>
      </c>
      <c r="I715" s="28"/>
    </row>
    <row r="716" spans="2:9" x14ac:dyDescent="0.35">
      <c r="B716" s="4">
        <v>44988</v>
      </c>
      <c r="C716" s="6" t="s">
        <v>3</v>
      </c>
      <c r="D7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6" s="7">
        <v>92.42</v>
      </c>
      <c r="F716" s="9">
        <v>1.92065</v>
      </c>
      <c r="G716" s="11">
        <v>53.205894348783666</v>
      </c>
      <c r="I716" s="28"/>
    </row>
    <row r="717" spans="2:9" x14ac:dyDescent="0.35">
      <c r="B717" s="4">
        <v>44989</v>
      </c>
      <c r="C717" s="6" t="s">
        <v>3</v>
      </c>
      <c r="D7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7" s="7">
        <v>22.02</v>
      </c>
      <c r="F717" s="9">
        <v>2.1801250000000003</v>
      </c>
      <c r="G717" s="11">
        <v>53.077446925719734</v>
      </c>
      <c r="I717" s="28"/>
    </row>
    <row r="718" spans="2:9" x14ac:dyDescent="0.35">
      <c r="B718" s="4">
        <v>44991</v>
      </c>
      <c r="C718" s="6" t="s">
        <v>3</v>
      </c>
      <c r="D7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8" s="7">
        <v>65</v>
      </c>
      <c r="F718" s="9">
        <v>1.77085</v>
      </c>
      <c r="G718" s="11">
        <v>53.852353530295446</v>
      </c>
      <c r="I718" s="28"/>
    </row>
    <row r="719" spans="2:9" x14ac:dyDescent="0.35">
      <c r="B719" s="4">
        <v>44993</v>
      </c>
      <c r="C719" s="6" t="s">
        <v>3</v>
      </c>
      <c r="D7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19" s="7">
        <v>90.2</v>
      </c>
      <c r="F719" s="9">
        <v>3.2902500000000003</v>
      </c>
      <c r="G719" s="11">
        <v>51.973894165929423</v>
      </c>
      <c r="I719" s="28"/>
    </row>
    <row r="720" spans="2:9" x14ac:dyDescent="0.35">
      <c r="B720" s="4">
        <v>44994</v>
      </c>
      <c r="C720" s="6" t="s">
        <v>3</v>
      </c>
      <c r="D7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20" s="7">
        <v>45.46</v>
      </c>
      <c r="F720" s="9">
        <v>2.23095</v>
      </c>
      <c r="G720" s="11">
        <v>53.102979840692427</v>
      </c>
      <c r="I720" s="28"/>
    </row>
    <row r="721" spans="2:9" x14ac:dyDescent="0.35">
      <c r="B721" s="4">
        <v>44995</v>
      </c>
      <c r="C721" s="6" t="s">
        <v>3</v>
      </c>
      <c r="D7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21" s="7">
        <v>67</v>
      </c>
      <c r="F721" s="9">
        <v>3.7022000000000004</v>
      </c>
      <c r="G721" s="11">
        <v>51.446035811662334</v>
      </c>
      <c r="I721" s="28"/>
    </row>
    <row r="722" spans="2:9" x14ac:dyDescent="0.35">
      <c r="B722" s="4">
        <v>45002</v>
      </c>
      <c r="C722" s="6" t="s">
        <v>3</v>
      </c>
      <c r="D7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22" s="7">
        <v>62.79</v>
      </c>
      <c r="F722" s="9">
        <v>3.3223500000000001</v>
      </c>
      <c r="G722" s="11">
        <v>52.239387165589264</v>
      </c>
      <c r="I722" s="28"/>
    </row>
    <row r="723" spans="2:9" x14ac:dyDescent="0.35">
      <c r="B723" s="4">
        <v>45003</v>
      </c>
      <c r="C723" s="6" t="s">
        <v>3</v>
      </c>
      <c r="D7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23" s="7">
        <v>41.44</v>
      </c>
      <c r="F723" s="9">
        <v>1.249225</v>
      </c>
      <c r="G723" s="11">
        <v>54.106211021400775</v>
      </c>
      <c r="I723" s="28"/>
    </row>
    <row r="724" spans="2:9" x14ac:dyDescent="0.35">
      <c r="B724" s="4">
        <v>45006</v>
      </c>
      <c r="C724" s="6" t="s">
        <v>3</v>
      </c>
      <c r="D7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24" s="7">
        <v>63.98</v>
      </c>
      <c r="F724" s="9">
        <v>1.318775</v>
      </c>
      <c r="G724" s="11">
        <v>53.440878296895278</v>
      </c>
      <c r="I724" s="28"/>
    </row>
    <row r="725" spans="2:9" x14ac:dyDescent="0.35">
      <c r="B725" s="4">
        <v>45007</v>
      </c>
      <c r="C725" s="6" t="s">
        <v>3</v>
      </c>
      <c r="D7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25" s="7">
        <v>85.7</v>
      </c>
      <c r="F725" s="9">
        <v>1.2412000000000001</v>
      </c>
      <c r="G725" s="11">
        <v>53.126351593625493</v>
      </c>
      <c r="I725" s="28"/>
    </row>
    <row r="726" spans="2:9" x14ac:dyDescent="0.35">
      <c r="B726" s="4">
        <v>45009</v>
      </c>
      <c r="C726" s="6" t="s">
        <v>3</v>
      </c>
      <c r="D7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26" s="7">
        <v>21.17</v>
      </c>
      <c r="F726" s="9">
        <v>3.1431250000000004</v>
      </c>
      <c r="G726" s="11">
        <v>51.628757907420415</v>
      </c>
      <c r="I726" s="28"/>
    </row>
    <row r="727" spans="2:9" x14ac:dyDescent="0.35">
      <c r="B727" s="4">
        <v>44954</v>
      </c>
      <c r="C727" s="6" t="s">
        <v>10</v>
      </c>
      <c r="D727" s="6" t="str">
        <f>IF(ISNUMBER(MATCH(ING_PRV[[#This Row],[Proveedor]],PARAMETROS!$A$2:$A$8,0)),"COMPRADA",
                    IF(ISNUMBER(MATCH(ING_PRV[[#This Row],[Proveedor]],PARAMETROS!$B$2:$B$8,0)),"PROPIA","NA")
)</f>
        <v>NA</v>
      </c>
      <c r="E727" s="7">
        <v>21.91</v>
      </c>
      <c r="F727" s="9">
        <v>3.9616750000000005</v>
      </c>
      <c r="G727" s="11">
        <v>52.151526332733461</v>
      </c>
      <c r="I727" s="28"/>
    </row>
    <row r="728" spans="2:9" x14ac:dyDescent="0.35">
      <c r="B728" s="4">
        <v>44958</v>
      </c>
      <c r="C728" s="6" t="s">
        <v>10</v>
      </c>
      <c r="D728" s="6" t="str">
        <f>IF(ISNUMBER(MATCH(ING_PRV[[#This Row],[Proveedor]],PARAMETROS!$A$2:$A$8,0)),"COMPRADA",
                    IF(ISNUMBER(MATCH(ING_PRV[[#This Row],[Proveedor]],PARAMETROS!$B$2:$B$8,0)),"PROPIA","NA")
)</f>
        <v>NA</v>
      </c>
      <c r="E728" s="7">
        <v>73.2</v>
      </c>
      <c r="F728" s="9">
        <v>8.9050750000000001</v>
      </c>
      <c r="G728" s="11">
        <v>48.989203123435779</v>
      </c>
      <c r="I728" s="28"/>
    </row>
    <row r="729" spans="2:9" x14ac:dyDescent="0.35">
      <c r="B729" s="4">
        <v>44963</v>
      </c>
      <c r="C729" s="6" t="s">
        <v>10</v>
      </c>
      <c r="D729" s="6" t="str">
        <f>IF(ISNUMBER(MATCH(ING_PRV[[#This Row],[Proveedor]],PARAMETROS!$A$2:$A$8,0)),"COMPRADA",
                    IF(ISNUMBER(MATCH(ING_PRV[[#This Row],[Proveedor]],PARAMETROS!$B$2:$B$8,0)),"PROPIA","NA")
)</f>
        <v>NA</v>
      </c>
      <c r="E729" s="7">
        <v>24.15</v>
      </c>
      <c r="F729" s="9">
        <v>7.6612000000000009</v>
      </c>
      <c r="G729" s="11">
        <v>49.32012206614047</v>
      </c>
      <c r="I729" s="28"/>
    </row>
    <row r="730" spans="2:9" x14ac:dyDescent="0.35">
      <c r="B730" s="4">
        <v>44957</v>
      </c>
      <c r="C730" s="6" t="s">
        <v>5</v>
      </c>
      <c r="D7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0" s="7">
        <v>18.22</v>
      </c>
      <c r="F730" s="9">
        <v>1.6852500000000001</v>
      </c>
      <c r="G730" s="11">
        <v>51.860087699441564</v>
      </c>
      <c r="I730" s="28"/>
    </row>
    <row r="731" spans="2:9" x14ac:dyDescent="0.35">
      <c r="B731" s="4">
        <v>44966</v>
      </c>
      <c r="C731" s="6" t="s">
        <v>5</v>
      </c>
      <c r="D7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1" s="7">
        <v>36.090000000000003</v>
      </c>
      <c r="F731" s="9">
        <v>0.45474999999999999</v>
      </c>
      <c r="G731" s="11">
        <v>51.899155059517859</v>
      </c>
      <c r="I731" s="28"/>
    </row>
    <row r="732" spans="2:9" x14ac:dyDescent="0.35">
      <c r="B732" s="4">
        <v>44967</v>
      </c>
      <c r="C732" s="6" t="s">
        <v>5</v>
      </c>
      <c r="D7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2" s="7">
        <v>67.59</v>
      </c>
      <c r="F732" s="9">
        <v>0.33437499999999998</v>
      </c>
      <c r="G732" s="11">
        <v>54.402811513020055</v>
      </c>
      <c r="I732" s="28"/>
    </row>
    <row r="733" spans="2:9" x14ac:dyDescent="0.35">
      <c r="B733" s="4">
        <v>44968</v>
      </c>
      <c r="C733" s="6" t="s">
        <v>5</v>
      </c>
      <c r="D7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3" s="7">
        <v>64.680000000000007</v>
      </c>
      <c r="F733" s="9">
        <v>1.0325500000000001</v>
      </c>
      <c r="G733" s="11">
        <v>53.704105150722469</v>
      </c>
      <c r="I733" s="28"/>
    </row>
    <row r="734" spans="2:9" x14ac:dyDescent="0.35">
      <c r="B734" s="4">
        <v>44970</v>
      </c>
      <c r="C734" s="6" t="s">
        <v>5</v>
      </c>
      <c r="D7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4" s="7">
        <v>29.12</v>
      </c>
      <c r="F734" s="9">
        <v>2.9692500000000002</v>
      </c>
      <c r="G734" s="11">
        <v>52.890337767954975</v>
      </c>
      <c r="I734" s="28"/>
    </row>
    <row r="735" spans="2:9" x14ac:dyDescent="0.35">
      <c r="B735" s="4">
        <v>44971</v>
      </c>
      <c r="C735" s="6" t="s">
        <v>5</v>
      </c>
      <c r="D7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5" s="7">
        <v>35.19</v>
      </c>
      <c r="F735" s="9">
        <v>1.1984000000000001</v>
      </c>
      <c r="G735" s="11">
        <v>53.864328929788506</v>
      </c>
      <c r="I735" s="28"/>
    </row>
    <row r="736" spans="2:9" x14ac:dyDescent="0.35">
      <c r="B736" s="4">
        <v>44972</v>
      </c>
      <c r="C736" s="6" t="s">
        <v>5</v>
      </c>
      <c r="D7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6" s="7">
        <v>208.02</v>
      </c>
      <c r="F736" s="9">
        <v>0.47882500000000006</v>
      </c>
      <c r="G736" s="11">
        <v>54.588983714948611</v>
      </c>
      <c r="I736" s="28"/>
    </row>
    <row r="737" spans="2:9" x14ac:dyDescent="0.35">
      <c r="B737" s="4">
        <v>44973</v>
      </c>
      <c r="C737" s="6" t="s">
        <v>5</v>
      </c>
      <c r="D7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7" s="7">
        <v>43.79</v>
      </c>
      <c r="F737" s="9">
        <v>1.1047750000000001</v>
      </c>
      <c r="G737" s="11">
        <v>53.447329703304959</v>
      </c>
      <c r="I737" s="28"/>
    </row>
    <row r="738" spans="2:9" x14ac:dyDescent="0.35">
      <c r="B738" s="4">
        <v>44974</v>
      </c>
      <c r="C738" s="6" t="s">
        <v>5</v>
      </c>
      <c r="D7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8" s="7">
        <v>218.62</v>
      </c>
      <c r="F738" s="9">
        <v>1.8029500000000001</v>
      </c>
      <c r="G738" s="11">
        <v>53.242715570442954</v>
      </c>
      <c r="I738" s="28"/>
    </row>
    <row r="739" spans="2:9" x14ac:dyDescent="0.35">
      <c r="B739" s="4">
        <v>44975</v>
      </c>
      <c r="C739" s="6" t="s">
        <v>5</v>
      </c>
      <c r="D7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39" s="7">
        <v>172.45</v>
      </c>
      <c r="F739" s="9">
        <v>0.75970000000000004</v>
      </c>
      <c r="G739" s="11">
        <v>53.946289183316679</v>
      </c>
      <c r="I739" s="28"/>
    </row>
    <row r="740" spans="2:9" x14ac:dyDescent="0.35">
      <c r="B740" s="4">
        <v>44977</v>
      </c>
      <c r="C740" s="6" t="s">
        <v>5</v>
      </c>
      <c r="D7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0" s="7">
        <v>36.020000000000003</v>
      </c>
      <c r="F740" s="9">
        <v>2.0972</v>
      </c>
      <c r="G740" s="11">
        <v>53.059936839669831</v>
      </c>
      <c r="I740" s="28"/>
    </row>
    <row r="741" spans="2:9" x14ac:dyDescent="0.35">
      <c r="B741" s="4">
        <v>44978</v>
      </c>
      <c r="C741" s="6" t="s">
        <v>5</v>
      </c>
      <c r="D7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1" s="7">
        <v>178.59</v>
      </c>
      <c r="F741" s="9">
        <v>2.0784750000000001</v>
      </c>
      <c r="G741" s="11">
        <v>52.966257967767689</v>
      </c>
      <c r="I741" s="28"/>
    </row>
    <row r="742" spans="2:9" x14ac:dyDescent="0.35">
      <c r="B742" s="4">
        <v>44979</v>
      </c>
      <c r="C742" s="6" t="s">
        <v>5</v>
      </c>
      <c r="D7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2" s="7">
        <v>256.04000000000002</v>
      </c>
      <c r="F742" s="9">
        <v>0.53767500000000001</v>
      </c>
      <c r="G742" s="11">
        <v>53.793663837372321</v>
      </c>
      <c r="I742" s="28"/>
    </row>
    <row r="743" spans="2:9" x14ac:dyDescent="0.35">
      <c r="B743" s="4">
        <v>44980</v>
      </c>
      <c r="C743" s="6" t="s">
        <v>5</v>
      </c>
      <c r="D7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3" s="7">
        <v>65.19</v>
      </c>
      <c r="F743" s="9">
        <v>1.3241250000000002</v>
      </c>
      <c r="G743" s="11">
        <v>53.085143783079388</v>
      </c>
      <c r="I743" s="28"/>
    </row>
    <row r="744" spans="2:9" x14ac:dyDescent="0.35">
      <c r="B744" s="4">
        <v>44981</v>
      </c>
      <c r="C744" s="6" t="s">
        <v>5</v>
      </c>
      <c r="D7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4" s="7">
        <v>280.24</v>
      </c>
      <c r="F744" s="9">
        <v>4.2559250000000004</v>
      </c>
      <c r="G744" s="11">
        <v>51.461447034105667</v>
      </c>
      <c r="I744" s="28"/>
    </row>
    <row r="745" spans="2:9" x14ac:dyDescent="0.35">
      <c r="B745" s="4">
        <v>44982</v>
      </c>
      <c r="C745" s="6" t="s">
        <v>5</v>
      </c>
      <c r="D7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5" s="7">
        <v>290.58999999999997</v>
      </c>
      <c r="F745" s="9">
        <v>0.55640000000000001</v>
      </c>
      <c r="G745" s="11">
        <v>54.34409622293505</v>
      </c>
      <c r="I745" s="28"/>
    </row>
    <row r="746" spans="2:9" x14ac:dyDescent="0.35">
      <c r="B746" s="4">
        <v>44984</v>
      </c>
      <c r="C746" s="6" t="s">
        <v>5</v>
      </c>
      <c r="D7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6" s="7">
        <v>260.70999999999998</v>
      </c>
      <c r="F746" s="9">
        <v>1.0512750000000002</v>
      </c>
      <c r="G746" s="11">
        <v>53.267547593962412</v>
      </c>
      <c r="I746" s="28"/>
    </row>
    <row r="747" spans="2:9" x14ac:dyDescent="0.35">
      <c r="B747" s="4">
        <v>44985</v>
      </c>
      <c r="C747" s="6" t="s">
        <v>5</v>
      </c>
      <c r="D7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7" s="7">
        <v>336.64</v>
      </c>
      <c r="F747" s="9">
        <v>3.9830750000000004</v>
      </c>
      <c r="G747" s="11">
        <v>51.514104507795324</v>
      </c>
      <c r="I747" s="28"/>
    </row>
    <row r="748" spans="2:9" x14ac:dyDescent="0.35">
      <c r="B748" s="4">
        <v>44986</v>
      </c>
      <c r="C748" s="6" t="s">
        <v>5</v>
      </c>
      <c r="D7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8" s="7">
        <v>287.95999999999998</v>
      </c>
      <c r="F748" s="9">
        <v>0.39590000000000003</v>
      </c>
      <c r="G748" s="11">
        <v>54.395538584527515</v>
      </c>
      <c r="I748" s="28"/>
    </row>
    <row r="749" spans="2:9" x14ac:dyDescent="0.35">
      <c r="B749" s="4">
        <v>44987</v>
      </c>
      <c r="C749" s="6" t="s">
        <v>5</v>
      </c>
      <c r="D7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49" s="7">
        <v>441.02</v>
      </c>
      <c r="F749" s="9">
        <v>2.0972</v>
      </c>
      <c r="G749" s="11">
        <v>53.187669432856573</v>
      </c>
      <c r="I749" s="28"/>
    </row>
    <row r="750" spans="2:9" x14ac:dyDescent="0.35">
      <c r="B750" s="4">
        <v>44988</v>
      </c>
      <c r="C750" s="6" t="s">
        <v>5</v>
      </c>
      <c r="D7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0" s="7">
        <v>203.11</v>
      </c>
      <c r="F750" s="9">
        <v>1.0780250000000002</v>
      </c>
      <c r="G750" s="11">
        <v>53.783035723472672</v>
      </c>
      <c r="I750" s="28"/>
    </row>
    <row r="751" spans="2:9" x14ac:dyDescent="0.35">
      <c r="B751" s="4">
        <v>44989</v>
      </c>
      <c r="C751" s="6" t="s">
        <v>5</v>
      </c>
      <c r="D7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1" s="7">
        <v>237.76</v>
      </c>
      <c r="F751" s="9">
        <v>1.393675</v>
      </c>
      <c r="G751" s="11">
        <v>53.393131410256409</v>
      </c>
      <c r="I751" s="28"/>
    </row>
    <row r="752" spans="2:9" x14ac:dyDescent="0.35">
      <c r="B752" s="4">
        <v>44991</v>
      </c>
      <c r="C752" s="6" t="s">
        <v>5</v>
      </c>
      <c r="D7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2" s="7">
        <v>329.91</v>
      </c>
      <c r="F752" s="9">
        <v>0.66874999999999996</v>
      </c>
      <c r="G752" s="11">
        <v>54.144792759948011</v>
      </c>
      <c r="I752" s="28"/>
    </row>
    <row r="753" spans="2:9" x14ac:dyDescent="0.35">
      <c r="B753" s="4">
        <v>44992</v>
      </c>
      <c r="C753" s="6" t="s">
        <v>5</v>
      </c>
      <c r="D7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3" s="7">
        <v>185.43</v>
      </c>
      <c r="F753" s="9">
        <v>0.63129999999999997</v>
      </c>
      <c r="G753" s="11">
        <v>54.060652990392313</v>
      </c>
      <c r="I753" s="28"/>
    </row>
    <row r="754" spans="2:9" x14ac:dyDescent="0.35">
      <c r="B754" s="4">
        <v>44993</v>
      </c>
      <c r="C754" s="6" t="s">
        <v>5</v>
      </c>
      <c r="D7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4" s="7">
        <v>250.1</v>
      </c>
      <c r="F754" s="9">
        <v>1.04325</v>
      </c>
      <c r="G754" s="11">
        <v>53.407568074877041</v>
      </c>
      <c r="I754" s="28"/>
    </row>
    <row r="755" spans="2:9" x14ac:dyDescent="0.35">
      <c r="B755" s="4">
        <v>44994</v>
      </c>
      <c r="C755" s="6" t="s">
        <v>5</v>
      </c>
      <c r="D7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5" s="7">
        <v>73.97</v>
      </c>
      <c r="F755" s="9">
        <v>0.21934999999999999</v>
      </c>
      <c r="G755" s="11">
        <v>54.515149999999998</v>
      </c>
      <c r="I755" s="28"/>
    </row>
    <row r="756" spans="2:9" x14ac:dyDescent="0.35">
      <c r="B756" s="4">
        <v>44995</v>
      </c>
      <c r="C756" s="6" t="s">
        <v>5</v>
      </c>
      <c r="D7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6" s="7">
        <v>161.07</v>
      </c>
      <c r="F756" s="9">
        <v>1.07</v>
      </c>
      <c r="G756" s="11">
        <v>53.371192606452261</v>
      </c>
      <c r="I756" s="28"/>
    </row>
    <row r="757" spans="2:9" x14ac:dyDescent="0.35">
      <c r="B757" s="4">
        <v>44996</v>
      </c>
      <c r="C757" s="6" t="s">
        <v>5</v>
      </c>
      <c r="D7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7" s="7">
        <v>340.41</v>
      </c>
      <c r="F757" s="9">
        <v>2.6001000000000003</v>
      </c>
      <c r="G757" s="11">
        <v>53.181039830695255</v>
      </c>
      <c r="I757" s="28"/>
    </row>
    <row r="758" spans="2:9" x14ac:dyDescent="0.35">
      <c r="B758" s="4">
        <v>44999</v>
      </c>
      <c r="C758" s="6" t="s">
        <v>5</v>
      </c>
      <c r="D7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8" s="7">
        <v>369.69</v>
      </c>
      <c r="F758" s="9">
        <v>0.65537500000000004</v>
      </c>
      <c r="G758" s="11">
        <v>54.105777581423403</v>
      </c>
      <c r="I758" s="28"/>
    </row>
    <row r="759" spans="2:9" x14ac:dyDescent="0.35">
      <c r="B759" s="4">
        <v>45000</v>
      </c>
      <c r="C759" s="6" t="s">
        <v>5</v>
      </c>
      <c r="D7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59" s="7">
        <v>187.89</v>
      </c>
      <c r="F759" s="9">
        <v>1.5381250000000002</v>
      </c>
      <c r="G759" s="11">
        <v>53.883218782435129</v>
      </c>
      <c r="I759" s="28"/>
    </row>
    <row r="760" spans="2:9" x14ac:dyDescent="0.35">
      <c r="B760" s="4">
        <v>45001</v>
      </c>
      <c r="C760" s="6" t="s">
        <v>5</v>
      </c>
      <c r="D7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60" s="7">
        <v>214.58</v>
      </c>
      <c r="F760" s="9">
        <v>0.382525</v>
      </c>
      <c r="G760" s="11">
        <v>54.409304500800722</v>
      </c>
      <c r="I760" s="28"/>
    </row>
    <row r="761" spans="2:9" x14ac:dyDescent="0.35">
      <c r="B761" s="4">
        <v>45002</v>
      </c>
      <c r="C761" s="6" t="s">
        <v>5</v>
      </c>
      <c r="D7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61" s="7">
        <v>279.58999999999997</v>
      </c>
      <c r="F761" s="9">
        <v>0.44137500000000002</v>
      </c>
      <c r="G761" s="11">
        <v>54.478108087426222</v>
      </c>
      <c r="I761" s="28"/>
    </row>
    <row r="762" spans="2:9" x14ac:dyDescent="0.35">
      <c r="B762" s="4">
        <v>45003</v>
      </c>
      <c r="C762" s="6" t="s">
        <v>5</v>
      </c>
      <c r="D7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62" s="7">
        <v>93.28</v>
      </c>
      <c r="F762" s="9">
        <v>1.2091000000000001</v>
      </c>
      <c r="G762" s="11">
        <v>53.944852094689033</v>
      </c>
      <c r="I762" s="28"/>
    </row>
    <row r="763" spans="2:9" x14ac:dyDescent="0.35">
      <c r="B763" s="4">
        <v>45006</v>
      </c>
      <c r="C763" s="6" t="s">
        <v>5</v>
      </c>
      <c r="D7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63" s="7">
        <v>241.04</v>
      </c>
      <c r="F763" s="9">
        <v>0.75167500000000009</v>
      </c>
      <c r="G763" s="11">
        <v>53.865411322941647</v>
      </c>
      <c r="I763" s="28"/>
    </row>
    <row r="764" spans="2:9" x14ac:dyDescent="0.35">
      <c r="B764" s="4">
        <v>45008</v>
      </c>
      <c r="C764" s="6" t="s">
        <v>5</v>
      </c>
      <c r="D7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64" s="7">
        <v>153.87</v>
      </c>
      <c r="F764" s="9">
        <v>1.1208250000000002</v>
      </c>
      <c r="G764" s="11">
        <v>53.939728909845911</v>
      </c>
      <c r="I764" s="28"/>
    </row>
    <row r="765" spans="2:9" x14ac:dyDescent="0.35">
      <c r="B765" s="4">
        <v>45009</v>
      </c>
      <c r="C765" s="6" t="s">
        <v>5</v>
      </c>
      <c r="D7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65" s="7">
        <v>207.94</v>
      </c>
      <c r="F765" s="9">
        <v>0.80249999999999999</v>
      </c>
      <c r="G765" s="11">
        <v>52.964897859708643</v>
      </c>
      <c r="I765" s="28"/>
    </row>
    <row r="766" spans="2:9" x14ac:dyDescent="0.35">
      <c r="B766" s="4">
        <v>45010</v>
      </c>
      <c r="C766" s="6" t="s">
        <v>5</v>
      </c>
      <c r="D7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66" s="7">
        <v>95.66</v>
      </c>
      <c r="F766" s="9">
        <v>1.6825750000000002</v>
      </c>
      <c r="G766" s="11">
        <v>52.570101923076919</v>
      </c>
      <c r="I766" s="28"/>
    </row>
    <row r="767" spans="2:9" x14ac:dyDescent="0.35">
      <c r="B767" s="4">
        <v>45017</v>
      </c>
      <c r="C767" s="6" t="s">
        <v>5</v>
      </c>
      <c r="D7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67" s="7">
        <v>0.97360000000000002</v>
      </c>
      <c r="F767" s="9">
        <v>1.773525</v>
      </c>
      <c r="G767" s="11">
        <v>53.068606454653704</v>
      </c>
      <c r="I767" s="28"/>
    </row>
    <row r="768" spans="2:9" x14ac:dyDescent="0.35">
      <c r="B768" s="4">
        <v>44996</v>
      </c>
      <c r="C768" s="6" t="s">
        <v>11</v>
      </c>
      <c r="D768" s="6" t="str">
        <f>IF(ISNUMBER(MATCH(ING_PRV[[#This Row],[Proveedor]],PARAMETROS!$A$2:$A$8,0)),"COMPRADA",
                    IF(ISNUMBER(MATCH(ING_PRV[[#This Row],[Proveedor]],PARAMETROS!$B$2:$B$8,0)),"PROPIA","NA")
)</f>
        <v>NA</v>
      </c>
      <c r="E768" s="7">
        <v>20</v>
      </c>
      <c r="F768" s="9">
        <v>2.0329999999999999</v>
      </c>
      <c r="G768" s="11">
        <v>52.965370096463026</v>
      </c>
      <c r="I768" s="28"/>
    </row>
    <row r="769" spans="2:9" x14ac:dyDescent="0.35">
      <c r="B769" s="4">
        <v>45017</v>
      </c>
      <c r="C769" s="6" t="s">
        <v>11</v>
      </c>
      <c r="D769" s="6" t="str">
        <f>IF(ISNUMBER(MATCH(ING_PRV[[#This Row],[Proveedor]],PARAMETROS!$A$2:$A$8,0)),"COMPRADA",
                    IF(ISNUMBER(MATCH(ING_PRV[[#This Row],[Proveedor]],PARAMETROS!$B$2:$B$8,0)),"PROPIA","NA")
)</f>
        <v>NA</v>
      </c>
      <c r="E769" s="7">
        <v>7.9489999999999991E-2</v>
      </c>
      <c r="F769" s="9">
        <v>2.362025</v>
      </c>
      <c r="G769" s="11">
        <v>48.196788817109883</v>
      </c>
      <c r="I769" s="28"/>
    </row>
    <row r="770" spans="2:9" x14ac:dyDescent="0.35">
      <c r="B770" s="4">
        <v>44952</v>
      </c>
      <c r="C770" s="6" t="s">
        <v>12</v>
      </c>
      <c r="D770" s="6" t="str">
        <f>IF(ISNUMBER(MATCH(ING_PRV[[#This Row],[Proveedor]],PARAMETROS!$A$2:$A$8,0)),"COMPRADA",
                    IF(ISNUMBER(MATCH(ING_PRV[[#This Row],[Proveedor]],PARAMETROS!$B$2:$B$8,0)),"PROPIA","NA")
)</f>
        <v>NA</v>
      </c>
      <c r="E770" s="7">
        <v>139.13999999999999</v>
      </c>
      <c r="F770" s="9">
        <v>1.38565</v>
      </c>
      <c r="G770" s="11">
        <v>53.749432852593038</v>
      </c>
      <c r="I770" s="28"/>
    </row>
    <row r="771" spans="2:9" x14ac:dyDescent="0.35">
      <c r="B771" s="4">
        <v>44953</v>
      </c>
      <c r="C771" s="6" t="s">
        <v>12</v>
      </c>
      <c r="D771" s="6" t="str">
        <f>IF(ISNUMBER(MATCH(ING_PRV[[#This Row],[Proveedor]],PARAMETROS!$A$2:$A$8,0)),"COMPRADA",
                    IF(ISNUMBER(MATCH(ING_PRV[[#This Row],[Proveedor]],PARAMETROS!$B$2:$B$8,0)),"PROPIA","NA")
)</f>
        <v>NA</v>
      </c>
      <c r="E771" s="7">
        <v>715.84</v>
      </c>
      <c r="F771" s="9">
        <v>1.1689750000000001</v>
      </c>
      <c r="G771" s="11">
        <v>53.764947376363999</v>
      </c>
      <c r="I771" s="28"/>
    </row>
    <row r="772" spans="2:9" x14ac:dyDescent="0.35">
      <c r="B772" s="4">
        <v>44954</v>
      </c>
      <c r="C772" s="6" t="s">
        <v>12</v>
      </c>
      <c r="D772" s="6" t="str">
        <f>IF(ISNUMBER(MATCH(ING_PRV[[#This Row],[Proveedor]],PARAMETROS!$A$2:$A$8,0)),"COMPRADA",
                    IF(ISNUMBER(MATCH(ING_PRV[[#This Row],[Proveedor]],PARAMETROS!$B$2:$B$8,0)),"PROPIA","NA")
)</f>
        <v>NA</v>
      </c>
      <c r="E772" s="7">
        <v>623.52</v>
      </c>
      <c r="F772" s="9">
        <v>1.9313500000000001</v>
      </c>
      <c r="G772" s="11">
        <v>52.637642105394356</v>
      </c>
      <c r="I772" s="28"/>
    </row>
    <row r="773" spans="2:9" x14ac:dyDescent="0.35">
      <c r="B773" s="4">
        <v>44956</v>
      </c>
      <c r="C773" s="6" t="s">
        <v>12</v>
      </c>
      <c r="D773" s="6" t="str">
        <f>IF(ISNUMBER(MATCH(ING_PRV[[#This Row],[Proveedor]],PARAMETROS!$A$2:$A$8,0)),"COMPRADA",
                    IF(ISNUMBER(MATCH(ING_PRV[[#This Row],[Proveedor]],PARAMETROS!$B$2:$B$8,0)),"PROPIA","NA")
)</f>
        <v>NA</v>
      </c>
      <c r="E773" s="7">
        <v>812.33</v>
      </c>
      <c r="F773" s="9">
        <v>1.5541750000000001</v>
      </c>
      <c r="G773" s="11">
        <v>53.62078482043097</v>
      </c>
      <c r="I773" s="28"/>
    </row>
    <row r="774" spans="2:9" x14ac:dyDescent="0.35">
      <c r="B774" s="4">
        <v>44957</v>
      </c>
      <c r="C774" s="6" t="s">
        <v>12</v>
      </c>
      <c r="D774" s="6" t="str">
        <f>IF(ISNUMBER(MATCH(ING_PRV[[#This Row],[Proveedor]],PARAMETROS!$A$2:$A$8,0)),"COMPRADA",
                    IF(ISNUMBER(MATCH(ING_PRV[[#This Row],[Proveedor]],PARAMETROS!$B$2:$B$8,0)),"PROPIA","NA")
)</f>
        <v>NA</v>
      </c>
      <c r="E774" s="7">
        <v>577.28</v>
      </c>
      <c r="F774" s="9">
        <v>1.7253750000000001</v>
      </c>
      <c r="G774" s="11">
        <v>52.335801205659628</v>
      </c>
      <c r="I774" s="28"/>
    </row>
    <row r="775" spans="2:9" x14ac:dyDescent="0.35">
      <c r="B775" s="4">
        <v>44958</v>
      </c>
      <c r="C775" s="6" t="s">
        <v>12</v>
      </c>
      <c r="D775" s="6" t="str">
        <f>IF(ISNUMBER(MATCH(ING_PRV[[#This Row],[Proveedor]],PARAMETROS!$A$2:$A$8,0)),"COMPRADA",
                    IF(ISNUMBER(MATCH(ING_PRV[[#This Row],[Proveedor]],PARAMETROS!$B$2:$B$8,0)),"PROPIA","NA")
)</f>
        <v>NA</v>
      </c>
      <c r="E775" s="7">
        <v>648</v>
      </c>
      <c r="F775" s="9">
        <v>1.8832000000000002</v>
      </c>
      <c r="G775" s="11">
        <v>52.764451918176391</v>
      </c>
      <c r="I775" s="28"/>
    </row>
    <row r="776" spans="2:9" x14ac:dyDescent="0.35">
      <c r="B776" s="4">
        <v>44959</v>
      </c>
      <c r="C776" s="6" t="s">
        <v>12</v>
      </c>
      <c r="D776" s="6" t="str">
        <f>IF(ISNUMBER(MATCH(ING_PRV[[#This Row],[Proveedor]],PARAMETROS!$A$2:$A$8,0)),"COMPRADA",
                    IF(ISNUMBER(MATCH(ING_PRV[[#This Row],[Proveedor]],PARAMETROS!$B$2:$B$8,0)),"PROPIA","NA")
)</f>
        <v>NA</v>
      </c>
      <c r="E776" s="7">
        <v>704.12</v>
      </c>
      <c r="F776" s="9">
        <v>1.4659000000000002</v>
      </c>
      <c r="G776" s="11">
        <v>53.238102072042793</v>
      </c>
      <c r="I776" s="28"/>
    </row>
    <row r="777" spans="2:9" x14ac:dyDescent="0.35">
      <c r="B777" s="4">
        <v>44960</v>
      </c>
      <c r="C777" s="6" t="s">
        <v>12</v>
      </c>
      <c r="D777" s="6" t="str">
        <f>IF(ISNUMBER(MATCH(ING_PRV[[#This Row],[Proveedor]],PARAMETROS!$A$2:$A$8,0)),"COMPRADA",
                    IF(ISNUMBER(MATCH(ING_PRV[[#This Row],[Proveedor]],PARAMETROS!$B$2:$B$8,0)),"PROPIA","NA")
)</f>
        <v>NA</v>
      </c>
      <c r="E777" s="7">
        <v>730.36</v>
      </c>
      <c r="F777" s="9">
        <v>1.7280500000000001</v>
      </c>
      <c r="G777" s="11">
        <v>53.17434033457436</v>
      </c>
      <c r="I777" s="28"/>
    </row>
    <row r="778" spans="2:9" x14ac:dyDescent="0.35">
      <c r="B778" s="4">
        <v>44963</v>
      </c>
      <c r="C778" s="6" t="s">
        <v>12</v>
      </c>
      <c r="D778" s="6" t="str">
        <f>IF(ISNUMBER(MATCH(ING_PRV[[#This Row],[Proveedor]],PARAMETROS!$A$2:$A$8,0)),"COMPRADA",
                    IF(ISNUMBER(MATCH(ING_PRV[[#This Row],[Proveedor]],PARAMETROS!$B$2:$B$8,0)),"PROPIA","NA")
)</f>
        <v>NA</v>
      </c>
      <c r="E778" s="7">
        <v>567.77</v>
      </c>
      <c r="F778" s="9">
        <v>2.0329999999999999</v>
      </c>
      <c r="G778" s="11">
        <v>53.037268370066123</v>
      </c>
      <c r="I778" s="28"/>
    </row>
    <row r="779" spans="2:9" x14ac:dyDescent="0.35">
      <c r="B779" s="4">
        <v>44964</v>
      </c>
      <c r="C779" s="6" t="s">
        <v>12</v>
      </c>
      <c r="D779" s="6" t="str">
        <f>IF(ISNUMBER(MATCH(ING_PRV[[#This Row],[Proveedor]],PARAMETROS!$A$2:$A$8,0)),"COMPRADA",
                    IF(ISNUMBER(MATCH(ING_PRV[[#This Row],[Proveedor]],PARAMETROS!$B$2:$B$8,0)),"PROPIA","NA")
)</f>
        <v>NA</v>
      </c>
      <c r="E779" s="7">
        <v>787.29</v>
      </c>
      <c r="F779" s="9">
        <v>1.8002750000000003</v>
      </c>
      <c r="G779" s="11">
        <v>53.3004900258655</v>
      </c>
      <c r="I779" s="28"/>
    </row>
    <row r="780" spans="2:9" x14ac:dyDescent="0.35">
      <c r="B780" s="4">
        <v>44965</v>
      </c>
      <c r="C780" s="6" t="s">
        <v>12</v>
      </c>
      <c r="D780" s="6" t="str">
        <f>IF(ISNUMBER(MATCH(ING_PRV[[#This Row],[Proveedor]],PARAMETROS!$A$2:$A$8,0)),"COMPRADA",
                    IF(ISNUMBER(MATCH(ING_PRV[[#This Row],[Proveedor]],PARAMETROS!$B$2:$B$8,0)),"PROPIA","NA")
)</f>
        <v>NA</v>
      </c>
      <c r="E780" s="7">
        <v>641.16</v>
      </c>
      <c r="F780" s="9">
        <v>1.2759749999999999</v>
      </c>
      <c r="G780" s="11">
        <v>52.90104083896788</v>
      </c>
      <c r="I780" s="28"/>
    </row>
    <row r="781" spans="2:9" x14ac:dyDescent="0.35">
      <c r="B781" s="4">
        <v>44966</v>
      </c>
      <c r="C781" s="6" t="s">
        <v>12</v>
      </c>
      <c r="D781" s="6" t="str">
        <f>IF(ISNUMBER(MATCH(ING_PRV[[#This Row],[Proveedor]],PARAMETROS!$A$2:$A$8,0)),"COMPRADA",
                    IF(ISNUMBER(MATCH(ING_PRV[[#This Row],[Proveedor]],PARAMETROS!$B$2:$B$8,0)),"PROPIA","NA")
)</f>
        <v>NA</v>
      </c>
      <c r="E781" s="7">
        <v>799.8</v>
      </c>
      <c r="F781" s="9">
        <v>2.8997000000000002</v>
      </c>
      <c r="G781" s="11">
        <v>51.372303324335128</v>
      </c>
      <c r="I781" s="28"/>
    </row>
    <row r="782" spans="2:9" x14ac:dyDescent="0.35">
      <c r="B782" s="4">
        <v>44967</v>
      </c>
      <c r="C782" s="6" t="s">
        <v>12</v>
      </c>
      <c r="D782" s="6" t="str">
        <f>IF(ISNUMBER(MATCH(ING_PRV[[#This Row],[Proveedor]],PARAMETROS!$A$2:$A$8,0)),"COMPRADA",
                    IF(ISNUMBER(MATCH(ING_PRV[[#This Row],[Proveedor]],PARAMETROS!$B$2:$B$8,0)),"PROPIA","NA")
)</f>
        <v>NA</v>
      </c>
      <c r="E782" s="7">
        <v>178.18</v>
      </c>
      <c r="F782" s="9">
        <v>2.2630500000000002</v>
      </c>
      <c r="G782" s="11">
        <v>52.731833921832887</v>
      </c>
      <c r="I782" s="28"/>
    </row>
    <row r="783" spans="2:9" x14ac:dyDescent="0.35">
      <c r="B783" s="4">
        <v>44964</v>
      </c>
      <c r="C783" s="6" t="s">
        <v>13</v>
      </c>
      <c r="D783" s="6" t="str">
        <f>IF(ISNUMBER(MATCH(ING_PRV[[#This Row],[Proveedor]],PARAMETROS!$A$2:$A$8,0)),"COMPRADA",
                    IF(ISNUMBER(MATCH(ING_PRV[[#This Row],[Proveedor]],PARAMETROS!$B$2:$B$8,0)),"PROPIA","NA")
)</f>
        <v>NA</v>
      </c>
      <c r="E783" s="7">
        <v>285.93</v>
      </c>
      <c r="F783" s="9">
        <v>5.1360000000000001</v>
      </c>
      <c r="G783" s="11">
        <v>51.348688805947738</v>
      </c>
      <c r="I783" s="28"/>
    </row>
    <row r="784" spans="2:9" x14ac:dyDescent="0.35">
      <c r="B784" s="4">
        <v>44971</v>
      </c>
      <c r="C784" s="6" t="s">
        <v>13</v>
      </c>
      <c r="D784" s="6" t="str">
        <f>IF(ISNUMBER(MATCH(ING_PRV[[#This Row],[Proveedor]],PARAMETROS!$A$2:$A$8,0)),"COMPRADA",
                    IF(ISNUMBER(MATCH(ING_PRV[[#This Row],[Proveedor]],PARAMETROS!$B$2:$B$8,0)),"PROPIA","NA")
)</f>
        <v>NA</v>
      </c>
      <c r="E784" s="7">
        <v>55.86</v>
      </c>
      <c r="F784" s="9">
        <v>27.82</v>
      </c>
      <c r="G784" s="11">
        <v>36.799141688184463</v>
      </c>
      <c r="I784" s="28"/>
    </row>
    <row r="785" spans="2:9" x14ac:dyDescent="0.35">
      <c r="B785" s="4">
        <v>44986</v>
      </c>
      <c r="C785" s="6" t="s">
        <v>13</v>
      </c>
      <c r="D785" s="6" t="str">
        <f>IF(ISNUMBER(MATCH(ING_PRV[[#This Row],[Proveedor]],PARAMETROS!$A$2:$A$8,0)),"COMPRADA",
                    IF(ISNUMBER(MATCH(ING_PRV[[#This Row],[Proveedor]],PARAMETROS!$B$2:$B$8,0)),"PROPIA","NA")
)</f>
        <v>NA</v>
      </c>
      <c r="E785" s="7">
        <v>546.51</v>
      </c>
      <c r="F785" s="9">
        <v>2.16675</v>
      </c>
      <c r="G785" s="11">
        <v>53.181206248750755</v>
      </c>
      <c r="I785" s="28"/>
    </row>
    <row r="786" spans="2:9" x14ac:dyDescent="0.35">
      <c r="B786" s="4">
        <v>44987</v>
      </c>
      <c r="C786" s="6" t="s">
        <v>13</v>
      </c>
      <c r="D786" s="6" t="str">
        <f>IF(ISNUMBER(MATCH(ING_PRV[[#This Row],[Proveedor]],PARAMETROS!$A$2:$A$8,0)),"COMPRADA",
                    IF(ISNUMBER(MATCH(ING_PRV[[#This Row],[Proveedor]],PARAMETROS!$B$2:$B$8,0)),"PROPIA","NA")
)</f>
        <v>NA</v>
      </c>
      <c r="E786" s="7">
        <v>265.56</v>
      </c>
      <c r="F786" s="9">
        <v>3.4133</v>
      </c>
      <c r="G786" s="11">
        <v>52.417210505372061</v>
      </c>
      <c r="I786" s="28"/>
    </row>
    <row r="787" spans="2:9" x14ac:dyDescent="0.35">
      <c r="B787" s="4">
        <v>44988</v>
      </c>
      <c r="C787" s="6" t="s">
        <v>13</v>
      </c>
      <c r="D787" s="6" t="str">
        <f>IF(ISNUMBER(MATCH(ING_PRV[[#This Row],[Proveedor]],PARAMETROS!$A$2:$A$8,0)),"COMPRADA",
                    IF(ISNUMBER(MATCH(ING_PRV[[#This Row],[Proveedor]],PARAMETROS!$B$2:$B$8,0)),"PROPIA","NA")
)</f>
        <v>NA</v>
      </c>
      <c r="E787" s="7">
        <v>329.66</v>
      </c>
      <c r="F787" s="9">
        <v>1.3749499999999999</v>
      </c>
      <c r="G787" s="11">
        <v>51.85634743897559</v>
      </c>
      <c r="I787" s="28"/>
    </row>
    <row r="788" spans="2:9" x14ac:dyDescent="0.35">
      <c r="B788" s="4">
        <v>44989</v>
      </c>
      <c r="C788" s="6" t="s">
        <v>13</v>
      </c>
      <c r="D788" s="6" t="str">
        <f>IF(ISNUMBER(MATCH(ING_PRV[[#This Row],[Proveedor]],PARAMETROS!$A$2:$A$8,0)),"COMPRADA",
                    IF(ISNUMBER(MATCH(ING_PRV[[#This Row],[Proveedor]],PARAMETROS!$B$2:$B$8,0)),"PROPIA","NA")
)</f>
        <v>NA</v>
      </c>
      <c r="E788" s="7">
        <v>355.55</v>
      </c>
      <c r="F788" s="9">
        <v>2.2068750000000001</v>
      </c>
      <c r="G788" s="11">
        <v>53.347407155388467</v>
      </c>
      <c r="I788" s="28"/>
    </row>
    <row r="789" spans="2:9" x14ac:dyDescent="0.35">
      <c r="B789" s="4">
        <v>44992</v>
      </c>
      <c r="C789" s="6" t="s">
        <v>13</v>
      </c>
      <c r="D789" s="6" t="str">
        <f>IF(ISNUMBER(MATCH(ING_PRV[[#This Row],[Proveedor]],PARAMETROS!$A$2:$A$8,0)),"COMPRADA",
                    IF(ISNUMBER(MATCH(ING_PRV[[#This Row],[Proveedor]],PARAMETROS!$B$2:$B$8,0)),"PROPIA","NA")
)</f>
        <v>NA</v>
      </c>
      <c r="E789" s="7">
        <v>347.46</v>
      </c>
      <c r="F789" s="9">
        <v>1.3374999999999999</v>
      </c>
      <c r="G789" s="11">
        <v>54.125479722777222</v>
      </c>
      <c r="I789" s="28"/>
    </row>
    <row r="790" spans="2:9" x14ac:dyDescent="0.35">
      <c r="B790" s="4">
        <v>44993</v>
      </c>
      <c r="C790" s="6" t="s">
        <v>13</v>
      </c>
      <c r="D790" s="6" t="str">
        <f>IF(ISNUMBER(MATCH(ING_PRV[[#This Row],[Proveedor]],PARAMETROS!$A$2:$A$8,0)),"COMPRADA",
                    IF(ISNUMBER(MATCH(ING_PRV[[#This Row],[Proveedor]],PARAMETROS!$B$2:$B$8,0)),"PROPIA","NA")
)</f>
        <v>NA</v>
      </c>
      <c r="E790" s="7">
        <v>481.51</v>
      </c>
      <c r="F790" s="9">
        <v>2.164075</v>
      </c>
      <c r="G790" s="11">
        <v>53.005458779488201</v>
      </c>
      <c r="I790" s="28"/>
    </row>
    <row r="791" spans="2:9" x14ac:dyDescent="0.35">
      <c r="B791" s="4">
        <v>44994</v>
      </c>
      <c r="C791" s="6" t="s">
        <v>13</v>
      </c>
      <c r="D791" s="6" t="str">
        <f>IF(ISNUMBER(MATCH(ING_PRV[[#This Row],[Proveedor]],PARAMETROS!$A$2:$A$8,0)),"COMPRADA",
                    IF(ISNUMBER(MATCH(ING_PRV[[#This Row],[Proveedor]],PARAMETROS!$B$2:$B$8,0)),"PROPIA","NA")
)</f>
        <v>NA</v>
      </c>
      <c r="E791" s="7">
        <v>89.34</v>
      </c>
      <c r="F791" s="9">
        <v>1.4659000000000002</v>
      </c>
      <c r="G791" s="11">
        <v>54.05028877757811</v>
      </c>
      <c r="I791" s="28"/>
    </row>
    <row r="792" spans="2:9" x14ac:dyDescent="0.35">
      <c r="B792" s="4">
        <v>44995</v>
      </c>
      <c r="C792" s="6" t="s">
        <v>13</v>
      </c>
      <c r="D792" s="6" t="str">
        <f>IF(ISNUMBER(MATCH(ING_PRV[[#This Row],[Proveedor]],PARAMETROS!$A$2:$A$8,0)),"COMPRADA",
                    IF(ISNUMBER(MATCH(ING_PRV[[#This Row],[Proveedor]],PARAMETROS!$B$2:$B$8,0)),"PROPIA","NA")
)</f>
        <v>NA</v>
      </c>
      <c r="E792" s="7">
        <v>133.63</v>
      </c>
      <c r="F792" s="9">
        <v>3.8145500000000001</v>
      </c>
      <c r="G792" s="11">
        <v>52.154367954522534</v>
      </c>
      <c r="I792" s="28"/>
    </row>
    <row r="793" spans="2:9" x14ac:dyDescent="0.35">
      <c r="B793" s="4">
        <v>44998</v>
      </c>
      <c r="C793" s="6" t="s">
        <v>13</v>
      </c>
      <c r="D793" s="6" t="str">
        <f>IF(ISNUMBER(MATCH(ING_PRV[[#This Row],[Proveedor]],PARAMETROS!$A$2:$A$8,0)),"COMPRADA",
                    IF(ISNUMBER(MATCH(ING_PRV[[#This Row],[Proveedor]],PARAMETROS!$B$2:$B$8,0)),"PROPIA","NA")
)</f>
        <v>NA</v>
      </c>
      <c r="E793" s="7">
        <v>181.93</v>
      </c>
      <c r="F793" s="9">
        <v>2.501125</v>
      </c>
      <c r="G793" s="11">
        <v>53.072584375250301</v>
      </c>
      <c r="I793" s="28"/>
    </row>
    <row r="794" spans="2:9" x14ac:dyDescent="0.35">
      <c r="B794" s="4">
        <v>44999</v>
      </c>
      <c r="C794" s="6" t="s">
        <v>13</v>
      </c>
      <c r="D794" s="6" t="str">
        <f>IF(ISNUMBER(MATCH(ING_PRV[[#This Row],[Proveedor]],PARAMETROS!$A$2:$A$8,0)),"COMPRADA",
                    IF(ISNUMBER(MATCH(ING_PRV[[#This Row],[Proveedor]],PARAMETROS!$B$2:$B$8,0)),"PROPIA","NA")
)</f>
        <v>NA</v>
      </c>
      <c r="E794" s="7">
        <v>426.5</v>
      </c>
      <c r="F794" s="9">
        <v>1.6692000000000002</v>
      </c>
      <c r="G794" s="11">
        <v>53.527638445736045</v>
      </c>
      <c r="I794" s="28"/>
    </row>
    <row r="795" spans="2:9" x14ac:dyDescent="0.35">
      <c r="B795" s="4">
        <v>45000</v>
      </c>
      <c r="C795" s="6" t="s">
        <v>13</v>
      </c>
      <c r="D795" s="6" t="str">
        <f>IF(ISNUMBER(MATCH(ING_PRV[[#This Row],[Proveedor]],PARAMETROS!$A$2:$A$8,0)),"COMPRADA",
                    IF(ISNUMBER(MATCH(ING_PRV[[#This Row],[Proveedor]],PARAMETROS!$B$2:$B$8,0)),"PROPIA","NA")
)</f>
        <v>NA</v>
      </c>
      <c r="E795" s="7">
        <v>307.41000000000003</v>
      </c>
      <c r="F795" s="9">
        <v>1.98485</v>
      </c>
      <c r="G795" s="11">
        <v>53.345910602197037</v>
      </c>
      <c r="I795" s="28"/>
    </row>
    <row r="796" spans="2:9" x14ac:dyDescent="0.35">
      <c r="B796" s="4">
        <v>45001</v>
      </c>
      <c r="C796" s="6" t="s">
        <v>13</v>
      </c>
      <c r="D796" s="6" t="str">
        <f>IF(ISNUMBER(MATCH(ING_PRV[[#This Row],[Proveedor]],PARAMETROS!$A$2:$A$8,0)),"COMPRADA",
                    IF(ISNUMBER(MATCH(ING_PRV[[#This Row],[Proveedor]],PARAMETROS!$B$2:$B$8,0)),"PROPIA","NA")
)</f>
        <v>NA</v>
      </c>
      <c r="E796" s="7">
        <v>408.03</v>
      </c>
      <c r="F796" s="9">
        <v>1.3910000000000002</v>
      </c>
      <c r="G796" s="11">
        <v>54.018282104316548</v>
      </c>
      <c r="I796" s="28"/>
    </row>
    <row r="797" spans="2:9" x14ac:dyDescent="0.35">
      <c r="B797" s="4">
        <v>45002</v>
      </c>
      <c r="C797" s="6" t="s">
        <v>13</v>
      </c>
      <c r="D797" s="6" t="str">
        <f>IF(ISNUMBER(MATCH(ING_PRV[[#This Row],[Proveedor]],PARAMETROS!$A$2:$A$8,0)),"COMPRADA",
                    IF(ISNUMBER(MATCH(ING_PRV[[#This Row],[Proveedor]],PARAMETROS!$B$2:$B$8,0)),"PROPIA","NA")
)</f>
        <v>NA</v>
      </c>
      <c r="E797" s="7">
        <v>185.94</v>
      </c>
      <c r="F797" s="9">
        <v>1.0646500000000001</v>
      </c>
      <c r="G797" s="11">
        <v>54.214739205302955</v>
      </c>
      <c r="I797" s="28"/>
    </row>
    <row r="798" spans="2:9" x14ac:dyDescent="0.35">
      <c r="B798" s="4">
        <v>45003</v>
      </c>
      <c r="C798" s="6" t="s">
        <v>13</v>
      </c>
      <c r="D798" s="6" t="str">
        <f>IF(ISNUMBER(MATCH(ING_PRV[[#This Row],[Proveedor]],PARAMETROS!$A$2:$A$8,0)),"COMPRADA",
                    IF(ISNUMBER(MATCH(ING_PRV[[#This Row],[Proveedor]],PARAMETROS!$B$2:$B$8,0)),"PROPIA","NA")
)</f>
        <v>NA</v>
      </c>
      <c r="E798" s="7">
        <v>272.31</v>
      </c>
      <c r="F798" s="9">
        <v>1.4899750000000003</v>
      </c>
      <c r="G798" s="11">
        <v>53.605501303388813</v>
      </c>
      <c r="I798" s="28"/>
    </row>
    <row r="799" spans="2:9" x14ac:dyDescent="0.35">
      <c r="B799" s="4">
        <v>45019</v>
      </c>
      <c r="C799" s="6" t="s">
        <v>2</v>
      </c>
      <c r="D7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799" s="7">
        <v>134.99</v>
      </c>
      <c r="F799" s="9">
        <v>0.93892500000000001</v>
      </c>
      <c r="G799" s="11">
        <v>52.558462279205138</v>
      </c>
      <c r="I799" s="28"/>
    </row>
    <row r="800" spans="2:9" x14ac:dyDescent="0.35">
      <c r="B800" s="4">
        <v>45020</v>
      </c>
      <c r="C800" s="6" t="s">
        <v>2</v>
      </c>
      <c r="D8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0" s="7">
        <v>134.19999999999999</v>
      </c>
      <c r="F800" s="9">
        <v>2.8060750000000003</v>
      </c>
      <c r="G800" s="11">
        <v>51.964218136942677</v>
      </c>
      <c r="I800" s="28"/>
    </row>
    <row r="801" spans="2:9" x14ac:dyDescent="0.35">
      <c r="B801" s="4">
        <v>45021</v>
      </c>
      <c r="C801" s="6" t="s">
        <v>2</v>
      </c>
      <c r="D8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1" s="7">
        <v>145.18</v>
      </c>
      <c r="F801" s="9">
        <v>1.2733000000000001</v>
      </c>
      <c r="G801" s="11">
        <v>52.921451815920392</v>
      </c>
      <c r="I801" s="28"/>
    </row>
    <row r="802" spans="2:9" x14ac:dyDescent="0.35">
      <c r="B802" s="4">
        <v>45027</v>
      </c>
      <c r="C802" s="6" t="s">
        <v>2</v>
      </c>
      <c r="D8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2" s="7">
        <v>304.26</v>
      </c>
      <c r="F802" s="9">
        <v>1.1235000000000002</v>
      </c>
      <c r="G802" s="11">
        <v>54.358872225554883</v>
      </c>
      <c r="I802" s="28"/>
    </row>
    <row r="803" spans="2:9" x14ac:dyDescent="0.35">
      <c r="B803" s="4">
        <v>45028</v>
      </c>
      <c r="C803" s="6" t="s">
        <v>2</v>
      </c>
      <c r="D8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3" s="7">
        <v>321.8</v>
      </c>
      <c r="F803" s="9">
        <v>1.8805250000000002</v>
      </c>
      <c r="G803" s="11">
        <v>52.583894782174262</v>
      </c>
      <c r="I803" s="28"/>
    </row>
    <row r="804" spans="2:9" x14ac:dyDescent="0.35">
      <c r="B804" s="4">
        <v>45029</v>
      </c>
      <c r="C804" s="6" t="s">
        <v>2</v>
      </c>
      <c r="D8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4" s="7">
        <v>334.05</v>
      </c>
      <c r="F804" s="9">
        <v>1.4097249999999999</v>
      </c>
      <c r="G804" s="11">
        <v>52.695133183860982</v>
      </c>
      <c r="I804" s="28"/>
    </row>
    <row r="805" spans="2:9" x14ac:dyDescent="0.35">
      <c r="B805" s="4">
        <v>45030</v>
      </c>
      <c r="C805" s="6" t="s">
        <v>2</v>
      </c>
      <c r="D8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5" s="7">
        <v>329.66</v>
      </c>
      <c r="F805" s="9">
        <v>2.650925</v>
      </c>
      <c r="G805" s="11">
        <v>50.977750667996013</v>
      </c>
      <c r="I805" s="28"/>
    </row>
    <row r="806" spans="2:9" x14ac:dyDescent="0.35">
      <c r="B806" s="4">
        <v>45031</v>
      </c>
      <c r="C806" s="6" t="s">
        <v>2</v>
      </c>
      <c r="D8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6" s="7">
        <v>174.69</v>
      </c>
      <c r="F806" s="9">
        <v>3.9162000000000003</v>
      </c>
      <c r="G806" s="11">
        <v>50.192362509011716</v>
      </c>
      <c r="I806" s="28"/>
    </row>
    <row r="807" spans="2:9" x14ac:dyDescent="0.35">
      <c r="B807" s="4">
        <v>45033</v>
      </c>
      <c r="C807" s="6" t="s">
        <v>2</v>
      </c>
      <c r="D8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7" s="7">
        <v>132.4</v>
      </c>
      <c r="F807" s="9">
        <v>1.1449</v>
      </c>
      <c r="G807" s="11">
        <v>50.802174170976727</v>
      </c>
      <c r="I807" s="28"/>
    </row>
    <row r="808" spans="2:9" x14ac:dyDescent="0.35">
      <c r="B808" s="4">
        <v>45034</v>
      </c>
      <c r="C808" s="6" t="s">
        <v>2</v>
      </c>
      <c r="D8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8" s="7">
        <v>206.8</v>
      </c>
      <c r="F808" s="9">
        <v>0.26750000000000002</v>
      </c>
      <c r="G808" s="11">
        <v>54.20595084087968</v>
      </c>
      <c r="I808" s="28"/>
    </row>
    <row r="809" spans="2:9" x14ac:dyDescent="0.35">
      <c r="B809" s="4">
        <v>45035</v>
      </c>
      <c r="C809" s="6" t="s">
        <v>2</v>
      </c>
      <c r="D8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09" s="7">
        <v>312.02999999999997</v>
      </c>
      <c r="F809" s="9">
        <v>0.74632500000000002</v>
      </c>
      <c r="G809" s="11">
        <v>52.143136568284149</v>
      </c>
      <c r="I809" s="28"/>
    </row>
    <row r="810" spans="2:9" x14ac:dyDescent="0.35">
      <c r="B810" s="4">
        <v>45037</v>
      </c>
      <c r="C810" s="6" t="s">
        <v>2</v>
      </c>
      <c r="D8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0" s="7">
        <v>174.4</v>
      </c>
      <c r="F810" s="9">
        <v>0.74097500000000005</v>
      </c>
      <c r="G810" s="11">
        <v>54.468574230769228</v>
      </c>
      <c r="I810" s="28"/>
    </row>
    <row r="811" spans="2:9" x14ac:dyDescent="0.35">
      <c r="B811" s="4">
        <v>45038</v>
      </c>
      <c r="C811" s="6" t="s">
        <v>2</v>
      </c>
      <c r="D8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1" s="7">
        <v>102.23</v>
      </c>
      <c r="F811" s="9">
        <v>0.58582500000000004</v>
      </c>
      <c r="G811" s="11">
        <v>54.557044611528823</v>
      </c>
      <c r="I811" s="28"/>
    </row>
    <row r="812" spans="2:9" x14ac:dyDescent="0.35">
      <c r="B812" s="4">
        <v>45040</v>
      </c>
      <c r="C812" s="6" t="s">
        <v>2</v>
      </c>
      <c r="D8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2" s="7">
        <v>241.36</v>
      </c>
      <c r="F812" s="9">
        <v>0.63397500000000007</v>
      </c>
      <c r="G812" s="10">
        <v>54.007189620758474</v>
      </c>
      <c r="I812" s="28"/>
    </row>
    <row r="813" spans="2:9" x14ac:dyDescent="0.35">
      <c r="B813" s="4">
        <v>45041</v>
      </c>
      <c r="C813" s="6" t="s">
        <v>2</v>
      </c>
      <c r="D8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3" s="7">
        <v>197.8</v>
      </c>
      <c r="F813" s="9">
        <v>2.57335</v>
      </c>
      <c r="G813" s="11">
        <v>52.731053315994799</v>
      </c>
      <c r="I813" s="28"/>
    </row>
    <row r="814" spans="2:9" x14ac:dyDescent="0.35">
      <c r="B814" s="4">
        <v>45042</v>
      </c>
      <c r="C814" s="6" t="s">
        <v>2</v>
      </c>
      <c r="D8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4" s="7">
        <v>208.71</v>
      </c>
      <c r="F814" s="9">
        <v>0.63129999999999997</v>
      </c>
      <c r="G814" s="11">
        <v>54.072774215392307</v>
      </c>
      <c r="I814" s="28"/>
    </row>
    <row r="815" spans="2:9" x14ac:dyDescent="0.35">
      <c r="B815" s="4">
        <v>45043</v>
      </c>
      <c r="C815" s="6" t="s">
        <v>2</v>
      </c>
      <c r="D8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5" s="7">
        <v>129.35</v>
      </c>
      <c r="F815" s="9">
        <v>2.0811500000000001</v>
      </c>
      <c r="G815" s="11">
        <v>52.270495000000004</v>
      </c>
      <c r="I815" s="28"/>
    </row>
    <row r="816" spans="2:9" x14ac:dyDescent="0.35">
      <c r="B816" s="4">
        <v>45044</v>
      </c>
      <c r="C816" s="6" t="s">
        <v>2</v>
      </c>
      <c r="D8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6" s="7">
        <v>112.58</v>
      </c>
      <c r="F816" s="9">
        <v>1.7521250000000002</v>
      </c>
      <c r="G816" s="11">
        <v>50.274141982126714</v>
      </c>
      <c r="I816" s="28"/>
    </row>
    <row r="817" spans="2:9" x14ac:dyDescent="0.35">
      <c r="B817" s="4">
        <v>45045</v>
      </c>
      <c r="C817" s="6" t="s">
        <v>2</v>
      </c>
      <c r="D8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7" s="7">
        <v>75.87</v>
      </c>
      <c r="F817" s="9">
        <v>1.0967499999999999</v>
      </c>
      <c r="G817" s="11">
        <v>52.275743061520032</v>
      </c>
      <c r="I817" s="28"/>
    </row>
    <row r="818" spans="2:9" x14ac:dyDescent="0.35">
      <c r="B818" s="4">
        <v>45017</v>
      </c>
      <c r="C818" s="6" t="s">
        <v>6</v>
      </c>
      <c r="D8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8" s="7">
        <v>476.45</v>
      </c>
      <c r="F818" s="9">
        <v>2.8007250000000004</v>
      </c>
      <c r="G818" s="11">
        <v>53.178276169350802</v>
      </c>
      <c r="I818" s="28"/>
    </row>
    <row r="819" spans="2:9" x14ac:dyDescent="0.35">
      <c r="B819" s="4">
        <v>45037</v>
      </c>
      <c r="C819" s="6" t="s">
        <v>6</v>
      </c>
      <c r="D8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19" s="7">
        <v>102.23</v>
      </c>
      <c r="F819" s="9">
        <v>2.0677750000000001</v>
      </c>
      <c r="G819" s="11">
        <v>53.506333733253349</v>
      </c>
      <c r="I819" s="28"/>
    </row>
    <row r="820" spans="2:9" x14ac:dyDescent="0.35">
      <c r="B820" s="4">
        <v>45040</v>
      </c>
      <c r="C820" s="6" t="s">
        <v>6</v>
      </c>
      <c r="D8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0" s="7">
        <v>34.659999999999997</v>
      </c>
      <c r="F820" s="9">
        <v>3.0040250000000004</v>
      </c>
      <c r="G820" s="11">
        <v>53.06727145708583</v>
      </c>
      <c r="I820" s="28"/>
    </row>
    <row r="821" spans="2:9" x14ac:dyDescent="0.35">
      <c r="B821" s="4">
        <v>45043</v>
      </c>
      <c r="C821" s="6" t="s">
        <v>6</v>
      </c>
      <c r="D8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1" s="7">
        <v>43.98</v>
      </c>
      <c r="F821" s="9">
        <v>2.5893999999999999</v>
      </c>
      <c r="G821" s="11">
        <v>53.357052019423307</v>
      </c>
      <c r="I821" s="28"/>
    </row>
    <row r="822" spans="2:9" x14ac:dyDescent="0.35">
      <c r="B822" s="4">
        <v>45045</v>
      </c>
      <c r="C822" s="6" t="s">
        <v>6</v>
      </c>
      <c r="D8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2" s="7">
        <v>16.96</v>
      </c>
      <c r="F822" s="9">
        <v>3.1110250000000006</v>
      </c>
      <c r="G822" s="11">
        <v>52.317728681395572</v>
      </c>
      <c r="I822" s="28"/>
    </row>
    <row r="823" spans="2:9" x14ac:dyDescent="0.35">
      <c r="B823" s="4">
        <v>45026</v>
      </c>
      <c r="C823" s="6" t="s">
        <v>7</v>
      </c>
      <c r="D8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3" s="7">
        <v>100.05</v>
      </c>
      <c r="F823" s="11">
        <v>1.5086999999999999</v>
      </c>
      <c r="G823" s="11">
        <v>50.942610992182054</v>
      </c>
      <c r="I823" s="28"/>
    </row>
    <row r="824" spans="2:9" x14ac:dyDescent="0.35">
      <c r="B824" s="4">
        <v>45027</v>
      </c>
      <c r="C824" s="6" t="s">
        <v>7</v>
      </c>
      <c r="D8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4" s="7">
        <v>72.58</v>
      </c>
      <c r="F824" s="11">
        <v>1.8457500000000002</v>
      </c>
      <c r="G824" s="11">
        <v>52.445729145829155</v>
      </c>
      <c r="I824" s="28"/>
    </row>
    <row r="825" spans="2:9" x14ac:dyDescent="0.35">
      <c r="B825" s="4">
        <v>45028</v>
      </c>
      <c r="C825" s="6" t="s">
        <v>7</v>
      </c>
      <c r="D8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5" s="7">
        <v>196.99</v>
      </c>
      <c r="F825" s="11">
        <v>0.6099</v>
      </c>
      <c r="G825" s="11">
        <v>54.374366822599939</v>
      </c>
      <c r="I825" s="28"/>
    </row>
    <row r="826" spans="2:9" x14ac:dyDescent="0.35">
      <c r="B826" s="4">
        <v>45029</v>
      </c>
      <c r="C826" s="6" t="s">
        <v>7</v>
      </c>
      <c r="D8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6" s="7">
        <v>195.56</v>
      </c>
      <c r="F826" s="11">
        <v>1.5515000000000001</v>
      </c>
      <c r="G826" s="11">
        <v>49.593193084577116</v>
      </c>
      <c r="I826" s="28"/>
    </row>
    <row r="827" spans="2:9" x14ac:dyDescent="0.35">
      <c r="B827" s="4">
        <v>45030</v>
      </c>
      <c r="C827" s="6" t="s">
        <v>7</v>
      </c>
      <c r="D8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7" s="7">
        <v>73.790000000000006</v>
      </c>
      <c r="F827" s="11">
        <v>4.0579749999999999</v>
      </c>
      <c r="G827" s="11">
        <v>49.834982407025826</v>
      </c>
      <c r="I827" s="28"/>
    </row>
    <row r="828" spans="2:9" x14ac:dyDescent="0.35">
      <c r="B828" s="4">
        <v>45031</v>
      </c>
      <c r="C828" s="6" t="s">
        <v>7</v>
      </c>
      <c r="D8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8" s="7">
        <v>95.8</v>
      </c>
      <c r="F828" s="11">
        <v>0.74632500000000002</v>
      </c>
      <c r="G828" s="11">
        <v>51.682903446302376</v>
      </c>
      <c r="I828" s="28"/>
    </row>
    <row r="829" spans="2:9" x14ac:dyDescent="0.35">
      <c r="B829" s="4">
        <v>45033</v>
      </c>
      <c r="C829" s="6" t="s">
        <v>7</v>
      </c>
      <c r="D8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29" s="7">
        <v>97.66</v>
      </c>
      <c r="F829" s="11">
        <v>3.3624750000000003</v>
      </c>
      <c r="G829" s="11">
        <v>49.703974957766071</v>
      </c>
      <c r="I829" s="28"/>
    </row>
    <row r="830" spans="2:9" x14ac:dyDescent="0.35">
      <c r="B830" s="4">
        <v>45034</v>
      </c>
      <c r="C830" s="6" t="s">
        <v>7</v>
      </c>
      <c r="D8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0" s="7">
        <v>172.05</v>
      </c>
      <c r="F830" s="11">
        <v>3.8867750000000001</v>
      </c>
      <c r="G830" s="11">
        <v>49.907071179691393</v>
      </c>
      <c r="I830" s="28"/>
    </row>
    <row r="831" spans="2:9" x14ac:dyDescent="0.35">
      <c r="B831" s="4">
        <v>45035</v>
      </c>
      <c r="C831" s="6" t="s">
        <v>7</v>
      </c>
      <c r="D8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1" s="7">
        <v>145.54</v>
      </c>
      <c r="F831" s="11">
        <v>0.97637499999999999</v>
      </c>
      <c r="G831" s="11">
        <v>52.323099111687789</v>
      </c>
      <c r="I831" s="28"/>
    </row>
    <row r="832" spans="2:9" x14ac:dyDescent="0.35">
      <c r="B832" s="4">
        <v>45036</v>
      </c>
      <c r="C832" s="6" t="s">
        <v>7</v>
      </c>
      <c r="D8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2" s="7">
        <v>147.75</v>
      </c>
      <c r="F832" s="11">
        <v>3.54705</v>
      </c>
      <c r="G832" s="11">
        <v>49.402026783929635</v>
      </c>
      <c r="I832" s="28"/>
    </row>
    <row r="833" spans="2:9" x14ac:dyDescent="0.35">
      <c r="B833" s="4">
        <v>45040</v>
      </c>
      <c r="C833" s="6" t="s">
        <v>7</v>
      </c>
      <c r="D8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3" s="7">
        <v>145.5</v>
      </c>
      <c r="F833" s="11">
        <v>3.6246250000000004</v>
      </c>
      <c r="G833" s="11">
        <v>50.824286426151083</v>
      </c>
      <c r="I833" s="28"/>
    </row>
    <row r="834" spans="2:9" x14ac:dyDescent="0.35">
      <c r="B834" s="4">
        <v>45041</v>
      </c>
      <c r="C834" s="6" t="s">
        <v>7</v>
      </c>
      <c r="D8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4" s="7">
        <v>74.489999999999995</v>
      </c>
      <c r="F834" s="11">
        <v>5.5506250000000001</v>
      </c>
      <c r="G834" s="11">
        <v>46.840136753843083</v>
      </c>
      <c r="I834" s="28"/>
    </row>
    <row r="835" spans="2:9" x14ac:dyDescent="0.35">
      <c r="B835" s="4">
        <v>45042</v>
      </c>
      <c r="C835" s="6" t="s">
        <v>7</v>
      </c>
      <c r="D8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5" s="7">
        <v>48.33</v>
      </c>
      <c r="F835" s="11">
        <v>2.9425000000000003</v>
      </c>
      <c r="G835" s="11">
        <v>52.278481383446618</v>
      </c>
      <c r="I835" s="28"/>
    </row>
    <row r="836" spans="2:9" x14ac:dyDescent="0.35">
      <c r="B836" s="4">
        <v>45043</v>
      </c>
      <c r="C836" s="6" t="s">
        <v>7</v>
      </c>
      <c r="D8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6" s="7">
        <v>123.29</v>
      </c>
      <c r="F836" s="9">
        <v>3.2046500000000004</v>
      </c>
      <c r="G836" s="10">
        <v>52.057469710623806</v>
      </c>
      <c r="I836" s="28"/>
    </row>
    <row r="837" spans="2:9" x14ac:dyDescent="0.35">
      <c r="B837" s="4">
        <v>45044</v>
      </c>
      <c r="C837" s="6" t="s">
        <v>7</v>
      </c>
      <c r="D8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7" s="7">
        <v>49.13</v>
      </c>
      <c r="F837" s="9">
        <v>3.485525</v>
      </c>
      <c r="G837" s="10">
        <v>49.415491958845273</v>
      </c>
      <c r="I837" s="28"/>
    </row>
    <row r="838" spans="2:9" x14ac:dyDescent="0.35">
      <c r="B838" s="4">
        <v>45045</v>
      </c>
      <c r="C838" s="6" t="s">
        <v>7</v>
      </c>
      <c r="D8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8" s="7">
        <v>72.31</v>
      </c>
      <c r="F838" s="9">
        <v>1.885875</v>
      </c>
      <c r="G838" s="10">
        <v>52.977203279672032</v>
      </c>
      <c r="I838" s="28"/>
    </row>
    <row r="839" spans="2:9" x14ac:dyDescent="0.35">
      <c r="B839" s="4">
        <v>45017</v>
      </c>
      <c r="C839" s="6" t="s">
        <v>3</v>
      </c>
      <c r="D8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39" s="7">
        <v>64.33</v>
      </c>
      <c r="F839" s="9">
        <v>4.0633249999999999</v>
      </c>
      <c r="G839" s="10">
        <v>51.744709188376753</v>
      </c>
      <c r="I839" s="28"/>
    </row>
    <row r="840" spans="2:9" x14ac:dyDescent="0.35">
      <c r="B840" s="4">
        <v>45020</v>
      </c>
      <c r="C840" s="6" t="s">
        <v>3</v>
      </c>
      <c r="D8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0" s="7">
        <v>65.650000000000006</v>
      </c>
      <c r="F840" s="9">
        <v>2.1105749999999999</v>
      </c>
      <c r="G840" s="10">
        <v>53.184017647881696</v>
      </c>
      <c r="I840" s="28"/>
    </row>
    <row r="841" spans="2:9" x14ac:dyDescent="0.35">
      <c r="B841" s="4">
        <v>45026</v>
      </c>
      <c r="C841" s="6" t="s">
        <v>3</v>
      </c>
      <c r="D8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1" s="7">
        <v>21.39</v>
      </c>
      <c r="F841" s="9">
        <v>3.1698750000000002</v>
      </c>
      <c r="G841" s="10">
        <v>52.249348229187461</v>
      </c>
      <c r="I841" s="28"/>
    </row>
    <row r="842" spans="2:9" x14ac:dyDescent="0.35">
      <c r="B842" s="4">
        <v>45027</v>
      </c>
      <c r="C842" s="6" t="s">
        <v>3</v>
      </c>
      <c r="D8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2" s="7">
        <v>67.819999999999993</v>
      </c>
      <c r="F842" s="9">
        <v>2.7552500000000002</v>
      </c>
      <c r="G842" s="10">
        <v>53.31129006004803</v>
      </c>
      <c r="I842" s="28"/>
    </row>
    <row r="843" spans="2:9" x14ac:dyDescent="0.35">
      <c r="B843" s="4">
        <v>45028</v>
      </c>
      <c r="C843" s="6" t="s">
        <v>3</v>
      </c>
      <c r="D8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3" s="7">
        <v>69.89</v>
      </c>
      <c r="F843" s="9">
        <v>5.3045249999999999</v>
      </c>
      <c r="G843" s="10">
        <v>50.50451708757231</v>
      </c>
      <c r="I843" s="28"/>
    </row>
    <row r="844" spans="2:9" x14ac:dyDescent="0.35">
      <c r="B844" s="4">
        <v>45029</v>
      </c>
      <c r="C844" s="6" t="s">
        <v>3</v>
      </c>
      <c r="D8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4" s="7">
        <v>42.96</v>
      </c>
      <c r="F844" s="9">
        <v>3.196625</v>
      </c>
      <c r="G844" s="10">
        <v>50.765033716796481</v>
      </c>
      <c r="I844" s="28"/>
    </row>
    <row r="845" spans="2:9" x14ac:dyDescent="0.35">
      <c r="B845" s="4">
        <v>45030</v>
      </c>
      <c r="C845" s="6" t="s">
        <v>3</v>
      </c>
      <c r="D8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5" s="7">
        <v>64.25</v>
      </c>
      <c r="F845" s="9">
        <v>2.9211</v>
      </c>
      <c r="G845" s="10">
        <v>48.355892703067241</v>
      </c>
      <c r="I845" s="28"/>
    </row>
    <row r="846" spans="2:9" x14ac:dyDescent="0.35">
      <c r="B846" s="4">
        <v>45031</v>
      </c>
      <c r="C846" s="6" t="s">
        <v>3</v>
      </c>
      <c r="D8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6" s="7">
        <v>45.89</v>
      </c>
      <c r="F846" s="9">
        <v>5.9411750000000003</v>
      </c>
      <c r="G846" s="10">
        <v>49.1906950609756</v>
      </c>
      <c r="I846" s="28"/>
    </row>
    <row r="847" spans="2:9" x14ac:dyDescent="0.35">
      <c r="B847" s="4">
        <v>45033</v>
      </c>
      <c r="C847" s="6" t="s">
        <v>3</v>
      </c>
      <c r="D8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7" s="7">
        <v>67.73</v>
      </c>
      <c r="F847" s="9">
        <v>15.169925000000001</v>
      </c>
      <c r="G847" s="10">
        <v>38.022135034489651</v>
      </c>
      <c r="I847" s="28"/>
    </row>
    <row r="848" spans="2:9" x14ac:dyDescent="0.35">
      <c r="B848" s="4">
        <v>45034</v>
      </c>
      <c r="C848" s="6" t="s">
        <v>3</v>
      </c>
      <c r="D8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8" s="7">
        <v>63.97</v>
      </c>
      <c r="F848" s="12">
        <v>5.0584250000000006</v>
      </c>
      <c r="G848" s="13">
        <v>49.890044101433297</v>
      </c>
      <c r="I848" s="28"/>
    </row>
    <row r="849" spans="2:9" x14ac:dyDescent="0.35">
      <c r="B849" s="4">
        <v>45035</v>
      </c>
      <c r="C849" s="6" t="s">
        <v>3</v>
      </c>
      <c r="D8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49" s="7">
        <v>41.52</v>
      </c>
      <c r="F849" s="12">
        <v>2.2871250000000005</v>
      </c>
      <c r="G849" s="13">
        <v>51.274794356049235</v>
      </c>
      <c r="I849" s="28"/>
    </row>
    <row r="850" spans="2:9" x14ac:dyDescent="0.35">
      <c r="B850" s="4">
        <v>45036</v>
      </c>
      <c r="C850" s="6" t="s">
        <v>3</v>
      </c>
      <c r="D8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0" s="7">
        <v>63.66</v>
      </c>
      <c r="F850" s="12">
        <v>2.3941249999999998</v>
      </c>
      <c r="G850" s="13">
        <v>51.800055754679406</v>
      </c>
      <c r="I850" s="28"/>
    </row>
    <row r="851" spans="2:9" x14ac:dyDescent="0.35">
      <c r="B851" s="4">
        <v>45037</v>
      </c>
      <c r="C851" s="6" t="s">
        <v>3</v>
      </c>
      <c r="D8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1" s="7">
        <v>65.790000000000006</v>
      </c>
      <c r="F851" s="9">
        <v>3.6781250000000001</v>
      </c>
      <c r="G851" s="11">
        <v>51.691940705128204</v>
      </c>
      <c r="I851" s="28"/>
    </row>
    <row r="852" spans="2:9" x14ac:dyDescent="0.35">
      <c r="B852" s="4">
        <v>45040</v>
      </c>
      <c r="C852" s="6" t="s">
        <v>3</v>
      </c>
      <c r="D8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2" s="7">
        <v>44.45</v>
      </c>
      <c r="F852" s="9">
        <v>1.9260000000000002</v>
      </c>
      <c r="G852" s="11">
        <v>53.273632264386158</v>
      </c>
      <c r="I852" s="28"/>
    </row>
    <row r="853" spans="2:9" x14ac:dyDescent="0.35">
      <c r="B853" s="4">
        <v>45041</v>
      </c>
      <c r="C853" s="6" t="s">
        <v>3</v>
      </c>
      <c r="D8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3" s="7">
        <v>65.19</v>
      </c>
      <c r="F853" s="9">
        <v>5.0744749999999996</v>
      </c>
      <c r="G853" s="11">
        <v>49.087540095759579</v>
      </c>
      <c r="I853" s="28"/>
    </row>
    <row r="854" spans="2:9" x14ac:dyDescent="0.35">
      <c r="B854" s="4">
        <v>45042</v>
      </c>
      <c r="C854" s="6" t="s">
        <v>3</v>
      </c>
      <c r="D8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4" s="7">
        <v>20.7</v>
      </c>
      <c r="F854" s="9">
        <v>1.8912250000000002</v>
      </c>
      <c r="G854" s="11">
        <v>53.764919367816098</v>
      </c>
      <c r="I854" s="28"/>
    </row>
    <row r="855" spans="2:9" x14ac:dyDescent="0.35">
      <c r="B855" s="4">
        <v>45043</v>
      </c>
      <c r="C855" s="6" t="s">
        <v>3</v>
      </c>
      <c r="D8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5" s="7">
        <v>62.71</v>
      </c>
      <c r="F855" s="9">
        <v>2.2576999999999998</v>
      </c>
      <c r="G855" s="11">
        <v>53.443842773664201</v>
      </c>
      <c r="I855" s="28"/>
    </row>
    <row r="856" spans="2:9" x14ac:dyDescent="0.35">
      <c r="B856" s="4">
        <v>45045</v>
      </c>
      <c r="C856" s="6" t="s">
        <v>3</v>
      </c>
      <c r="D8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6" s="7">
        <v>41.28</v>
      </c>
      <c r="F856" s="9">
        <v>4.0125000000000002</v>
      </c>
      <c r="G856" s="11">
        <v>51.878122207646172</v>
      </c>
      <c r="I856" s="28"/>
    </row>
    <row r="857" spans="2:9" x14ac:dyDescent="0.35">
      <c r="B857" s="4">
        <v>45017</v>
      </c>
      <c r="C857" s="6" t="s">
        <v>5</v>
      </c>
      <c r="D8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7" s="7">
        <v>973.6</v>
      </c>
      <c r="F857" s="9">
        <v>1.773525</v>
      </c>
      <c r="G857" s="11">
        <v>53.068606454653704</v>
      </c>
      <c r="I857" s="28"/>
    </row>
    <row r="858" spans="2:9" x14ac:dyDescent="0.35">
      <c r="B858" s="4">
        <v>45019</v>
      </c>
      <c r="C858" s="6" t="s">
        <v>5</v>
      </c>
      <c r="D8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8" s="7">
        <v>196.24</v>
      </c>
      <c r="F858" s="9">
        <v>1.7895750000000001</v>
      </c>
      <c r="G858" s="11">
        <v>53.296784547638104</v>
      </c>
      <c r="I858" s="28"/>
    </row>
    <row r="859" spans="2:9" x14ac:dyDescent="0.35">
      <c r="B859" s="4">
        <v>45020</v>
      </c>
      <c r="C859" s="6" t="s">
        <v>5</v>
      </c>
      <c r="D8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59" s="7">
        <v>269.02999999999997</v>
      </c>
      <c r="F859" s="9">
        <v>0.46010000000000001</v>
      </c>
      <c r="G859" s="11">
        <v>54.491353795336792</v>
      </c>
      <c r="I859" s="28"/>
    </row>
    <row r="860" spans="2:9" x14ac:dyDescent="0.35">
      <c r="B860" s="4">
        <v>45021</v>
      </c>
      <c r="C860" s="6" t="s">
        <v>5</v>
      </c>
      <c r="D8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0" s="7">
        <v>32.33</v>
      </c>
      <c r="F860" s="9">
        <v>1.0539499999999999</v>
      </c>
      <c r="G860" s="11">
        <v>53.412224704193704</v>
      </c>
      <c r="I860" s="28"/>
    </row>
    <row r="861" spans="2:9" x14ac:dyDescent="0.35">
      <c r="B861" s="4">
        <v>45024</v>
      </c>
      <c r="C861" s="6" t="s">
        <v>5</v>
      </c>
      <c r="D8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1" s="7">
        <v>34.79</v>
      </c>
      <c r="F861" s="9">
        <v>0.37985000000000002</v>
      </c>
      <c r="G861" s="11">
        <v>54.748561066356636</v>
      </c>
      <c r="I861" s="28"/>
    </row>
    <row r="862" spans="2:9" x14ac:dyDescent="0.35">
      <c r="B862" s="4">
        <v>45026</v>
      </c>
      <c r="C862" s="6" t="s">
        <v>5</v>
      </c>
      <c r="D8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2" s="7">
        <v>126.22</v>
      </c>
      <c r="F862" s="9">
        <v>4.8417500000000002</v>
      </c>
      <c r="G862" s="11">
        <v>51.641684898682371</v>
      </c>
      <c r="I862" s="28"/>
    </row>
    <row r="863" spans="2:9" x14ac:dyDescent="0.35">
      <c r="B863" s="4">
        <v>45027</v>
      </c>
      <c r="C863" s="6" t="s">
        <v>5</v>
      </c>
      <c r="D8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3" s="7">
        <v>272.89</v>
      </c>
      <c r="F863" s="9">
        <v>0.75702500000000006</v>
      </c>
      <c r="G863" s="11">
        <v>54.269162764052808</v>
      </c>
      <c r="I863" s="28"/>
    </row>
    <row r="864" spans="2:9" x14ac:dyDescent="0.35">
      <c r="B864" s="4">
        <v>45028</v>
      </c>
      <c r="C864" s="6" t="s">
        <v>5</v>
      </c>
      <c r="D8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4" s="7">
        <v>291.45</v>
      </c>
      <c r="F864" s="9">
        <v>2.8007250000000004</v>
      </c>
      <c r="G864" s="11">
        <v>52.042286511950806</v>
      </c>
      <c r="I864" s="28"/>
    </row>
    <row r="865" spans="2:9" x14ac:dyDescent="0.35">
      <c r="B865" s="4">
        <v>45029</v>
      </c>
      <c r="C865" s="6" t="s">
        <v>5</v>
      </c>
      <c r="D8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5" s="7">
        <v>265.45</v>
      </c>
      <c r="F865" s="11">
        <v>1.7146750000000002</v>
      </c>
      <c r="G865" s="11">
        <v>52.571576111777041</v>
      </c>
      <c r="I865" s="28"/>
    </row>
    <row r="866" spans="2:9" x14ac:dyDescent="0.35">
      <c r="B866" s="4">
        <v>45030</v>
      </c>
      <c r="C866" s="1" t="s">
        <v>5</v>
      </c>
      <c r="D866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866" s="7">
        <v>207.88</v>
      </c>
      <c r="F866" s="9">
        <v>1.2759749999999999</v>
      </c>
      <c r="G866" s="11">
        <v>52.663088612171116</v>
      </c>
      <c r="I866" s="28"/>
    </row>
    <row r="867" spans="2:9" x14ac:dyDescent="0.35">
      <c r="B867" s="4">
        <v>45031</v>
      </c>
      <c r="C867" s="6" t="s">
        <v>5</v>
      </c>
      <c r="D8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7" s="7">
        <v>61.53</v>
      </c>
      <c r="F867" s="9">
        <v>0.98172500000000007</v>
      </c>
      <c r="G867" s="11">
        <v>53.678577046483547</v>
      </c>
      <c r="I867" s="28"/>
    </row>
    <row r="868" spans="2:9" x14ac:dyDescent="0.35">
      <c r="B868" s="4">
        <v>45035</v>
      </c>
      <c r="C868" s="6" t="s">
        <v>5</v>
      </c>
      <c r="D8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8" s="7">
        <v>137.68</v>
      </c>
      <c r="F868" s="9">
        <v>1.4765999999999999</v>
      </c>
      <c r="G868" s="11">
        <v>53.335488193525755</v>
      </c>
      <c r="I868" s="28"/>
    </row>
    <row r="869" spans="2:9" x14ac:dyDescent="0.35">
      <c r="B869" s="4">
        <v>45036</v>
      </c>
      <c r="C869" s="6" t="s">
        <v>5</v>
      </c>
      <c r="D8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69" s="7">
        <v>208.57</v>
      </c>
      <c r="F869" s="9">
        <v>2.0436999999999999</v>
      </c>
      <c r="G869" s="11">
        <v>53.025980775007511</v>
      </c>
      <c r="I869" s="28"/>
    </row>
    <row r="870" spans="2:9" x14ac:dyDescent="0.35">
      <c r="B870" s="4">
        <v>45037</v>
      </c>
      <c r="C870" s="6" t="s">
        <v>5</v>
      </c>
      <c r="D8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70" s="7">
        <v>231.44</v>
      </c>
      <c r="F870" s="9">
        <v>1.0619750000000001</v>
      </c>
      <c r="G870" s="11">
        <v>54.007457303764518</v>
      </c>
      <c r="I870" s="28"/>
    </row>
    <row r="871" spans="2:9" x14ac:dyDescent="0.35">
      <c r="B871" s="4">
        <v>45038</v>
      </c>
      <c r="C871" s="6" t="s">
        <v>5</v>
      </c>
      <c r="D8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71" s="7">
        <v>153.72</v>
      </c>
      <c r="F871" s="9">
        <v>3.5791500000000003</v>
      </c>
      <c r="G871" s="11">
        <v>52.195959935897434</v>
      </c>
      <c r="I871" s="28"/>
    </row>
    <row r="872" spans="2:9" x14ac:dyDescent="0.35">
      <c r="B872" s="4">
        <v>45042</v>
      </c>
      <c r="C872" s="6" t="s">
        <v>5</v>
      </c>
      <c r="D8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72" s="7">
        <v>135.72</v>
      </c>
      <c r="F872" s="9">
        <v>2.9799500000000005</v>
      </c>
      <c r="G872" s="11">
        <v>52.052200793658727</v>
      </c>
      <c r="I872" s="28"/>
    </row>
    <row r="873" spans="2:9" x14ac:dyDescent="0.35">
      <c r="B873" s="4">
        <v>45043</v>
      </c>
      <c r="C873" s="6" t="s">
        <v>5</v>
      </c>
      <c r="D8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73" s="7">
        <v>128.51</v>
      </c>
      <c r="F873" s="9">
        <v>1.6130250000000002</v>
      </c>
      <c r="G873" s="11">
        <v>53.031264247123559</v>
      </c>
      <c r="I873" s="28"/>
    </row>
    <row r="874" spans="2:9" x14ac:dyDescent="0.35">
      <c r="B874" s="4">
        <v>45044</v>
      </c>
      <c r="C874" s="6" t="s">
        <v>5</v>
      </c>
      <c r="D8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74" s="7">
        <v>132.22</v>
      </c>
      <c r="F874" s="9">
        <v>8.8275000000000006</v>
      </c>
      <c r="G874" s="11">
        <v>48.352460197021024</v>
      </c>
      <c r="I874" s="28"/>
    </row>
    <row r="875" spans="2:9" x14ac:dyDescent="0.35">
      <c r="B875" s="4">
        <v>45017</v>
      </c>
      <c r="C875" s="6" t="s">
        <v>11</v>
      </c>
      <c r="D875" s="6" t="str">
        <f>IF(ISNUMBER(MATCH(ING_PRV[[#This Row],[Proveedor]],PARAMETROS!$A$2:$A$8,0)),"COMPRADA",
                    IF(ISNUMBER(MATCH(ING_PRV[[#This Row],[Proveedor]],PARAMETROS!$B$2:$B$8,0)),"PROPIA","NA")
)</f>
        <v>NA</v>
      </c>
      <c r="E875" s="7">
        <v>79.489999999999995</v>
      </c>
      <c r="F875" s="9">
        <v>2.362025</v>
      </c>
      <c r="G875" s="11">
        <v>48.196788817109883</v>
      </c>
      <c r="I875" s="28"/>
    </row>
    <row r="876" spans="2:9" x14ac:dyDescent="0.35">
      <c r="B876" s="4">
        <v>45020</v>
      </c>
      <c r="C876" s="6" t="s">
        <v>11</v>
      </c>
      <c r="D876" s="6" t="str">
        <f>IF(ISNUMBER(MATCH(ING_PRV[[#This Row],[Proveedor]],PARAMETROS!$A$2:$A$8,0)),"COMPRADA",
                    IF(ISNUMBER(MATCH(ING_PRV[[#This Row],[Proveedor]],PARAMETROS!$B$2:$B$8,0)),"PROPIA","NA")
)</f>
        <v>NA</v>
      </c>
      <c r="E876" s="7">
        <v>26.4</v>
      </c>
      <c r="F876" s="9">
        <v>2.1453500000000001</v>
      </c>
      <c r="G876" s="11">
        <v>52.844880742702919</v>
      </c>
      <c r="I876" s="28"/>
    </row>
    <row r="877" spans="2:9" x14ac:dyDescent="0.35">
      <c r="B877" s="4">
        <v>45021</v>
      </c>
      <c r="C877" s="6" t="s">
        <v>11</v>
      </c>
      <c r="D877" s="6" t="str">
        <f>IF(ISNUMBER(MATCH(ING_PRV[[#This Row],[Proveedor]],PARAMETROS!$A$2:$A$8,0)),"COMPRADA",
                    IF(ISNUMBER(MATCH(ING_PRV[[#This Row],[Proveedor]],PARAMETROS!$B$2:$B$8,0)),"PROPIA","NA")
)</f>
        <v>NA</v>
      </c>
      <c r="E877" s="7">
        <v>52.94</v>
      </c>
      <c r="F877" s="9">
        <v>1.5515000000000001</v>
      </c>
      <c r="G877" s="11">
        <v>53.659037974005358</v>
      </c>
      <c r="I877" s="28"/>
    </row>
    <row r="878" spans="2:9" x14ac:dyDescent="0.35">
      <c r="B878" s="4">
        <v>45024</v>
      </c>
      <c r="C878" s="6" t="s">
        <v>11</v>
      </c>
      <c r="D878" s="6" t="str">
        <f>IF(ISNUMBER(MATCH(ING_PRV[[#This Row],[Proveedor]],PARAMETROS!$A$2:$A$8,0)),"COMPRADA",
                    IF(ISNUMBER(MATCH(ING_PRV[[#This Row],[Proveedor]],PARAMETROS!$B$2:$B$8,0)),"PROPIA","NA")
)</f>
        <v>NA</v>
      </c>
      <c r="E878" s="7">
        <v>25.88</v>
      </c>
      <c r="F878" s="9">
        <v>1.7467750000000002</v>
      </c>
      <c r="G878" s="11">
        <v>53.339960426031368</v>
      </c>
      <c r="I878" s="28"/>
    </row>
    <row r="879" spans="2:9" x14ac:dyDescent="0.35">
      <c r="B879" s="4">
        <v>45026</v>
      </c>
      <c r="C879" s="6" t="s">
        <v>11</v>
      </c>
      <c r="D879" s="6" t="str">
        <f>IF(ISNUMBER(MATCH(ING_PRV[[#This Row],[Proveedor]],PARAMETROS!$A$2:$A$8,0)),"COMPRADA",
                    IF(ISNUMBER(MATCH(ING_PRV[[#This Row],[Proveedor]],PARAMETROS!$B$2:$B$8,0)),"PROPIA","NA")
)</f>
        <v>NA</v>
      </c>
      <c r="E879" s="7">
        <v>53.38</v>
      </c>
      <c r="F879" s="9">
        <v>2.5198499999999999</v>
      </c>
      <c r="G879" s="11">
        <v>52.467829732922056</v>
      </c>
      <c r="I879" s="28"/>
    </row>
    <row r="880" spans="2:9" x14ac:dyDescent="0.35">
      <c r="B880" s="4">
        <v>45027</v>
      </c>
      <c r="C880" s="6" t="s">
        <v>11</v>
      </c>
      <c r="D880" s="6" t="str">
        <f>IF(ISNUMBER(MATCH(ING_PRV[[#This Row],[Proveedor]],PARAMETROS!$A$2:$A$8,0)),"COMPRADA",
                    IF(ISNUMBER(MATCH(ING_PRV[[#This Row],[Proveedor]],PARAMETROS!$B$2:$B$8,0)),"PROPIA","NA")
)</f>
        <v>NA</v>
      </c>
      <c r="E880" s="7">
        <v>56.48</v>
      </c>
      <c r="F880" s="9">
        <v>2.1774500000000003</v>
      </c>
      <c r="G880" s="11">
        <v>53.148306370967745</v>
      </c>
      <c r="I880" s="28"/>
    </row>
    <row r="881" spans="2:9" x14ac:dyDescent="0.35">
      <c r="B881" s="4">
        <v>45028</v>
      </c>
      <c r="C881" s="6" t="s">
        <v>11</v>
      </c>
      <c r="D881" s="6" t="str">
        <f>IF(ISNUMBER(MATCH(ING_PRV[[#This Row],[Proveedor]],PARAMETROS!$A$2:$A$8,0)),"COMPRADA",
                    IF(ISNUMBER(MATCH(ING_PRV[[#This Row],[Proveedor]],PARAMETROS!$B$2:$B$8,0)),"PROPIA","NA")
)</f>
        <v>NA</v>
      </c>
      <c r="E881" s="7">
        <v>28.41</v>
      </c>
      <c r="F881" s="9">
        <v>3.0495000000000001</v>
      </c>
      <c r="G881" s="11">
        <v>52.441901503487799</v>
      </c>
      <c r="I881" s="28"/>
    </row>
    <row r="882" spans="2:9" x14ac:dyDescent="0.35">
      <c r="B882" s="4">
        <v>45029</v>
      </c>
      <c r="C882" s="6" t="s">
        <v>11</v>
      </c>
      <c r="D882" s="6" t="str">
        <f>IF(ISNUMBER(MATCH(ING_PRV[[#This Row],[Proveedor]],PARAMETROS!$A$2:$A$8,0)),"COMPRADA",
                    IF(ISNUMBER(MATCH(ING_PRV[[#This Row],[Proveedor]],PARAMETROS!$B$2:$B$8,0)),"PROPIA","NA")
)</f>
        <v>NA</v>
      </c>
      <c r="E882" s="7">
        <v>25.39</v>
      </c>
      <c r="F882" s="9">
        <v>2.5145000000000004</v>
      </c>
      <c r="G882" s="11">
        <v>52.311560403867183</v>
      </c>
      <c r="I882" s="28"/>
    </row>
    <row r="883" spans="2:9" x14ac:dyDescent="0.35">
      <c r="B883" s="4">
        <v>45030</v>
      </c>
      <c r="C883" s="6" t="s">
        <v>11</v>
      </c>
      <c r="D883" s="6" t="str">
        <f>IF(ISNUMBER(MATCH(ING_PRV[[#This Row],[Proveedor]],PARAMETROS!$A$2:$A$8,0)),"COMPRADA",
                    IF(ISNUMBER(MATCH(ING_PRV[[#This Row],[Proveedor]],PARAMETROS!$B$2:$B$8,0)),"PROPIA","NA")
)</f>
        <v>NA</v>
      </c>
      <c r="E883" s="7">
        <v>29.09</v>
      </c>
      <c r="F883" s="9">
        <v>3.1912750000000001</v>
      </c>
      <c r="G883" s="11">
        <v>51.80256312705859</v>
      </c>
      <c r="I883" s="28"/>
    </row>
    <row r="884" spans="2:9" x14ac:dyDescent="0.35">
      <c r="B884" s="4">
        <v>45031</v>
      </c>
      <c r="C884" s="6" t="s">
        <v>11</v>
      </c>
      <c r="D884" s="6" t="str">
        <f>IF(ISNUMBER(MATCH(ING_PRV[[#This Row],[Proveedor]],PARAMETROS!$A$2:$A$8,0)),"COMPRADA",
                    IF(ISNUMBER(MATCH(ING_PRV[[#This Row],[Proveedor]],PARAMETROS!$B$2:$B$8,0)),"PROPIA","NA")
)</f>
        <v>NA</v>
      </c>
      <c r="E884" s="7">
        <v>115.95</v>
      </c>
      <c r="F884" s="9">
        <v>3.1912750000000001</v>
      </c>
      <c r="G884" s="11">
        <v>51.80256312705859</v>
      </c>
      <c r="I884" s="28"/>
    </row>
    <row r="885" spans="2:9" x14ac:dyDescent="0.35">
      <c r="B885" s="4">
        <v>45033</v>
      </c>
      <c r="C885" s="6" t="s">
        <v>11</v>
      </c>
      <c r="D885" s="6" t="str">
        <f>IF(ISNUMBER(MATCH(ING_PRV[[#This Row],[Proveedor]],PARAMETROS!$A$2:$A$8,0)),"COMPRADA",
                    IF(ISNUMBER(MATCH(ING_PRV[[#This Row],[Proveedor]],PARAMETROS!$B$2:$B$8,0)),"PROPIA","NA")
)</f>
        <v>NA</v>
      </c>
      <c r="E885" s="7">
        <v>27.9</v>
      </c>
      <c r="F885" s="9">
        <v>4.3709500000000006</v>
      </c>
      <c r="G885" s="11">
        <v>50.90922187112578</v>
      </c>
      <c r="I885" s="28"/>
    </row>
    <row r="886" spans="2:9" x14ac:dyDescent="0.35">
      <c r="B886" s="4">
        <v>45034</v>
      </c>
      <c r="C886" s="6" t="s">
        <v>11</v>
      </c>
      <c r="D886" s="6" t="str">
        <f>IF(ISNUMBER(MATCH(ING_PRV[[#This Row],[Proveedor]],PARAMETROS!$A$2:$A$8,0)),"COMPRADA",
                    IF(ISNUMBER(MATCH(ING_PRV[[#This Row],[Proveedor]],PARAMETROS!$B$2:$B$8,0)),"PROPIA","NA")
)</f>
        <v>NA</v>
      </c>
      <c r="E886" s="7">
        <v>51.89</v>
      </c>
      <c r="F886" s="9">
        <v>2.9639000000000002</v>
      </c>
      <c r="G886" s="11">
        <v>52.296122652816614</v>
      </c>
      <c r="I886" s="28"/>
    </row>
    <row r="887" spans="2:9" x14ac:dyDescent="0.35">
      <c r="B887" s="4">
        <v>45036</v>
      </c>
      <c r="C887" s="6" t="s">
        <v>11</v>
      </c>
      <c r="D887" s="6" t="str">
        <f>IF(ISNUMBER(MATCH(ING_PRV[[#This Row],[Proveedor]],PARAMETROS!$A$2:$A$8,0)),"COMPRADA",
                    IF(ISNUMBER(MATCH(ING_PRV[[#This Row],[Proveedor]],PARAMETROS!$B$2:$B$8,0)),"PROPIA","NA")
)</f>
        <v>NA</v>
      </c>
      <c r="E887" s="7">
        <v>54.8</v>
      </c>
      <c r="F887" s="9">
        <v>2.3486500000000001</v>
      </c>
      <c r="G887" s="11">
        <v>52.49423034330011</v>
      </c>
      <c r="I887" s="28"/>
    </row>
    <row r="888" spans="2:9" x14ac:dyDescent="0.35">
      <c r="B888" s="4">
        <v>45037</v>
      </c>
      <c r="C888" s="6" t="s">
        <v>11</v>
      </c>
      <c r="D888" s="6" t="str">
        <f>IF(ISNUMBER(MATCH(ING_PRV[[#This Row],[Proveedor]],PARAMETROS!$A$2:$A$8,0)),"COMPRADA",
                    IF(ISNUMBER(MATCH(ING_PRV[[#This Row],[Proveedor]],PARAMETROS!$B$2:$B$8,0)),"PROPIA","NA")
)</f>
        <v>NA</v>
      </c>
      <c r="E888" s="7">
        <v>29.52</v>
      </c>
      <c r="F888" s="9">
        <v>2.57335</v>
      </c>
      <c r="G888" s="11">
        <v>53.045447406944163</v>
      </c>
      <c r="I888" s="28"/>
    </row>
    <row r="889" spans="2:9" x14ac:dyDescent="0.35">
      <c r="B889" s="4">
        <v>45040</v>
      </c>
      <c r="C889" s="6" t="s">
        <v>11</v>
      </c>
      <c r="D889" s="6" t="str">
        <f>IF(ISNUMBER(MATCH(ING_PRV[[#This Row],[Proveedor]],PARAMETROS!$A$2:$A$8,0)),"COMPRADA",
                    IF(ISNUMBER(MATCH(ING_PRV[[#This Row],[Proveedor]],PARAMETROS!$B$2:$B$8,0)),"PROPIA","NA")
)</f>
        <v>NA</v>
      </c>
      <c r="E889" s="7">
        <v>56.55</v>
      </c>
      <c r="F889" s="9">
        <v>2.3968000000000003</v>
      </c>
      <c r="G889" s="11">
        <v>53.103091310234966</v>
      </c>
      <c r="I889" s="28"/>
    </row>
    <row r="890" spans="2:9" x14ac:dyDescent="0.35">
      <c r="B890" s="4">
        <v>45042</v>
      </c>
      <c r="C890" s="6" t="s">
        <v>11</v>
      </c>
      <c r="D890" s="6" t="str">
        <f>IF(ISNUMBER(MATCH(ING_PRV[[#This Row],[Proveedor]],PARAMETROS!$A$2:$A$8,0)),"COMPRADA",
                    IF(ISNUMBER(MATCH(ING_PRV[[#This Row],[Proveedor]],PARAMETROS!$B$2:$B$8,0)),"PROPIA","NA")
)</f>
        <v>NA</v>
      </c>
      <c r="E890" s="7">
        <v>55.4</v>
      </c>
      <c r="F890" s="9">
        <v>2.1507000000000001</v>
      </c>
      <c r="G890" s="11">
        <v>53.095762197637164</v>
      </c>
      <c r="I890" s="28"/>
    </row>
    <row r="891" spans="2:9" x14ac:dyDescent="0.35">
      <c r="B891" s="4">
        <v>45043</v>
      </c>
      <c r="C891" s="6" t="s">
        <v>11</v>
      </c>
      <c r="D891" s="6" t="str">
        <f>IF(ISNUMBER(MATCH(ING_PRV[[#This Row],[Proveedor]],PARAMETROS!$A$2:$A$8,0)),"COMPRADA",
                    IF(ISNUMBER(MATCH(ING_PRV[[#This Row],[Proveedor]],PARAMETROS!$B$2:$B$8,0)),"PROPIA","NA")
)</f>
        <v>NA</v>
      </c>
      <c r="E891" s="7">
        <v>175.4</v>
      </c>
      <c r="F891" s="9">
        <v>2.0436999999999999</v>
      </c>
      <c r="G891" s="11">
        <v>53.121468105954641</v>
      </c>
      <c r="I891" s="28"/>
    </row>
    <row r="892" spans="2:9" x14ac:dyDescent="0.35">
      <c r="B892" s="4">
        <v>45017</v>
      </c>
      <c r="C892" s="6" t="s">
        <v>13</v>
      </c>
      <c r="D892" s="6" t="str">
        <f>IF(ISNUMBER(MATCH(ING_PRV[[#This Row],[Proveedor]],PARAMETROS!$A$2:$A$8,0)),"COMPRADA",
                    IF(ISNUMBER(MATCH(ING_PRV[[#This Row],[Proveedor]],PARAMETROS!$B$2:$B$8,0)),"PROPIA","NA")
)</f>
        <v>NA</v>
      </c>
      <c r="E892" s="7">
        <v>303.64</v>
      </c>
      <c r="F892" s="9">
        <v>8.0490750000000002</v>
      </c>
      <c r="G892" s="11">
        <v>48.3829539456869</v>
      </c>
      <c r="I892" s="28"/>
    </row>
    <row r="893" spans="2:9" x14ac:dyDescent="0.35">
      <c r="B893" s="4">
        <v>45048</v>
      </c>
      <c r="C893" s="6" t="s">
        <v>2</v>
      </c>
      <c r="D8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93" s="7">
        <v>75.87</v>
      </c>
      <c r="F893" s="9">
        <v>0.26750000000000002</v>
      </c>
      <c r="G893" s="11">
        <v>54.14017342768863</v>
      </c>
      <c r="I893" s="28"/>
    </row>
    <row r="894" spans="2:9" x14ac:dyDescent="0.35">
      <c r="B894" s="4">
        <v>45049</v>
      </c>
      <c r="C894" s="6" t="s">
        <v>2</v>
      </c>
      <c r="D8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94" s="7">
        <v>59.69</v>
      </c>
      <c r="F894" s="9">
        <v>2.4101750000000002</v>
      </c>
      <c r="G894" s="11">
        <v>53.090717430458277</v>
      </c>
      <c r="I894" s="28"/>
    </row>
    <row r="895" spans="2:9" x14ac:dyDescent="0.35">
      <c r="B895" s="4">
        <v>45050</v>
      </c>
      <c r="C895" s="6" t="s">
        <v>2</v>
      </c>
      <c r="D8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95" s="7">
        <v>126.5</v>
      </c>
      <c r="F895" s="12">
        <v>0.58315000000000006</v>
      </c>
      <c r="G895" s="12">
        <v>53.071843071942808</v>
      </c>
      <c r="I895" s="28"/>
    </row>
    <row r="896" spans="2:9" x14ac:dyDescent="0.35">
      <c r="B896" s="4">
        <v>45051</v>
      </c>
      <c r="C896" s="6" t="s">
        <v>2</v>
      </c>
      <c r="D8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96" s="7">
        <v>136.22999999999999</v>
      </c>
      <c r="F896" s="12">
        <v>0.69817499999999999</v>
      </c>
      <c r="G896" s="12">
        <v>53.383008235308793</v>
      </c>
      <c r="I896" s="28"/>
    </row>
    <row r="897" spans="2:9" x14ac:dyDescent="0.35">
      <c r="B897" s="4">
        <v>45052</v>
      </c>
      <c r="C897" s="6" t="s">
        <v>2</v>
      </c>
      <c r="D8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97" s="7">
        <v>37.26</v>
      </c>
      <c r="F897" s="9">
        <v>0.26750000000000002</v>
      </c>
      <c r="G897" s="11">
        <v>52.634638949671768</v>
      </c>
      <c r="I897" s="28"/>
    </row>
    <row r="898" spans="2:9" x14ac:dyDescent="0.35">
      <c r="B898" s="4">
        <v>45054</v>
      </c>
      <c r="C898" s="6" t="s">
        <v>2</v>
      </c>
      <c r="D8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98" s="7">
        <v>94.64</v>
      </c>
      <c r="F898" s="9">
        <v>0.71690000000000009</v>
      </c>
      <c r="G898" s="11">
        <v>51.885535162094762</v>
      </c>
      <c r="I898" s="28"/>
    </row>
    <row r="899" spans="2:9" x14ac:dyDescent="0.35">
      <c r="B899" s="4">
        <v>45055</v>
      </c>
      <c r="C899" s="6" t="s">
        <v>2</v>
      </c>
      <c r="D8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899" s="7">
        <v>71.64</v>
      </c>
      <c r="F899" s="9">
        <v>0.339725</v>
      </c>
      <c r="G899" s="11">
        <v>54.23956903431764</v>
      </c>
      <c r="I899" s="28"/>
    </row>
    <row r="900" spans="2:9" x14ac:dyDescent="0.35">
      <c r="B900" s="4">
        <v>45056</v>
      </c>
      <c r="C900" s="6" t="s">
        <v>2</v>
      </c>
      <c r="D9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0" s="7">
        <v>38.99</v>
      </c>
      <c r="F900" s="9">
        <v>0.51</v>
      </c>
      <c r="G900" s="11">
        <v>53.16</v>
      </c>
      <c r="I900" s="28"/>
    </row>
    <row r="901" spans="2:9" x14ac:dyDescent="0.35">
      <c r="B901" s="4">
        <v>45058</v>
      </c>
      <c r="C901" s="6" t="s">
        <v>2</v>
      </c>
      <c r="D9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1" s="7">
        <v>164.16</v>
      </c>
      <c r="F901" s="9">
        <v>0.31</v>
      </c>
      <c r="G901" s="11">
        <v>53.490153231179214</v>
      </c>
      <c r="I901" s="28"/>
    </row>
    <row r="902" spans="2:9" x14ac:dyDescent="0.35">
      <c r="B902" s="4">
        <v>45059</v>
      </c>
      <c r="C902" s="6" t="s">
        <v>2</v>
      </c>
      <c r="D9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2" s="7">
        <v>69.709999999999994</v>
      </c>
      <c r="F902" s="9">
        <v>3.34</v>
      </c>
      <c r="G902" s="11">
        <v>53.47</v>
      </c>
      <c r="I902" s="28"/>
    </row>
    <row r="903" spans="2:9" x14ac:dyDescent="0.35">
      <c r="B903" s="4">
        <v>45061</v>
      </c>
      <c r="C903" s="6" t="s">
        <v>2</v>
      </c>
      <c r="D9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3" s="7">
        <v>175.28</v>
      </c>
      <c r="F903" s="9">
        <v>0.32</v>
      </c>
      <c r="G903" s="11">
        <v>55.42</v>
      </c>
      <c r="I903" s="28"/>
    </row>
    <row r="904" spans="2:9" x14ac:dyDescent="0.35">
      <c r="B904" s="4">
        <v>45062</v>
      </c>
      <c r="C904" s="6" t="s">
        <v>2</v>
      </c>
      <c r="D9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4" s="7">
        <v>160.32</v>
      </c>
      <c r="F904" s="9">
        <v>0.72</v>
      </c>
      <c r="G904" s="11">
        <v>54.94</v>
      </c>
      <c r="I904" s="28"/>
    </row>
    <row r="905" spans="2:9" x14ac:dyDescent="0.35">
      <c r="B905" s="4">
        <v>45063</v>
      </c>
      <c r="C905" s="6" t="s">
        <v>2</v>
      </c>
      <c r="D9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5" s="7">
        <v>125.97</v>
      </c>
      <c r="F905" s="9">
        <v>1.1100000000000001</v>
      </c>
      <c r="G905" s="11">
        <v>54.48</v>
      </c>
      <c r="I905" s="28"/>
    </row>
    <row r="906" spans="2:9" x14ac:dyDescent="0.35">
      <c r="B906" s="4">
        <v>45064</v>
      </c>
      <c r="C906" s="6" t="s">
        <v>2</v>
      </c>
      <c r="D9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6" s="7">
        <v>224.66</v>
      </c>
      <c r="F906" s="9">
        <v>1.03</v>
      </c>
      <c r="G906" s="11">
        <v>53.49</v>
      </c>
      <c r="I906" s="28"/>
    </row>
    <row r="907" spans="2:9" x14ac:dyDescent="0.35">
      <c r="B907" s="4">
        <v>45065</v>
      </c>
      <c r="C907" s="6" t="s">
        <v>2</v>
      </c>
      <c r="D9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7" s="7">
        <v>218.14</v>
      </c>
      <c r="F907" s="9">
        <v>0.31</v>
      </c>
      <c r="G907" s="11">
        <v>55.25</v>
      </c>
      <c r="I907" s="28"/>
    </row>
    <row r="908" spans="2:9" x14ac:dyDescent="0.35">
      <c r="B908" s="4">
        <v>45069</v>
      </c>
      <c r="C908" s="6" t="s">
        <v>2</v>
      </c>
      <c r="D9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8" s="7">
        <v>119.4</v>
      </c>
      <c r="F908" s="9">
        <v>2.16</v>
      </c>
      <c r="G908" s="11">
        <v>53.35</v>
      </c>
      <c r="I908" s="28"/>
    </row>
    <row r="909" spans="2:9" x14ac:dyDescent="0.35">
      <c r="B909" s="4">
        <v>45070</v>
      </c>
      <c r="C909" s="6" t="s">
        <v>2</v>
      </c>
      <c r="D9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09" s="7">
        <v>236.11</v>
      </c>
      <c r="F909" s="9">
        <v>1.05</v>
      </c>
      <c r="G909" s="11">
        <v>52.06</v>
      </c>
      <c r="I909" s="28"/>
    </row>
    <row r="910" spans="2:9" x14ac:dyDescent="0.35">
      <c r="B910" s="4">
        <v>45071</v>
      </c>
      <c r="C910" s="6" t="s">
        <v>2</v>
      </c>
      <c r="D9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0" s="7">
        <v>226.16</v>
      </c>
      <c r="F910" s="9">
        <v>0.382525</v>
      </c>
      <c r="G910" s="11">
        <v>54.362869636290966</v>
      </c>
      <c r="I910" s="28"/>
    </row>
    <row r="911" spans="2:9" x14ac:dyDescent="0.35">
      <c r="B911" s="4">
        <v>45072</v>
      </c>
      <c r="C911" s="6" t="s">
        <v>2</v>
      </c>
      <c r="D9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1" s="7">
        <v>173.98</v>
      </c>
      <c r="F911" s="9">
        <v>0.382525</v>
      </c>
      <c r="G911" s="10">
        <v>54.362869636290966</v>
      </c>
      <c r="I911" s="28"/>
    </row>
    <row r="912" spans="2:9" x14ac:dyDescent="0.35">
      <c r="B912" s="4">
        <v>45073</v>
      </c>
      <c r="C912" s="6" t="s">
        <v>2</v>
      </c>
      <c r="D9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2" s="7">
        <v>167.26</v>
      </c>
      <c r="F912" s="9">
        <v>0.28087500000000004</v>
      </c>
      <c r="G912" s="10">
        <v>53.148758552171742</v>
      </c>
      <c r="I912" s="28"/>
    </row>
    <row r="913" spans="2:9" x14ac:dyDescent="0.35">
      <c r="B913" s="4">
        <v>45075</v>
      </c>
      <c r="C913" s="6" t="s">
        <v>2</v>
      </c>
      <c r="D9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3" s="7">
        <v>240.16</v>
      </c>
      <c r="F913" s="9">
        <v>0.13</v>
      </c>
      <c r="G913" s="11">
        <v>56.18</v>
      </c>
      <c r="I913" s="28"/>
    </row>
    <row r="914" spans="2:9" x14ac:dyDescent="0.35">
      <c r="B914" s="4">
        <v>45076</v>
      </c>
      <c r="C914" s="6" t="s">
        <v>2</v>
      </c>
      <c r="D9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4" s="7">
        <v>323.55</v>
      </c>
      <c r="F914" s="9">
        <v>4.74</v>
      </c>
      <c r="G914" s="11">
        <v>50.23</v>
      </c>
      <c r="I914" s="28"/>
    </row>
    <row r="915" spans="2:9" x14ac:dyDescent="0.35">
      <c r="B915" s="4">
        <v>45048</v>
      </c>
      <c r="C915" s="6" t="s">
        <v>6</v>
      </c>
      <c r="D9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5" s="7">
        <v>137.93</v>
      </c>
      <c r="F915" s="9">
        <v>2.3379500000000002</v>
      </c>
      <c r="G915" s="11">
        <v>53.29327832783278</v>
      </c>
      <c r="I915" s="28"/>
    </row>
    <row r="916" spans="2:9" x14ac:dyDescent="0.35">
      <c r="B916" s="4">
        <v>45049</v>
      </c>
      <c r="C916" s="6" t="s">
        <v>6</v>
      </c>
      <c r="D9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6" s="7">
        <v>32.83</v>
      </c>
      <c r="F916" s="9">
        <v>2.16675</v>
      </c>
      <c r="G916" s="11">
        <v>53.533802479008386</v>
      </c>
      <c r="I916" s="28"/>
    </row>
    <row r="917" spans="2:9" x14ac:dyDescent="0.35">
      <c r="B917" s="4">
        <v>45048</v>
      </c>
      <c r="C917" s="6" t="s">
        <v>7</v>
      </c>
      <c r="D9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7" s="7">
        <v>73.69</v>
      </c>
      <c r="F917" s="9">
        <v>1.885875</v>
      </c>
      <c r="G917" s="11">
        <v>52.977203279672032</v>
      </c>
      <c r="I917" s="28"/>
    </row>
    <row r="918" spans="2:9" x14ac:dyDescent="0.35">
      <c r="B918" s="4">
        <v>45049</v>
      </c>
      <c r="C918" s="6" t="s">
        <v>7</v>
      </c>
      <c r="D9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8" s="7">
        <v>74.42</v>
      </c>
      <c r="F918" s="9">
        <v>1.0780250000000002</v>
      </c>
      <c r="G918" s="11">
        <v>53.767286070893654</v>
      </c>
      <c r="I918" s="28"/>
    </row>
    <row r="919" spans="2:9" x14ac:dyDescent="0.35">
      <c r="B919" s="4">
        <v>45050</v>
      </c>
      <c r="C919" s="6" t="s">
        <v>7</v>
      </c>
      <c r="D9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19" s="7">
        <v>74.650000000000006</v>
      </c>
      <c r="F919" s="9">
        <v>4.8845500000000008</v>
      </c>
      <c r="G919" s="11">
        <v>48.274313436312738</v>
      </c>
      <c r="I919" s="28"/>
    </row>
    <row r="920" spans="2:9" x14ac:dyDescent="0.35">
      <c r="B920" s="4">
        <v>45051</v>
      </c>
      <c r="C920" s="6" t="s">
        <v>7</v>
      </c>
      <c r="D9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0" s="7">
        <v>123.19</v>
      </c>
      <c r="F920" s="9">
        <v>1.9902000000000002</v>
      </c>
      <c r="G920" s="11">
        <v>51.526698976683939</v>
      </c>
      <c r="I920" s="28"/>
    </row>
    <row r="921" spans="2:9" x14ac:dyDescent="0.35">
      <c r="B921" s="4">
        <v>45052</v>
      </c>
      <c r="C921" s="6" t="s">
        <v>7</v>
      </c>
      <c r="D9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1" s="7">
        <v>98.6</v>
      </c>
      <c r="F921" s="9">
        <v>1.2625999999999999</v>
      </c>
      <c r="G921" s="11">
        <v>52.498079960019993</v>
      </c>
      <c r="I921" s="28"/>
    </row>
    <row r="922" spans="2:9" x14ac:dyDescent="0.35">
      <c r="B922" s="4">
        <v>45054</v>
      </c>
      <c r="C922" s="6" t="s">
        <v>7</v>
      </c>
      <c r="D9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2" s="7">
        <v>103.78</v>
      </c>
      <c r="F922" s="9">
        <v>1.5595250000000001</v>
      </c>
      <c r="G922" s="11">
        <v>52.761471354166659</v>
      </c>
      <c r="I922" s="28"/>
    </row>
    <row r="923" spans="2:9" x14ac:dyDescent="0.35">
      <c r="B923" s="4">
        <v>45055</v>
      </c>
      <c r="C923" s="6" t="s">
        <v>7</v>
      </c>
      <c r="D9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3" s="7">
        <v>77.42</v>
      </c>
      <c r="F923" s="9">
        <v>1.7307250000000001</v>
      </c>
      <c r="G923" s="11">
        <v>52.039921110528418</v>
      </c>
      <c r="I923" s="28"/>
    </row>
    <row r="924" spans="2:9" x14ac:dyDescent="0.35">
      <c r="B924" s="4">
        <v>45056</v>
      </c>
      <c r="C924" s="6" t="s">
        <v>7</v>
      </c>
      <c r="D9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4" s="7">
        <v>77.3</v>
      </c>
      <c r="F924" s="9">
        <v>1.93</v>
      </c>
      <c r="G924" s="11">
        <v>52.24</v>
      </c>
      <c r="I924" s="28"/>
    </row>
    <row r="925" spans="2:9" x14ac:dyDescent="0.35">
      <c r="B925" s="4">
        <v>45057</v>
      </c>
      <c r="C925" s="6" t="s">
        <v>7</v>
      </c>
      <c r="D9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5" s="7">
        <v>24.52</v>
      </c>
      <c r="F925" s="9">
        <v>0.96</v>
      </c>
      <c r="G925" s="11">
        <v>53.83</v>
      </c>
      <c r="I925" s="28"/>
    </row>
    <row r="926" spans="2:9" x14ac:dyDescent="0.35">
      <c r="B926" s="4">
        <v>45058</v>
      </c>
      <c r="C926" s="6" t="s">
        <v>7</v>
      </c>
      <c r="D9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6" s="7">
        <v>75.59</v>
      </c>
      <c r="F926" s="9">
        <v>1.62</v>
      </c>
      <c r="G926" s="11">
        <v>53.020335358242491</v>
      </c>
      <c r="I926" s="28"/>
    </row>
    <row r="927" spans="2:9" x14ac:dyDescent="0.35">
      <c r="B927" s="4">
        <v>45059</v>
      </c>
      <c r="C927" s="6" t="s">
        <v>7</v>
      </c>
      <c r="D9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7" s="7">
        <v>50.52</v>
      </c>
      <c r="F927" s="9">
        <v>2.1</v>
      </c>
      <c r="G927" s="11">
        <v>52.670395767372106</v>
      </c>
      <c r="I927" s="28"/>
    </row>
    <row r="928" spans="2:9" x14ac:dyDescent="0.35">
      <c r="B928" s="4">
        <v>45062</v>
      </c>
      <c r="C928" s="6" t="s">
        <v>7</v>
      </c>
      <c r="D9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8" s="7">
        <v>152.87</v>
      </c>
      <c r="F928" s="9">
        <v>1.45</v>
      </c>
      <c r="G928" s="11">
        <v>53.04</v>
      </c>
      <c r="I928" s="28"/>
    </row>
    <row r="929" spans="2:9" x14ac:dyDescent="0.35">
      <c r="B929" s="4">
        <v>45063</v>
      </c>
      <c r="C929" s="6" t="s">
        <v>7</v>
      </c>
      <c r="D9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29" s="7">
        <v>77.19</v>
      </c>
      <c r="F929" s="11">
        <v>3.6</v>
      </c>
      <c r="G929" s="11">
        <v>51.16</v>
      </c>
      <c r="I929" s="28"/>
    </row>
    <row r="930" spans="2:9" x14ac:dyDescent="0.35">
      <c r="B930" s="4">
        <v>45064</v>
      </c>
      <c r="C930" s="6" t="s">
        <v>7</v>
      </c>
      <c r="D9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0" s="7">
        <v>73.180000000000007</v>
      </c>
      <c r="F930" s="11">
        <v>7.31</v>
      </c>
      <c r="G930" s="11">
        <v>48.9</v>
      </c>
      <c r="I930" s="28"/>
    </row>
    <row r="931" spans="2:9" x14ac:dyDescent="0.35">
      <c r="B931" s="4">
        <v>45065</v>
      </c>
      <c r="C931" s="6" t="s">
        <v>7</v>
      </c>
      <c r="D9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1" s="7">
        <v>75.709999999999994</v>
      </c>
      <c r="F931" s="11">
        <v>1.59</v>
      </c>
      <c r="G931" s="11">
        <v>52.89</v>
      </c>
      <c r="I931" s="28"/>
    </row>
    <row r="932" spans="2:9" x14ac:dyDescent="0.35">
      <c r="B932" s="4">
        <v>45069</v>
      </c>
      <c r="C932" s="6" t="s">
        <v>7</v>
      </c>
      <c r="D9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2" s="7">
        <v>25.26</v>
      </c>
      <c r="F932" s="11">
        <v>1.54</v>
      </c>
      <c r="G932" s="11">
        <v>51.51</v>
      </c>
      <c r="I932" s="28"/>
    </row>
    <row r="933" spans="2:9" x14ac:dyDescent="0.35">
      <c r="B933" s="4">
        <v>45076</v>
      </c>
      <c r="C933" s="6" t="s">
        <v>7</v>
      </c>
      <c r="D9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3" s="7">
        <v>48.37</v>
      </c>
      <c r="F933" s="11">
        <v>4.95</v>
      </c>
      <c r="G933" s="11">
        <v>51.78</v>
      </c>
      <c r="I933" s="28"/>
    </row>
    <row r="934" spans="2:9" x14ac:dyDescent="0.35">
      <c r="B934" s="4">
        <v>45077</v>
      </c>
      <c r="C934" s="6" t="s">
        <v>7</v>
      </c>
      <c r="D9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4" s="7">
        <v>73.87</v>
      </c>
      <c r="F934" s="11">
        <v>11.68</v>
      </c>
      <c r="G934" s="11">
        <v>46.87</v>
      </c>
      <c r="I934" s="28"/>
    </row>
    <row r="935" spans="2:9" x14ac:dyDescent="0.35">
      <c r="B935" s="4">
        <v>45048</v>
      </c>
      <c r="C935" s="6" t="s">
        <v>3</v>
      </c>
      <c r="D9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5" s="7">
        <v>46.2</v>
      </c>
      <c r="F935" s="11">
        <v>3.1377750000000004</v>
      </c>
      <c r="G935" s="11">
        <v>52.267770403677062</v>
      </c>
      <c r="I935" s="28"/>
    </row>
    <row r="936" spans="2:9" x14ac:dyDescent="0.35">
      <c r="B936" s="4">
        <v>45049</v>
      </c>
      <c r="C936" s="6" t="s">
        <v>3</v>
      </c>
      <c r="D9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6" s="7">
        <v>66.87</v>
      </c>
      <c r="F936" s="11">
        <v>1.671875</v>
      </c>
      <c r="G936" s="11">
        <v>53.584776665084441</v>
      </c>
      <c r="I936" s="28"/>
    </row>
    <row r="937" spans="2:9" x14ac:dyDescent="0.35">
      <c r="B937" s="4">
        <v>45050</v>
      </c>
      <c r="C937" s="6" t="s">
        <v>3</v>
      </c>
      <c r="D9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7" s="7">
        <v>21.44</v>
      </c>
      <c r="F937" s="11">
        <v>2.6910500000000002</v>
      </c>
      <c r="G937" s="11">
        <v>52.928587534958048</v>
      </c>
      <c r="I937" s="28"/>
    </row>
    <row r="938" spans="2:9" x14ac:dyDescent="0.35">
      <c r="B938" s="4">
        <v>45051</v>
      </c>
      <c r="C938" s="6" t="s">
        <v>3</v>
      </c>
      <c r="D9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8" s="7">
        <v>67.7</v>
      </c>
      <c r="F938" s="11">
        <v>1.498</v>
      </c>
      <c r="G938" s="11">
        <v>52.534241938714196</v>
      </c>
      <c r="I938" s="28"/>
    </row>
    <row r="939" spans="2:9" x14ac:dyDescent="0.35">
      <c r="B939" s="4">
        <v>45052</v>
      </c>
      <c r="C939" s="6" t="s">
        <v>3</v>
      </c>
      <c r="D9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39" s="7">
        <v>22.31</v>
      </c>
      <c r="F939" s="11">
        <v>8.6268750000000001</v>
      </c>
      <c r="G939" s="11">
        <v>47.398935493489716</v>
      </c>
      <c r="I939" s="28"/>
    </row>
    <row r="940" spans="2:9" x14ac:dyDescent="0.35">
      <c r="B940" s="4">
        <v>45055</v>
      </c>
      <c r="C940" s="6" t="s">
        <v>3</v>
      </c>
      <c r="D9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0" s="7">
        <v>21.93</v>
      </c>
      <c r="F940" s="11">
        <v>1.6799000000000002</v>
      </c>
      <c r="G940" s="11">
        <v>53.416647538569428</v>
      </c>
      <c r="I940" s="28"/>
    </row>
    <row r="941" spans="2:9" x14ac:dyDescent="0.35">
      <c r="B941" s="4">
        <v>45057</v>
      </c>
      <c r="C941" s="6" t="s">
        <v>3</v>
      </c>
      <c r="D9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1" s="7">
        <v>24.22</v>
      </c>
      <c r="F941" s="11">
        <v>1.1399999999999999</v>
      </c>
      <c r="G941" s="11">
        <v>53.797706422018344</v>
      </c>
      <c r="I941" s="28"/>
    </row>
    <row r="942" spans="2:9" x14ac:dyDescent="0.35">
      <c r="B942" s="4">
        <v>45058</v>
      </c>
      <c r="C942" s="6" t="s">
        <v>3</v>
      </c>
      <c r="D9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2" s="7">
        <v>63.64</v>
      </c>
      <c r="F942" s="11">
        <v>2</v>
      </c>
      <c r="G942" s="11">
        <v>53.261442869057547</v>
      </c>
      <c r="I942" s="28"/>
    </row>
    <row r="943" spans="2:9" x14ac:dyDescent="0.35">
      <c r="B943" s="4">
        <v>45059</v>
      </c>
      <c r="C943" s="6" t="s">
        <v>3</v>
      </c>
      <c r="D9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3" s="7">
        <v>42.83</v>
      </c>
      <c r="F943" s="9">
        <v>1.67</v>
      </c>
      <c r="G943" s="10">
        <v>51.91</v>
      </c>
      <c r="I943" s="28"/>
    </row>
    <row r="944" spans="2:9" x14ac:dyDescent="0.35">
      <c r="B944" s="4">
        <v>45061</v>
      </c>
      <c r="C944" s="6" t="s">
        <v>3</v>
      </c>
      <c r="D9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4" s="7">
        <v>67.25</v>
      </c>
      <c r="F944" s="9">
        <v>1.19</v>
      </c>
      <c r="G944" s="10">
        <v>54.49</v>
      </c>
      <c r="I944" s="28"/>
    </row>
    <row r="945" spans="2:9" x14ac:dyDescent="0.35">
      <c r="B945" s="4">
        <v>45062</v>
      </c>
      <c r="C945" s="6" t="s">
        <v>3</v>
      </c>
      <c r="D9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5" s="7">
        <v>70.7</v>
      </c>
      <c r="F945" s="9">
        <v>2.11</v>
      </c>
      <c r="G945" s="10">
        <v>53.33</v>
      </c>
      <c r="I945" s="28"/>
    </row>
    <row r="946" spans="2:9" x14ac:dyDescent="0.35">
      <c r="B946" s="4">
        <v>45063</v>
      </c>
      <c r="C946" s="6" t="s">
        <v>3</v>
      </c>
      <c r="D9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6" s="7">
        <v>65.459999999999994</v>
      </c>
      <c r="F946" s="9">
        <v>2.73</v>
      </c>
      <c r="G946" s="10">
        <v>54.04</v>
      </c>
      <c r="I946" s="28"/>
    </row>
    <row r="947" spans="2:9" x14ac:dyDescent="0.35">
      <c r="B947" s="4">
        <v>45065</v>
      </c>
      <c r="C947" s="6" t="s">
        <v>3</v>
      </c>
      <c r="D9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7" s="7">
        <v>68.23</v>
      </c>
      <c r="F947" s="9">
        <v>7.51</v>
      </c>
      <c r="G947" s="10">
        <v>49.14</v>
      </c>
      <c r="I947" s="28"/>
    </row>
    <row r="948" spans="2:9" x14ac:dyDescent="0.35">
      <c r="B948" s="4">
        <v>45071</v>
      </c>
      <c r="C948" s="6" t="s">
        <v>3</v>
      </c>
      <c r="D9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8" s="7">
        <v>68.5</v>
      </c>
      <c r="F948" s="9">
        <v>2.2149000000000001</v>
      </c>
      <c r="G948" s="10">
        <v>51.28226069095728</v>
      </c>
      <c r="I948" s="28"/>
    </row>
    <row r="949" spans="2:9" x14ac:dyDescent="0.35">
      <c r="B949" s="4">
        <v>45072</v>
      </c>
      <c r="C949" s="6" t="s">
        <v>3</v>
      </c>
      <c r="D9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49" s="7">
        <v>65.84</v>
      </c>
      <c r="F949" s="9">
        <v>1.810975</v>
      </c>
      <c r="G949" s="10">
        <v>53.468294690540674</v>
      </c>
      <c r="I949" s="28"/>
    </row>
    <row r="950" spans="2:9" x14ac:dyDescent="0.35">
      <c r="B950" s="4">
        <v>45073</v>
      </c>
      <c r="C950" s="6" t="s">
        <v>3</v>
      </c>
      <c r="D9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0" s="7">
        <v>44.16</v>
      </c>
      <c r="F950" s="9">
        <v>1.46</v>
      </c>
      <c r="G950" s="10">
        <v>54.82</v>
      </c>
      <c r="I950" s="28"/>
    </row>
    <row r="951" spans="2:9" x14ac:dyDescent="0.35">
      <c r="B951" s="4">
        <v>45075</v>
      </c>
      <c r="C951" s="6" t="s">
        <v>3</v>
      </c>
      <c r="D9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1" s="7">
        <v>43.51</v>
      </c>
      <c r="F951" s="9">
        <v>1.3</v>
      </c>
      <c r="G951" s="11">
        <v>55.23</v>
      </c>
      <c r="I951" s="28"/>
    </row>
    <row r="952" spans="2:9" x14ac:dyDescent="0.35">
      <c r="B952" s="4">
        <v>45076</v>
      </c>
      <c r="C952" s="6" t="s">
        <v>3</v>
      </c>
      <c r="D9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2" s="7">
        <v>21.88</v>
      </c>
      <c r="F952" s="9">
        <v>14.48</v>
      </c>
      <c r="G952" s="11">
        <v>44.73</v>
      </c>
      <c r="I952" s="28"/>
    </row>
    <row r="953" spans="2:9" x14ac:dyDescent="0.35">
      <c r="B953" s="4">
        <v>45077</v>
      </c>
      <c r="C953" s="6" t="s">
        <v>3</v>
      </c>
      <c r="D9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3" s="7">
        <v>42.65</v>
      </c>
      <c r="F953" s="9">
        <v>14.48</v>
      </c>
      <c r="G953" s="11">
        <v>44.73</v>
      </c>
      <c r="I953" s="28"/>
    </row>
    <row r="954" spans="2:9" x14ac:dyDescent="0.35">
      <c r="B954" s="4">
        <v>45050</v>
      </c>
      <c r="C954" s="6" t="s">
        <v>5</v>
      </c>
      <c r="D9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4" s="7">
        <v>102.38</v>
      </c>
      <c r="F954" s="9">
        <v>0.74632500000000002</v>
      </c>
      <c r="G954" s="11">
        <v>53.500897467480492</v>
      </c>
      <c r="I954" s="28"/>
    </row>
    <row r="955" spans="2:9" x14ac:dyDescent="0.35">
      <c r="B955" s="4">
        <v>45051</v>
      </c>
      <c r="C955" s="6" t="s">
        <v>5</v>
      </c>
      <c r="D9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5" s="7">
        <v>97.61</v>
      </c>
      <c r="F955" s="9">
        <v>0.68747499999999995</v>
      </c>
      <c r="G955" s="11">
        <v>53.550517106867943</v>
      </c>
      <c r="I955" s="28"/>
    </row>
    <row r="956" spans="2:9" x14ac:dyDescent="0.35">
      <c r="B956" s="4">
        <v>45052</v>
      </c>
      <c r="C956" s="6" t="s">
        <v>5</v>
      </c>
      <c r="D9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6" s="7">
        <v>111.48</v>
      </c>
      <c r="F956" s="9">
        <v>0.46277500000000005</v>
      </c>
      <c r="G956" s="11">
        <v>53.520985082024609</v>
      </c>
      <c r="I956" s="28"/>
    </row>
    <row r="957" spans="2:9" x14ac:dyDescent="0.35">
      <c r="B957" s="4">
        <v>45057</v>
      </c>
      <c r="C957" s="6" t="s">
        <v>5</v>
      </c>
      <c r="D9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7" s="7">
        <v>189.68</v>
      </c>
      <c r="F957" s="9">
        <v>0.08</v>
      </c>
      <c r="G957" s="11">
        <v>54.76</v>
      </c>
      <c r="I957" s="28"/>
    </row>
    <row r="958" spans="2:9" x14ac:dyDescent="0.35">
      <c r="B958" s="4">
        <v>45058</v>
      </c>
      <c r="C958" s="6" t="s">
        <v>5</v>
      </c>
      <c r="D9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8" s="7">
        <v>168.56</v>
      </c>
      <c r="F958" s="9">
        <v>0.08</v>
      </c>
      <c r="G958" s="11">
        <v>54.489659489233851</v>
      </c>
      <c r="I958" s="28"/>
    </row>
    <row r="959" spans="2:9" x14ac:dyDescent="0.35">
      <c r="B959" s="4">
        <v>45062</v>
      </c>
      <c r="C959" s="6" t="s">
        <v>5</v>
      </c>
      <c r="D9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59" s="7">
        <v>69.33</v>
      </c>
      <c r="F959" s="9">
        <v>0.75</v>
      </c>
      <c r="G959" s="11">
        <v>54.99</v>
      </c>
      <c r="I959" s="28"/>
    </row>
    <row r="960" spans="2:9" x14ac:dyDescent="0.35">
      <c r="B960" s="4">
        <v>45064</v>
      </c>
      <c r="C960" s="6" t="s">
        <v>5</v>
      </c>
      <c r="D9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60" s="7">
        <v>66.959999999999994</v>
      </c>
      <c r="F960" s="9">
        <v>0.47</v>
      </c>
      <c r="G960" s="11">
        <v>55.33</v>
      </c>
      <c r="I960" s="28"/>
    </row>
    <row r="961" spans="2:9" x14ac:dyDescent="0.35">
      <c r="B961" s="4">
        <v>45065</v>
      </c>
      <c r="C961" s="6" t="s">
        <v>5</v>
      </c>
      <c r="D9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61" s="7">
        <v>96.74</v>
      </c>
      <c r="F961" s="9">
        <v>0.16</v>
      </c>
      <c r="G961" s="11">
        <v>54.85</v>
      </c>
      <c r="I961" s="28"/>
    </row>
    <row r="962" spans="2:9" x14ac:dyDescent="0.35">
      <c r="B962" s="4">
        <v>45072</v>
      </c>
      <c r="C962" s="6" t="s">
        <v>5</v>
      </c>
      <c r="D9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62" s="7">
        <v>101.44</v>
      </c>
      <c r="F962" s="9">
        <v>0.35577500000000006</v>
      </c>
      <c r="G962" s="11">
        <v>53.982509313411953</v>
      </c>
      <c r="I962" s="28"/>
    </row>
    <row r="963" spans="2:9" x14ac:dyDescent="0.35">
      <c r="B963" s="4">
        <v>45073</v>
      </c>
      <c r="C963" s="6" t="s">
        <v>5</v>
      </c>
      <c r="D9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63" s="7">
        <v>102.15</v>
      </c>
      <c r="F963" s="9">
        <v>0.7</v>
      </c>
      <c r="G963" s="11">
        <v>54.83</v>
      </c>
      <c r="I963" s="28"/>
    </row>
    <row r="964" spans="2:9" x14ac:dyDescent="0.35">
      <c r="B964" s="4">
        <v>45075</v>
      </c>
      <c r="C964" s="6" t="s">
        <v>5</v>
      </c>
      <c r="D9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64" s="7">
        <v>134.25</v>
      </c>
      <c r="F964" s="9">
        <v>0.09</v>
      </c>
      <c r="G964" s="11">
        <v>55.31</v>
      </c>
      <c r="I964" s="28"/>
    </row>
    <row r="965" spans="2:9" x14ac:dyDescent="0.35">
      <c r="B965" s="4">
        <v>45076</v>
      </c>
      <c r="C965" s="6" t="s">
        <v>5</v>
      </c>
      <c r="D9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65" s="7">
        <v>70.41</v>
      </c>
      <c r="F965" s="9">
        <v>2.92</v>
      </c>
      <c r="G965" s="11">
        <v>53.75</v>
      </c>
      <c r="I965" s="28"/>
    </row>
    <row r="966" spans="2:9" x14ac:dyDescent="0.35">
      <c r="B966" s="4">
        <v>45077</v>
      </c>
      <c r="C966" s="6" t="s">
        <v>5</v>
      </c>
      <c r="D9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66" s="7">
        <v>72.650000000000006</v>
      </c>
      <c r="F966" s="9">
        <v>4.28</v>
      </c>
      <c r="G966" s="11">
        <v>51.83</v>
      </c>
      <c r="I966" s="28"/>
    </row>
    <row r="967" spans="2:9" x14ac:dyDescent="0.35">
      <c r="B967" s="4">
        <v>45048</v>
      </c>
      <c r="C967" s="6" t="s">
        <v>11</v>
      </c>
      <c r="D967" s="6" t="str">
        <f>IF(ISNUMBER(MATCH(ING_PRV[[#This Row],[Proveedor]],PARAMETROS!$A$2:$A$8,0)),"COMPRADA",
                    IF(ISNUMBER(MATCH(ING_PRV[[#This Row],[Proveedor]],PARAMETROS!$B$2:$B$8,0)),"PROPIA","NA")
)</f>
        <v>NA</v>
      </c>
      <c r="E967" s="7">
        <v>58.44</v>
      </c>
      <c r="F967" s="9">
        <v>2.0570750000000002</v>
      </c>
      <c r="G967" s="11">
        <v>52.692101679746074</v>
      </c>
      <c r="I967" s="28"/>
    </row>
    <row r="968" spans="2:9" x14ac:dyDescent="0.35">
      <c r="B968" s="4">
        <v>45050</v>
      </c>
      <c r="C968" s="6" t="s">
        <v>11</v>
      </c>
      <c r="D968" s="6" t="str">
        <f>IF(ISNUMBER(MATCH(ING_PRV[[#This Row],[Proveedor]],PARAMETROS!$A$2:$A$8,0)),"COMPRADA",
                    IF(ISNUMBER(MATCH(ING_PRV[[#This Row],[Proveedor]],PARAMETROS!$B$2:$B$8,0)),"PROPIA","NA")
)</f>
        <v>NA</v>
      </c>
      <c r="E968" s="7">
        <v>54.24</v>
      </c>
      <c r="F968" s="9">
        <v>2.0089250000000001</v>
      </c>
      <c r="G968" s="11">
        <v>53.066192904040399</v>
      </c>
      <c r="I968" s="28"/>
    </row>
    <row r="969" spans="2:9" x14ac:dyDescent="0.35">
      <c r="B969" s="4">
        <v>45051</v>
      </c>
      <c r="C969" s="6" t="s">
        <v>11</v>
      </c>
      <c r="D969" s="6" t="str">
        <f>IF(ISNUMBER(MATCH(ING_PRV[[#This Row],[Proveedor]],PARAMETROS!$A$2:$A$8,0)),"COMPRADA",
                    IF(ISNUMBER(MATCH(ING_PRV[[#This Row],[Proveedor]],PARAMETROS!$B$2:$B$8,0)),"PROPIA","NA")
)</f>
        <v>NA</v>
      </c>
      <c r="E969" s="7">
        <v>58.31</v>
      </c>
      <c r="F969" s="9">
        <v>4.1088000000000005</v>
      </c>
      <c r="G969" s="11">
        <v>51.604852741783333</v>
      </c>
      <c r="I969" s="28"/>
    </row>
    <row r="970" spans="2:9" x14ac:dyDescent="0.35">
      <c r="B970" s="4">
        <v>45052</v>
      </c>
      <c r="C970" s="6" t="s">
        <v>11</v>
      </c>
      <c r="D970" s="6" t="str">
        <f>IF(ISNUMBER(MATCH(ING_PRV[[#This Row],[Proveedor]],PARAMETROS!$A$2:$A$8,0)),"COMPRADA",
                    IF(ISNUMBER(MATCH(ING_PRV[[#This Row],[Proveedor]],PARAMETROS!$B$2:$B$8,0)),"PROPIA","NA")
)</f>
        <v>NA</v>
      </c>
      <c r="E970" s="7">
        <v>74.91</v>
      </c>
      <c r="F970" s="9">
        <v>1.8992500000000001</v>
      </c>
      <c r="G970" s="11">
        <v>53.5379335793358</v>
      </c>
      <c r="I970" s="28"/>
    </row>
    <row r="971" spans="2:9" x14ac:dyDescent="0.35">
      <c r="B971" s="4">
        <v>45054</v>
      </c>
      <c r="C971" s="6" t="s">
        <v>11</v>
      </c>
      <c r="D971" s="6" t="str">
        <f>IF(ISNUMBER(MATCH(ING_PRV[[#This Row],[Proveedor]],PARAMETROS!$A$2:$A$8,0)),"COMPRADA",
                    IF(ISNUMBER(MATCH(ING_PRV[[#This Row],[Proveedor]],PARAMETROS!$B$2:$B$8,0)),"PROPIA","NA")
)</f>
        <v>NA</v>
      </c>
      <c r="E971" s="7">
        <v>59.2</v>
      </c>
      <c r="F971" s="9">
        <v>2.0731250000000001</v>
      </c>
      <c r="G971" s="11">
        <v>52.593536230761543</v>
      </c>
      <c r="I971" s="28"/>
    </row>
    <row r="972" spans="2:9" x14ac:dyDescent="0.35">
      <c r="B972" s="4">
        <v>45055</v>
      </c>
      <c r="C972" s="6" t="s">
        <v>11</v>
      </c>
      <c r="D972" s="6" t="str">
        <f>IF(ISNUMBER(MATCH(ING_PRV[[#This Row],[Proveedor]],PARAMETROS!$A$2:$A$8,0)),"COMPRADA",
                    IF(ISNUMBER(MATCH(ING_PRV[[#This Row],[Proveedor]],PARAMETROS!$B$2:$B$8,0)),"PROPIA","NA")
)</f>
        <v>NA</v>
      </c>
      <c r="E972" s="7">
        <v>29.34</v>
      </c>
      <c r="F972" s="9">
        <v>2.5198499999999999</v>
      </c>
      <c r="G972" s="11">
        <v>52.48883953241895</v>
      </c>
      <c r="I972" s="28"/>
    </row>
    <row r="973" spans="2:9" x14ac:dyDescent="0.35">
      <c r="B973" s="4">
        <v>45057</v>
      </c>
      <c r="C973" s="6" t="s">
        <v>11</v>
      </c>
      <c r="D973" s="6" t="str">
        <f>IF(ISNUMBER(MATCH(ING_PRV[[#This Row],[Proveedor]],PARAMETROS!$A$2:$A$8,0)),"COMPRADA",
                    IF(ISNUMBER(MATCH(ING_PRV[[#This Row],[Proveedor]],PARAMETROS!$B$2:$B$8,0)),"PROPIA","NA")
)</f>
        <v>NA</v>
      </c>
      <c r="E973" s="7">
        <v>55.59</v>
      </c>
      <c r="F973" s="9">
        <v>0.3</v>
      </c>
      <c r="G973" s="11">
        <v>53.391834862385316</v>
      </c>
      <c r="I973" s="28"/>
    </row>
    <row r="974" spans="2:9" x14ac:dyDescent="0.35">
      <c r="B974" s="4">
        <v>45059</v>
      </c>
      <c r="C974" s="6" t="s">
        <v>11</v>
      </c>
      <c r="D974" s="6" t="str">
        <f>IF(ISNUMBER(MATCH(ING_PRV[[#This Row],[Proveedor]],PARAMETROS!$A$2:$A$8,0)),"COMPRADA",
                    IF(ISNUMBER(MATCH(ING_PRV[[#This Row],[Proveedor]],PARAMETROS!$B$2:$B$8,0)),"PROPIA","NA")
)</f>
        <v>NA</v>
      </c>
      <c r="E974" s="7">
        <v>134.37</v>
      </c>
      <c r="F974" s="9">
        <v>1.97</v>
      </c>
      <c r="G974" s="11">
        <v>54.37</v>
      </c>
      <c r="I974" s="28"/>
    </row>
    <row r="975" spans="2:9" x14ac:dyDescent="0.35">
      <c r="B975" s="4">
        <v>45061</v>
      </c>
      <c r="C975" s="6" t="s">
        <v>11</v>
      </c>
      <c r="D975" s="6" t="str">
        <f>IF(ISNUMBER(MATCH(ING_PRV[[#This Row],[Proveedor]],PARAMETROS!$A$2:$A$8,0)),"COMPRADA",
                    IF(ISNUMBER(MATCH(ING_PRV[[#This Row],[Proveedor]],PARAMETROS!$B$2:$B$8,0)),"PROPIA","NA")
)</f>
        <v>NA</v>
      </c>
      <c r="E975" s="7">
        <v>59.27</v>
      </c>
      <c r="F975" s="9">
        <v>1.72</v>
      </c>
      <c r="G975" s="11">
        <v>54.2</v>
      </c>
      <c r="I975" s="28"/>
    </row>
    <row r="976" spans="2:9" x14ac:dyDescent="0.35">
      <c r="B976" s="4">
        <v>45062</v>
      </c>
      <c r="C976" s="6" t="s">
        <v>11</v>
      </c>
      <c r="D976" s="6" t="str">
        <f>IF(ISNUMBER(MATCH(ING_PRV[[#This Row],[Proveedor]],PARAMETROS!$A$2:$A$8,0)),"COMPRADA",
                    IF(ISNUMBER(MATCH(ING_PRV[[#This Row],[Proveedor]],PARAMETROS!$B$2:$B$8,0)),"PROPIA","NA")
)</f>
        <v>NA</v>
      </c>
      <c r="E976" s="7">
        <v>27.8</v>
      </c>
      <c r="F976" s="9">
        <v>1.72</v>
      </c>
      <c r="G976" s="11">
        <v>54.2</v>
      </c>
      <c r="I976" s="28"/>
    </row>
    <row r="977" spans="2:9" x14ac:dyDescent="0.35">
      <c r="B977" s="4">
        <v>45063</v>
      </c>
      <c r="C977" s="6" t="s">
        <v>11</v>
      </c>
      <c r="D977" s="6" t="str">
        <f>IF(ISNUMBER(MATCH(ING_PRV[[#This Row],[Proveedor]],PARAMETROS!$A$2:$A$8,0)),"COMPRADA",
                    IF(ISNUMBER(MATCH(ING_PRV[[#This Row],[Proveedor]],PARAMETROS!$B$2:$B$8,0)),"PROPIA","NA")
)</f>
        <v>NA</v>
      </c>
      <c r="E977" s="7">
        <v>27.37</v>
      </c>
      <c r="F977" s="9">
        <v>5.46</v>
      </c>
      <c r="G977" s="11">
        <v>50.83</v>
      </c>
      <c r="I977" s="28"/>
    </row>
    <row r="978" spans="2:9" x14ac:dyDescent="0.35">
      <c r="B978" s="4">
        <v>45064</v>
      </c>
      <c r="C978" s="6" t="s">
        <v>11</v>
      </c>
      <c r="D978" s="6" t="str">
        <f>IF(ISNUMBER(MATCH(ING_PRV[[#This Row],[Proveedor]],PARAMETROS!$A$2:$A$8,0)),"COMPRADA",
                    IF(ISNUMBER(MATCH(ING_PRV[[#This Row],[Proveedor]],PARAMETROS!$B$2:$B$8,0)),"PROPIA","NA")
)</f>
        <v>NA</v>
      </c>
      <c r="E978" s="7">
        <v>53.77</v>
      </c>
      <c r="F978" s="9">
        <v>2.9</v>
      </c>
      <c r="G978" s="11">
        <v>53.34</v>
      </c>
      <c r="I978" s="28"/>
    </row>
    <row r="979" spans="2:9" x14ac:dyDescent="0.35">
      <c r="B979" s="4">
        <v>45065</v>
      </c>
      <c r="C979" s="6" t="s">
        <v>11</v>
      </c>
      <c r="D979" s="6" t="str">
        <f>IF(ISNUMBER(MATCH(ING_PRV[[#This Row],[Proveedor]],PARAMETROS!$A$2:$A$8,0)),"COMPRADA",
                    IF(ISNUMBER(MATCH(ING_PRV[[#This Row],[Proveedor]],PARAMETROS!$B$2:$B$8,0)),"PROPIA","NA")
)</f>
        <v>NA</v>
      </c>
      <c r="E979" s="7">
        <v>55.32</v>
      </c>
      <c r="F979" s="9">
        <v>2.9</v>
      </c>
      <c r="G979" s="11">
        <v>53.34</v>
      </c>
      <c r="I979" s="28"/>
    </row>
    <row r="980" spans="2:9" x14ac:dyDescent="0.35">
      <c r="B980" s="4">
        <v>45069</v>
      </c>
      <c r="C980" s="6" t="s">
        <v>11</v>
      </c>
      <c r="D980" s="6" t="str">
        <f>IF(ISNUMBER(MATCH(ING_PRV[[#This Row],[Proveedor]],PARAMETROS!$A$2:$A$8,0)),"COMPRADA",
                    IF(ISNUMBER(MATCH(ING_PRV[[#This Row],[Proveedor]],PARAMETROS!$B$2:$B$8,0)),"PROPIA","NA")
)</f>
        <v>NA</v>
      </c>
      <c r="E980" s="7">
        <v>26.45</v>
      </c>
      <c r="F980" s="9">
        <v>0.77</v>
      </c>
      <c r="G980" s="11">
        <v>54.15</v>
      </c>
      <c r="I980" s="28"/>
    </row>
    <row r="981" spans="2:9" x14ac:dyDescent="0.35">
      <c r="B981" s="4">
        <v>45071</v>
      </c>
      <c r="C981" s="6" t="s">
        <v>11</v>
      </c>
      <c r="D981" s="6" t="str">
        <f>IF(ISNUMBER(MATCH(ING_PRV[[#This Row],[Proveedor]],PARAMETROS!$A$2:$A$8,0)),"COMPRADA",
                    IF(ISNUMBER(MATCH(ING_PRV[[#This Row],[Proveedor]],PARAMETROS!$B$2:$B$8,0)),"PROPIA","NA")
)</f>
        <v>NA</v>
      </c>
      <c r="E981" s="7">
        <v>52.84</v>
      </c>
      <c r="F981" s="9">
        <v>7.8912500000000003</v>
      </c>
      <c r="G981" s="11">
        <v>47.635844875950376</v>
      </c>
      <c r="I981" s="28"/>
    </row>
    <row r="982" spans="2:9" x14ac:dyDescent="0.35">
      <c r="B982" s="4">
        <v>45072</v>
      </c>
      <c r="C982" s="6" t="s">
        <v>11</v>
      </c>
      <c r="D982" s="6" t="str">
        <f>IF(ISNUMBER(MATCH(ING_PRV[[#This Row],[Proveedor]],PARAMETROS!$A$2:$A$8,0)),"COMPRADA",
                    IF(ISNUMBER(MATCH(ING_PRV[[#This Row],[Proveedor]],PARAMETROS!$B$2:$B$8,0)),"PROPIA","NA")
)</f>
        <v>NA</v>
      </c>
      <c r="E982" s="7">
        <v>26.77</v>
      </c>
      <c r="F982" s="9">
        <v>4.3094250000000001</v>
      </c>
      <c r="G982" s="11">
        <v>50.544649238934959</v>
      </c>
      <c r="I982" s="28"/>
    </row>
    <row r="983" spans="2:9" x14ac:dyDescent="0.35">
      <c r="B983" s="4">
        <v>45073</v>
      </c>
      <c r="C983" s="6" t="s">
        <v>11</v>
      </c>
      <c r="D983" s="6" t="str">
        <f>IF(ISNUMBER(MATCH(ING_PRV[[#This Row],[Proveedor]],PARAMETROS!$A$2:$A$8,0)),"COMPRADA",
                    IF(ISNUMBER(MATCH(ING_PRV[[#This Row],[Proveedor]],PARAMETROS!$B$2:$B$8,0)),"PROPIA","NA")
)</f>
        <v>NA</v>
      </c>
      <c r="E983" s="7">
        <v>57.2</v>
      </c>
      <c r="F983" s="9">
        <v>1.74</v>
      </c>
      <c r="G983" s="11">
        <v>54.59</v>
      </c>
      <c r="I983" s="28"/>
    </row>
    <row r="984" spans="2:9" x14ac:dyDescent="0.35">
      <c r="B984" s="4">
        <v>45075</v>
      </c>
      <c r="C984" s="6" t="s">
        <v>11</v>
      </c>
      <c r="D984" s="6" t="str">
        <f>IF(ISNUMBER(MATCH(ING_PRV[[#This Row],[Proveedor]],PARAMETROS!$A$2:$A$8,0)),"COMPRADA",
                    IF(ISNUMBER(MATCH(ING_PRV[[#This Row],[Proveedor]],PARAMETROS!$B$2:$B$8,0)),"PROPIA","NA")
)</f>
        <v>NA</v>
      </c>
      <c r="E984" s="7">
        <v>27.95</v>
      </c>
      <c r="F984" s="9">
        <v>1.58</v>
      </c>
      <c r="G984" s="11">
        <v>54.25</v>
      </c>
      <c r="I984" s="28"/>
    </row>
    <row r="985" spans="2:9" x14ac:dyDescent="0.35">
      <c r="B985" s="4">
        <v>45076</v>
      </c>
      <c r="C985" s="6" t="s">
        <v>11</v>
      </c>
      <c r="D985" s="6" t="str">
        <f>IF(ISNUMBER(MATCH(ING_PRV[[#This Row],[Proveedor]],PARAMETROS!$A$2:$A$8,0)),"COMPRADA",
                    IF(ISNUMBER(MATCH(ING_PRV[[#This Row],[Proveedor]],PARAMETROS!$B$2:$B$8,0)),"PROPIA","NA")
)</f>
        <v>NA</v>
      </c>
      <c r="E985" s="7">
        <v>26.6</v>
      </c>
      <c r="F985" s="9">
        <v>1.87</v>
      </c>
      <c r="G985" s="11">
        <v>54.73</v>
      </c>
      <c r="I985" s="28"/>
    </row>
    <row r="986" spans="2:9" x14ac:dyDescent="0.35">
      <c r="B986" s="4">
        <v>45077</v>
      </c>
      <c r="C986" s="6" t="s">
        <v>11</v>
      </c>
      <c r="D986" s="6" t="str">
        <f>IF(ISNUMBER(MATCH(ING_PRV[[#This Row],[Proveedor]],PARAMETROS!$A$2:$A$8,0)),"COMPRADA",
                    IF(ISNUMBER(MATCH(ING_PRV[[#This Row],[Proveedor]],PARAMETROS!$B$2:$B$8,0)),"PROPIA","NA")
)</f>
        <v>NA</v>
      </c>
      <c r="E986" s="7">
        <v>55.28</v>
      </c>
      <c r="F986" s="9">
        <v>1.987525</v>
      </c>
      <c r="G986" s="11">
        <v>53.325916680157739</v>
      </c>
      <c r="I986" s="28"/>
    </row>
    <row r="987" spans="2:9" x14ac:dyDescent="0.35">
      <c r="B987" s="4">
        <v>45052</v>
      </c>
      <c r="C987" s="6" t="s">
        <v>14</v>
      </c>
      <c r="D987" s="6" t="str">
        <f>IF(ISNUMBER(MATCH(ING_PRV[[#This Row],[Proveedor]],PARAMETROS!$A$2:$A$8,0)),"COMPRADA",
                    IF(ISNUMBER(MATCH(ING_PRV[[#This Row],[Proveedor]],PARAMETROS!$B$2:$B$8,0)),"PROPIA","NA")
)</f>
        <v>NA</v>
      </c>
      <c r="E987" s="7">
        <v>33.509</v>
      </c>
      <c r="F987" s="9">
        <v>2.2363</v>
      </c>
      <c r="G987" s="11">
        <v>52.693579104477607</v>
      </c>
      <c r="I987" s="28"/>
    </row>
    <row r="988" spans="2:9" x14ac:dyDescent="0.35">
      <c r="B988" s="4">
        <v>45064</v>
      </c>
      <c r="C988" s="6" t="s">
        <v>14</v>
      </c>
      <c r="D988" s="6" t="str">
        <f>IF(ISNUMBER(MATCH(ING_PRV[[#This Row],[Proveedor]],PARAMETROS!$A$2:$A$8,0)),"COMPRADA",
                    IF(ISNUMBER(MATCH(ING_PRV[[#This Row],[Proveedor]],PARAMETROS!$B$2:$B$8,0)),"PROPIA","NA")
)</f>
        <v>NA</v>
      </c>
      <c r="E988" s="7">
        <v>68.09</v>
      </c>
      <c r="F988" s="9">
        <v>1.74</v>
      </c>
      <c r="G988" s="11">
        <v>54.42</v>
      </c>
      <c r="I988" s="28"/>
    </row>
    <row r="989" spans="2:9" x14ac:dyDescent="0.35">
      <c r="B989" s="4">
        <v>45065</v>
      </c>
      <c r="C989" s="6" t="s">
        <v>14</v>
      </c>
      <c r="D989" s="6" t="str">
        <f>IF(ISNUMBER(MATCH(ING_PRV[[#This Row],[Proveedor]],PARAMETROS!$A$2:$A$8,0)),"COMPRADA",
                    IF(ISNUMBER(MATCH(ING_PRV[[#This Row],[Proveedor]],PARAMETROS!$B$2:$B$8,0)),"PROPIA","NA")
)</f>
        <v>NA</v>
      </c>
      <c r="E989" s="7">
        <v>109.83</v>
      </c>
      <c r="F989" s="9">
        <v>1.85</v>
      </c>
      <c r="G989" s="11">
        <v>54.2</v>
      </c>
      <c r="I989" s="28"/>
    </row>
    <row r="990" spans="2:9" x14ac:dyDescent="0.35">
      <c r="B990" s="4">
        <v>45071</v>
      </c>
      <c r="C990" s="6" t="s">
        <v>14</v>
      </c>
      <c r="D990" s="6" t="str">
        <f>IF(ISNUMBER(MATCH(ING_PRV[[#This Row],[Proveedor]],PARAMETROS!$A$2:$A$8,0)),"COMPRADA",
                    IF(ISNUMBER(MATCH(ING_PRV[[#This Row],[Proveedor]],PARAMETROS!$B$2:$B$8,0)),"PROPIA","NA")
)</f>
        <v>NA</v>
      </c>
      <c r="E990" s="7">
        <v>67.94</v>
      </c>
      <c r="F990" s="9">
        <v>2.2737500000000002</v>
      </c>
      <c r="G990" s="11">
        <v>52.446426649063369</v>
      </c>
      <c r="I990" s="28"/>
    </row>
    <row r="991" spans="2:9" x14ac:dyDescent="0.35">
      <c r="B991" s="4">
        <v>45072</v>
      </c>
      <c r="C991" s="6" t="s">
        <v>14</v>
      </c>
      <c r="D991" s="6" t="str">
        <f>IF(ISNUMBER(MATCH(ING_PRV[[#This Row],[Proveedor]],PARAMETROS!$A$2:$A$8,0)),"COMPRADA",
                    IF(ISNUMBER(MATCH(ING_PRV[[#This Row],[Proveedor]],PARAMETROS!$B$2:$B$8,0)),"PROPIA","NA")
)</f>
        <v>NA</v>
      </c>
      <c r="E991" s="7">
        <v>33.590000000000003</v>
      </c>
      <c r="F991" s="9">
        <v>1.917975</v>
      </c>
      <c r="G991" s="11">
        <v>53.155791300739857</v>
      </c>
      <c r="I991" s="28"/>
    </row>
    <row r="992" spans="2:9" x14ac:dyDescent="0.35">
      <c r="B992" s="4">
        <v>45075</v>
      </c>
      <c r="C992" s="6" t="s">
        <v>14</v>
      </c>
      <c r="D992" s="6" t="str">
        <f>IF(ISNUMBER(MATCH(ING_PRV[[#This Row],[Proveedor]],PARAMETROS!$A$2:$A$8,0)),"COMPRADA",
                    IF(ISNUMBER(MATCH(ING_PRV[[#This Row],[Proveedor]],PARAMETROS!$B$2:$B$8,0)),"PROPIA","NA")
)</f>
        <v>NA</v>
      </c>
      <c r="E992" s="7">
        <v>100.61</v>
      </c>
      <c r="F992" s="9">
        <v>1.59</v>
      </c>
      <c r="G992" s="11">
        <v>54.55</v>
      </c>
      <c r="I992" s="28"/>
    </row>
    <row r="993" spans="2:9" x14ac:dyDescent="0.35">
      <c r="B993" s="4">
        <v>45077</v>
      </c>
      <c r="C993" s="6" t="s">
        <v>14</v>
      </c>
      <c r="D993" s="6" t="str">
        <f>IF(ISNUMBER(MATCH(ING_PRV[[#This Row],[Proveedor]],PARAMETROS!$A$2:$A$8,0)),"COMPRADA",
                    IF(ISNUMBER(MATCH(ING_PRV[[#This Row],[Proveedor]],PARAMETROS!$B$2:$B$8,0)),"PROPIA","NA")
)</f>
        <v>NA</v>
      </c>
      <c r="E993" s="7">
        <v>68.069999999999993</v>
      </c>
      <c r="F993" s="9">
        <v>2.29</v>
      </c>
      <c r="G993" s="11">
        <v>53.81</v>
      </c>
      <c r="I993" s="28"/>
    </row>
    <row r="994" spans="2:9" x14ac:dyDescent="0.35">
      <c r="B994" s="4">
        <v>45078</v>
      </c>
      <c r="C994" s="6" t="s">
        <v>2</v>
      </c>
      <c r="D9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94" s="7">
        <v>94.33</v>
      </c>
      <c r="F994" s="9">
        <v>1.45</v>
      </c>
      <c r="G994" s="11">
        <v>52.09</v>
      </c>
      <c r="I994" s="28"/>
    </row>
    <row r="995" spans="2:9" x14ac:dyDescent="0.35">
      <c r="B995" s="4">
        <v>45079</v>
      </c>
      <c r="C995" s="6" t="s">
        <v>2</v>
      </c>
      <c r="D9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95" s="7">
        <v>269.27999999999997</v>
      </c>
      <c r="F995" s="9">
        <v>0.62327500000000002</v>
      </c>
      <c r="G995" s="11">
        <v>54.340115000000004</v>
      </c>
      <c r="I995" s="28"/>
    </row>
    <row r="996" spans="2:9" x14ac:dyDescent="0.35">
      <c r="B996" s="4">
        <v>45082</v>
      </c>
      <c r="C996" s="6" t="s">
        <v>2</v>
      </c>
      <c r="D9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96" s="7">
        <v>197.77</v>
      </c>
      <c r="F996" s="9">
        <v>0.45474999999999999</v>
      </c>
      <c r="G996" s="11">
        <v>54.358936749624817</v>
      </c>
      <c r="I996" s="28"/>
    </row>
    <row r="997" spans="2:9" x14ac:dyDescent="0.35">
      <c r="B997" s="4">
        <v>45083</v>
      </c>
      <c r="C997" s="6" t="s">
        <v>2</v>
      </c>
      <c r="D9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97" s="7">
        <v>228.19</v>
      </c>
      <c r="F997" s="9">
        <v>1.4177500000000001</v>
      </c>
      <c r="G997" s="11">
        <v>50.231778446115285</v>
      </c>
      <c r="I997" s="28"/>
    </row>
    <row r="998" spans="2:9" x14ac:dyDescent="0.35">
      <c r="B998" s="4">
        <v>45084</v>
      </c>
      <c r="C998" s="6" t="s">
        <v>2</v>
      </c>
      <c r="D9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98" s="7">
        <v>263.76</v>
      </c>
      <c r="F998" s="9">
        <v>2.089175</v>
      </c>
      <c r="G998" s="11">
        <v>52.279802546166195</v>
      </c>
      <c r="I998" s="28"/>
    </row>
    <row r="999" spans="2:9" x14ac:dyDescent="0.35">
      <c r="B999" s="4">
        <v>45085</v>
      </c>
      <c r="C999" s="6" t="s">
        <v>2</v>
      </c>
      <c r="D9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999" s="7">
        <v>234.68</v>
      </c>
      <c r="F999" s="9">
        <v>2.3112000000000004</v>
      </c>
      <c r="G999" s="11">
        <v>51.934020370028897</v>
      </c>
      <c r="I999" s="28"/>
    </row>
    <row r="1000" spans="2:9" x14ac:dyDescent="0.35">
      <c r="B1000" s="4">
        <v>45086</v>
      </c>
      <c r="C1000" s="6" t="s">
        <v>2</v>
      </c>
      <c r="D10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0" s="7">
        <v>311.32</v>
      </c>
      <c r="F1000" s="9">
        <v>4.2425500000000005</v>
      </c>
      <c r="G1000" s="11">
        <v>47.471782499999996</v>
      </c>
      <c r="I1000" s="28"/>
    </row>
    <row r="1001" spans="2:9" x14ac:dyDescent="0.35">
      <c r="B1001" s="4">
        <v>45090</v>
      </c>
      <c r="C1001" s="6" t="s">
        <v>2</v>
      </c>
      <c r="D10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1" s="7">
        <v>214.29</v>
      </c>
      <c r="F1001" s="9">
        <v>0.90415000000000001</v>
      </c>
      <c r="G1001" s="11">
        <v>53.046023533834585</v>
      </c>
      <c r="I1001" s="28"/>
    </row>
    <row r="1002" spans="2:9" x14ac:dyDescent="0.35">
      <c r="B1002" s="4">
        <v>45091</v>
      </c>
      <c r="C1002" s="6" t="s">
        <v>2</v>
      </c>
      <c r="D10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2" s="7">
        <v>325.32</v>
      </c>
      <c r="F1002" s="9">
        <v>3.1859250000000001</v>
      </c>
      <c r="G1002" s="11">
        <v>51.607543240090315</v>
      </c>
      <c r="I1002" s="28"/>
    </row>
    <row r="1003" spans="2:9" x14ac:dyDescent="0.35">
      <c r="B1003" s="4">
        <v>45092</v>
      </c>
      <c r="C1003" s="6" t="s">
        <v>2</v>
      </c>
      <c r="D10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3" s="7">
        <v>168</v>
      </c>
      <c r="F1003" s="9">
        <v>0.33705000000000002</v>
      </c>
      <c r="G1003" s="11">
        <v>53.271367187499997</v>
      </c>
      <c r="I1003" s="28"/>
    </row>
    <row r="1004" spans="2:9" x14ac:dyDescent="0.35">
      <c r="B1004" s="4">
        <v>45093</v>
      </c>
      <c r="C1004" s="6" t="s">
        <v>2</v>
      </c>
      <c r="D10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4" s="7">
        <v>221.66</v>
      </c>
      <c r="F1004" s="9">
        <v>1.671875</v>
      </c>
      <c r="G1004" s="11">
        <v>47.519235266873629</v>
      </c>
      <c r="I1004" s="28"/>
    </row>
    <row r="1005" spans="2:9" x14ac:dyDescent="0.35">
      <c r="B1005" s="4">
        <v>45099</v>
      </c>
      <c r="C1005" s="6" t="s">
        <v>2</v>
      </c>
      <c r="D10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5" s="7">
        <v>285.73</v>
      </c>
      <c r="F1005" s="12">
        <v>1.0486</v>
      </c>
      <c r="G1005" s="12">
        <v>53.481225554106913</v>
      </c>
      <c r="I1005" s="28"/>
    </row>
    <row r="1006" spans="2:9" x14ac:dyDescent="0.35">
      <c r="B1006" s="4">
        <v>45100</v>
      </c>
      <c r="C1006" s="6" t="s">
        <v>2</v>
      </c>
      <c r="D10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6" s="7">
        <v>260.48</v>
      </c>
      <c r="F1006" s="12">
        <v>4.1168250000000004</v>
      </c>
      <c r="G1006" s="12">
        <v>49.247717621683627</v>
      </c>
      <c r="I1006" s="28"/>
    </row>
    <row r="1007" spans="2:9" x14ac:dyDescent="0.35">
      <c r="B1007" s="4">
        <v>45101</v>
      </c>
      <c r="C1007" s="6" t="s">
        <v>2</v>
      </c>
      <c r="D10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7" s="7">
        <v>165.63</v>
      </c>
      <c r="F1007" s="12">
        <v>1.7628250000000001</v>
      </c>
      <c r="G1007" s="12">
        <v>52.377692368315643</v>
      </c>
      <c r="I1007" s="28"/>
    </row>
    <row r="1008" spans="2:9" x14ac:dyDescent="0.35">
      <c r="B1008" s="4">
        <v>45103</v>
      </c>
      <c r="C1008" s="6" t="s">
        <v>2</v>
      </c>
      <c r="D10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8" s="7">
        <v>373.07</v>
      </c>
      <c r="F1008" s="9">
        <v>1.5541750000000001</v>
      </c>
      <c r="G1008" s="10">
        <v>50.869895209580839</v>
      </c>
      <c r="I1008" s="28"/>
    </row>
    <row r="1009" spans="2:9" x14ac:dyDescent="0.35">
      <c r="B1009" s="4">
        <v>45104</v>
      </c>
      <c r="C1009" s="6" t="s">
        <v>2</v>
      </c>
      <c r="D10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09" s="7">
        <v>237.22</v>
      </c>
      <c r="F1009" s="9">
        <v>0.98172500000000007</v>
      </c>
      <c r="G1009" s="10">
        <v>51.161915682182979</v>
      </c>
      <c r="I1009" s="28"/>
    </row>
    <row r="1010" spans="2:9" x14ac:dyDescent="0.35">
      <c r="B1010" s="4">
        <v>45105</v>
      </c>
      <c r="C1010" s="6" t="s">
        <v>2</v>
      </c>
      <c r="D10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0" s="7">
        <v>302.14</v>
      </c>
      <c r="F1010" s="9">
        <v>0.21667500000000003</v>
      </c>
      <c r="G1010" s="10">
        <v>54.56416600397614</v>
      </c>
      <c r="I1010" s="28"/>
    </row>
    <row r="1011" spans="2:9" x14ac:dyDescent="0.35">
      <c r="B1011" s="4">
        <v>45106</v>
      </c>
      <c r="C1011" s="6" t="s">
        <v>2</v>
      </c>
      <c r="D10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1" s="7">
        <v>238.51</v>
      </c>
      <c r="F1011" s="9">
        <v>0.55640000000000001</v>
      </c>
      <c r="G1011" s="10">
        <v>53.342597843450477</v>
      </c>
      <c r="I1011" s="28"/>
    </row>
    <row r="1012" spans="2:9" x14ac:dyDescent="0.35">
      <c r="B1012" s="4">
        <v>45107</v>
      </c>
      <c r="C1012" s="6" t="s">
        <v>2</v>
      </c>
      <c r="D10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2" s="7">
        <v>234.68199999999999</v>
      </c>
      <c r="F1012" s="9">
        <v>3.9162000000000003</v>
      </c>
      <c r="G1012" s="10">
        <v>48.520252555622363</v>
      </c>
      <c r="I1012" s="28"/>
    </row>
    <row r="1013" spans="2:9" x14ac:dyDescent="0.35">
      <c r="B1013" s="4">
        <v>45083</v>
      </c>
      <c r="C1013" s="6" t="s">
        <v>6</v>
      </c>
      <c r="D10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3" s="7">
        <v>615.89</v>
      </c>
      <c r="F1013" s="9">
        <v>2.089175</v>
      </c>
      <c r="G1013" s="10">
        <v>53.338383929465984</v>
      </c>
      <c r="I1013" s="28"/>
    </row>
    <row r="1014" spans="2:9" x14ac:dyDescent="0.35">
      <c r="B1014" s="4">
        <v>45084</v>
      </c>
      <c r="C1014" s="6" t="s">
        <v>6</v>
      </c>
      <c r="D10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4" s="7">
        <v>359.58</v>
      </c>
      <c r="F1014" s="9">
        <v>1.5996500000000002</v>
      </c>
      <c r="G1014" s="10">
        <v>52.763431339427669</v>
      </c>
      <c r="I1014" s="28"/>
    </row>
    <row r="1015" spans="2:9" x14ac:dyDescent="0.35">
      <c r="B1015" s="4">
        <v>45085</v>
      </c>
      <c r="C1015" s="6" t="s">
        <v>6</v>
      </c>
      <c r="D10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5" s="7">
        <v>427.73</v>
      </c>
      <c r="F1015" s="9">
        <v>3.0040250000000004</v>
      </c>
      <c r="G1015" s="10">
        <v>52.851014809661059</v>
      </c>
      <c r="I1015" s="28"/>
    </row>
    <row r="1016" spans="2:9" x14ac:dyDescent="0.35">
      <c r="B1016" s="4">
        <v>45086</v>
      </c>
      <c r="C1016" s="6" t="s">
        <v>6</v>
      </c>
      <c r="D10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6" s="7">
        <v>211.05</v>
      </c>
      <c r="F1016" s="9">
        <v>2.4797250000000002</v>
      </c>
      <c r="G1016" s="10">
        <v>53.107038737571564</v>
      </c>
      <c r="I1016" s="28"/>
    </row>
    <row r="1017" spans="2:9" x14ac:dyDescent="0.35">
      <c r="B1017" s="4">
        <v>45090</v>
      </c>
      <c r="C1017" s="6" t="s">
        <v>6</v>
      </c>
      <c r="D10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7" s="7">
        <v>811.64</v>
      </c>
      <c r="F1017" s="9">
        <v>10.542175</v>
      </c>
      <c r="G1017" s="10">
        <v>46.170612132485481</v>
      </c>
      <c r="I1017" s="28"/>
    </row>
    <row r="1018" spans="2:9" x14ac:dyDescent="0.35">
      <c r="B1018" s="4">
        <v>45091</v>
      </c>
      <c r="C1018" s="6" t="s">
        <v>6</v>
      </c>
      <c r="D10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8" s="7">
        <v>168.63</v>
      </c>
      <c r="F1018" s="9">
        <v>7.9206750000000001</v>
      </c>
      <c r="G1018" s="10">
        <v>49.252621437173822</v>
      </c>
      <c r="I1018" s="28"/>
    </row>
    <row r="1019" spans="2:9" x14ac:dyDescent="0.35">
      <c r="B1019" s="4">
        <v>45092</v>
      </c>
      <c r="C1019" s="6" t="s">
        <v>6</v>
      </c>
      <c r="D10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19" s="7">
        <v>104.8</v>
      </c>
      <c r="F1019" s="9">
        <v>2.4583249999999999</v>
      </c>
      <c r="G1019" s="10">
        <v>53.28285114657686</v>
      </c>
      <c r="I1019" s="28"/>
    </row>
    <row r="1020" spans="2:9" x14ac:dyDescent="0.35">
      <c r="B1020" s="4">
        <v>45093</v>
      </c>
      <c r="C1020" s="6" t="s">
        <v>6</v>
      </c>
      <c r="D10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0" s="7">
        <v>106.67</v>
      </c>
      <c r="F1020" s="9">
        <v>0.69550000000000012</v>
      </c>
      <c r="G1020" s="10">
        <v>54.741300647778331</v>
      </c>
      <c r="I1020" s="28"/>
    </row>
    <row r="1021" spans="2:9" x14ac:dyDescent="0.35">
      <c r="B1021" s="4">
        <v>45094</v>
      </c>
      <c r="C1021" s="6" t="s">
        <v>6</v>
      </c>
      <c r="D10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1" s="7">
        <v>70.06</v>
      </c>
      <c r="F1021" s="9">
        <v>2.4609999999999999</v>
      </c>
      <c r="G1021" s="11">
        <v>53.309516791924842</v>
      </c>
      <c r="I1021" s="28"/>
    </row>
    <row r="1022" spans="2:9" x14ac:dyDescent="0.35">
      <c r="B1022" s="4">
        <v>45098</v>
      </c>
      <c r="C1022" s="6" t="s">
        <v>6</v>
      </c>
      <c r="D10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2" s="7">
        <v>67.42</v>
      </c>
      <c r="F1022" s="11">
        <v>3.1110250000000006</v>
      </c>
      <c r="G1022" s="11">
        <v>52.812499880643877</v>
      </c>
      <c r="I1022" s="28"/>
    </row>
    <row r="1023" spans="2:9" x14ac:dyDescent="0.35">
      <c r="B1023" s="4">
        <v>45099</v>
      </c>
      <c r="C1023" s="6" t="s">
        <v>6</v>
      </c>
      <c r="D10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3" s="7">
        <v>205.69</v>
      </c>
      <c r="F1023" s="11">
        <v>2.3647</v>
      </c>
      <c r="G1023" s="11">
        <v>53.40378638435341</v>
      </c>
      <c r="I1023" s="28"/>
    </row>
    <row r="1024" spans="2:9" x14ac:dyDescent="0.35">
      <c r="B1024" s="4">
        <v>45100</v>
      </c>
      <c r="C1024" s="6" t="s">
        <v>6</v>
      </c>
      <c r="D10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4" s="7">
        <v>102.95</v>
      </c>
      <c r="F1024" s="11">
        <v>1.819</v>
      </c>
      <c r="G1024" s="11">
        <v>53.758703786702497</v>
      </c>
      <c r="I1024" s="28"/>
    </row>
    <row r="1025" spans="2:9" x14ac:dyDescent="0.35">
      <c r="B1025" s="4">
        <v>45101</v>
      </c>
      <c r="C1025" s="6" t="s">
        <v>6</v>
      </c>
      <c r="D10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5" s="7">
        <v>141.47</v>
      </c>
      <c r="F1025" s="11">
        <v>2.6750000000000003</v>
      </c>
      <c r="G1025" s="11">
        <v>52.913744474737371</v>
      </c>
      <c r="I1025" s="28"/>
    </row>
    <row r="1026" spans="2:9" x14ac:dyDescent="0.35">
      <c r="B1026" s="4">
        <v>45103</v>
      </c>
      <c r="C1026" s="6" t="s">
        <v>6</v>
      </c>
      <c r="D10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6" s="7">
        <v>287.39999999999998</v>
      </c>
      <c r="F1026" s="11">
        <v>2.3433000000000002</v>
      </c>
      <c r="G1026" s="11">
        <v>52.717417516496688</v>
      </c>
      <c r="I1026" s="28"/>
    </row>
    <row r="1027" spans="2:9" x14ac:dyDescent="0.35">
      <c r="B1027" s="4">
        <v>45105</v>
      </c>
      <c r="C1027" s="6" t="s">
        <v>6</v>
      </c>
      <c r="D10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7" s="7">
        <v>606.82000000000005</v>
      </c>
      <c r="F1027" s="11">
        <v>2.2229250000000005</v>
      </c>
      <c r="G1027" s="11">
        <v>53.441867362293443</v>
      </c>
      <c r="I1027" s="28"/>
    </row>
    <row r="1028" spans="2:9" x14ac:dyDescent="0.35">
      <c r="B1028" s="4">
        <v>45106</v>
      </c>
      <c r="C1028" s="6" t="s">
        <v>6</v>
      </c>
      <c r="D10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8" s="7">
        <v>444</v>
      </c>
      <c r="F1028" s="11">
        <v>2.5412500000000002</v>
      </c>
      <c r="G1028" s="11">
        <v>53.260022857712237</v>
      </c>
      <c r="I1028" s="28"/>
    </row>
    <row r="1029" spans="2:9" x14ac:dyDescent="0.35">
      <c r="B1029" s="4">
        <v>45107</v>
      </c>
      <c r="C1029" s="6" t="s">
        <v>6</v>
      </c>
      <c r="D10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29" s="7">
        <v>388.92</v>
      </c>
      <c r="F1029" s="11">
        <v>3.4962250000000004</v>
      </c>
      <c r="G1029" s="11">
        <v>51.993751877440673</v>
      </c>
      <c r="I1029" s="28"/>
    </row>
    <row r="1030" spans="2:9" x14ac:dyDescent="0.35">
      <c r="B1030" s="4">
        <v>45078</v>
      </c>
      <c r="C1030" s="6" t="s">
        <v>7</v>
      </c>
      <c r="D10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0" s="7">
        <v>24.6</v>
      </c>
      <c r="F1030" s="11">
        <v>1.46055</v>
      </c>
      <c r="G1030" s="11">
        <v>52.300687858807855</v>
      </c>
      <c r="I1030" s="28"/>
    </row>
    <row r="1031" spans="2:9" x14ac:dyDescent="0.35">
      <c r="B1031" s="4">
        <v>45078</v>
      </c>
      <c r="C1031" s="6" t="s">
        <v>3</v>
      </c>
      <c r="D10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1" s="7">
        <v>67.45</v>
      </c>
      <c r="F1031" s="11">
        <v>3.66</v>
      </c>
      <c r="G1031" s="11">
        <v>51.88</v>
      </c>
      <c r="I1031" s="28"/>
    </row>
    <row r="1032" spans="2:9" x14ac:dyDescent="0.35">
      <c r="B1032" s="4">
        <v>45079</v>
      </c>
      <c r="C1032" s="6" t="s">
        <v>3</v>
      </c>
      <c r="D10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2" s="7">
        <v>66.06</v>
      </c>
      <c r="F1032" s="11">
        <v>5.5640000000000009</v>
      </c>
      <c r="G1032" s="11">
        <v>50.862697700718996</v>
      </c>
      <c r="I1032" s="28"/>
    </row>
    <row r="1033" spans="2:9" x14ac:dyDescent="0.35">
      <c r="B1033" s="4">
        <v>45082</v>
      </c>
      <c r="C1033" s="6" t="s">
        <v>3</v>
      </c>
      <c r="D10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3" s="7">
        <v>45.72</v>
      </c>
      <c r="F1033" s="12">
        <v>4.2184749999999998</v>
      </c>
      <c r="G1033" s="12">
        <v>51.201149586645464</v>
      </c>
      <c r="I1033" s="28"/>
    </row>
    <row r="1034" spans="2:9" x14ac:dyDescent="0.35">
      <c r="B1034" s="4">
        <v>45083</v>
      </c>
      <c r="C1034" s="6" t="s">
        <v>3</v>
      </c>
      <c r="D10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4" s="7">
        <v>45.1</v>
      </c>
      <c r="F1034" s="12">
        <v>1.045925</v>
      </c>
      <c r="G1034" s="12">
        <v>54.275609994984954</v>
      </c>
      <c r="I1034" s="28"/>
    </row>
    <row r="1035" spans="2:9" x14ac:dyDescent="0.35">
      <c r="B1035" s="4">
        <v>45084</v>
      </c>
      <c r="C1035" s="6" t="s">
        <v>3</v>
      </c>
      <c r="D10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5" s="7">
        <v>22.5</v>
      </c>
      <c r="F1035" s="9">
        <v>3.4133</v>
      </c>
      <c r="G1035" s="10">
        <v>50.317446528744782</v>
      </c>
      <c r="I1035" s="28"/>
    </row>
    <row r="1036" spans="2:9" x14ac:dyDescent="0.35">
      <c r="B1036" s="4">
        <v>45086</v>
      </c>
      <c r="C1036" s="6" t="s">
        <v>3</v>
      </c>
      <c r="D10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6" s="7">
        <v>90.87</v>
      </c>
      <c r="F1036" s="9">
        <v>2.3005</v>
      </c>
      <c r="G1036" s="10">
        <v>52.864049860111912</v>
      </c>
      <c r="I1036" s="28"/>
    </row>
    <row r="1037" spans="2:9" x14ac:dyDescent="0.35">
      <c r="B1037" s="4">
        <v>45090</v>
      </c>
      <c r="C1037" s="6" t="s">
        <v>3</v>
      </c>
      <c r="D10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7" s="7">
        <v>47.78</v>
      </c>
      <c r="F1037" s="9">
        <v>1.853775</v>
      </c>
      <c r="G1037" s="10">
        <v>53.482137730355007</v>
      </c>
      <c r="I1037" s="28"/>
    </row>
    <row r="1038" spans="2:9" x14ac:dyDescent="0.35">
      <c r="B1038" s="4">
        <v>45091</v>
      </c>
      <c r="C1038" s="6" t="s">
        <v>3</v>
      </c>
      <c r="D10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8" s="7">
        <v>24.69</v>
      </c>
      <c r="F1038" s="9">
        <v>1.955425</v>
      </c>
      <c r="G1038" s="10">
        <v>53.474212457303594</v>
      </c>
      <c r="I1038" s="28"/>
    </row>
    <row r="1039" spans="2:9" x14ac:dyDescent="0.35">
      <c r="B1039" s="4">
        <v>45092</v>
      </c>
      <c r="C1039" s="6" t="s">
        <v>3</v>
      </c>
      <c r="D10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39" s="7">
        <v>65.8</v>
      </c>
      <c r="F1039" s="9">
        <v>4.2372000000000005</v>
      </c>
      <c r="G1039" s="10">
        <v>52.116574176099363</v>
      </c>
      <c r="I1039" s="28"/>
    </row>
    <row r="1040" spans="2:9" x14ac:dyDescent="0.35">
      <c r="B1040" s="4">
        <v>45093</v>
      </c>
      <c r="C1040" s="6" t="s">
        <v>3</v>
      </c>
      <c r="D10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0" s="7">
        <v>66.33</v>
      </c>
      <c r="F1040" s="9">
        <v>8.7900500000000008</v>
      </c>
      <c r="G1040" s="10">
        <v>48.701864211793023</v>
      </c>
      <c r="I1040" s="28"/>
    </row>
    <row r="1041" spans="2:9" x14ac:dyDescent="0.35">
      <c r="B1041" s="4">
        <v>45097</v>
      </c>
      <c r="C1041" s="6" t="s">
        <v>3</v>
      </c>
      <c r="D10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1" s="7">
        <v>69.040000000000006</v>
      </c>
      <c r="F1041" s="9">
        <v>1.4712500000000002</v>
      </c>
      <c r="G1041" s="10">
        <v>53.776849426719842</v>
      </c>
      <c r="I1041" s="28"/>
    </row>
    <row r="1042" spans="2:9" x14ac:dyDescent="0.35">
      <c r="B1042" s="4">
        <v>45098</v>
      </c>
      <c r="C1042" s="6" t="s">
        <v>3</v>
      </c>
      <c r="D10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2" s="7">
        <v>96.98</v>
      </c>
      <c r="F1042" s="9">
        <v>1.425775</v>
      </c>
      <c r="G1042" s="10">
        <v>53.566581027864082</v>
      </c>
      <c r="I1042" s="28"/>
    </row>
    <row r="1043" spans="2:9" x14ac:dyDescent="0.35">
      <c r="B1043" s="4">
        <v>45099</v>
      </c>
      <c r="C1043" s="6" t="s">
        <v>3</v>
      </c>
      <c r="D10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3" s="7">
        <v>45.83</v>
      </c>
      <c r="F1043" s="9">
        <v>1.9072750000000001</v>
      </c>
      <c r="G1043" s="11">
        <v>53.292976619661566</v>
      </c>
      <c r="I1043" s="28"/>
    </row>
    <row r="1044" spans="2:9" x14ac:dyDescent="0.35">
      <c r="B1044" s="4">
        <v>45103</v>
      </c>
      <c r="C1044" s="6" t="s">
        <v>3</v>
      </c>
      <c r="D10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4" s="7">
        <v>47.43</v>
      </c>
      <c r="F1044" s="9">
        <v>2.506475</v>
      </c>
      <c r="G1044" s="11">
        <v>52.573857700390278</v>
      </c>
      <c r="I1044" s="28"/>
    </row>
    <row r="1045" spans="2:9" x14ac:dyDescent="0.35">
      <c r="B1045" s="4">
        <v>45104</v>
      </c>
      <c r="C1045" s="6" t="s">
        <v>3</v>
      </c>
      <c r="D10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5" s="7">
        <v>47.94</v>
      </c>
      <c r="F1045" s="9">
        <v>1.1235000000000002</v>
      </c>
      <c r="G1045" s="11">
        <v>54.13451747754042</v>
      </c>
      <c r="I1045" s="28"/>
    </row>
    <row r="1046" spans="2:9" x14ac:dyDescent="0.35">
      <c r="B1046" s="4">
        <v>45105</v>
      </c>
      <c r="C1046" s="6" t="s">
        <v>3</v>
      </c>
      <c r="D10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6" s="7">
        <v>87.96</v>
      </c>
      <c r="F1046" s="9">
        <v>2.7713000000000001</v>
      </c>
      <c r="G1046" s="11">
        <v>52.311630042773302</v>
      </c>
      <c r="I1046" s="28"/>
    </row>
    <row r="1047" spans="2:9" x14ac:dyDescent="0.35">
      <c r="B1047" s="4">
        <v>45106</v>
      </c>
      <c r="C1047" s="6" t="s">
        <v>3</v>
      </c>
      <c r="D10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7" s="7">
        <v>68.16</v>
      </c>
      <c r="F1047" s="9">
        <v>3.0869499999999999</v>
      </c>
      <c r="G1047" s="11">
        <v>52.416989280934786</v>
      </c>
      <c r="I1047" s="28"/>
    </row>
    <row r="1048" spans="2:9" x14ac:dyDescent="0.35">
      <c r="B1048" s="4">
        <v>45106</v>
      </c>
      <c r="C1048" s="6" t="s">
        <v>4</v>
      </c>
      <c r="D10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8" s="7">
        <v>53.22</v>
      </c>
      <c r="F1048" s="9">
        <v>1.6558250000000001</v>
      </c>
      <c r="G1048" s="11">
        <v>53.766198073942611</v>
      </c>
      <c r="I1048" s="28"/>
    </row>
    <row r="1049" spans="2:9" x14ac:dyDescent="0.35">
      <c r="B1049" s="4">
        <v>45107</v>
      </c>
      <c r="C1049" s="6" t="s">
        <v>4</v>
      </c>
      <c r="D10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49" s="7">
        <v>101.67</v>
      </c>
      <c r="F1049" s="9">
        <v>3.0762500000000004</v>
      </c>
      <c r="G1049" s="11">
        <v>52.886107342937173</v>
      </c>
      <c r="I1049" s="28"/>
    </row>
    <row r="1050" spans="2:9" x14ac:dyDescent="0.35">
      <c r="B1050" s="4">
        <v>45078</v>
      </c>
      <c r="C1050" s="6" t="s">
        <v>5</v>
      </c>
      <c r="D10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50" s="7">
        <v>67.38</v>
      </c>
      <c r="F1050" s="8">
        <v>0.67677500000000002</v>
      </c>
      <c r="G1050" s="8">
        <v>54.482317116826323</v>
      </c>
      <c r="I1050" s="28"/>
    </row>
    <row r="1051" spans="2:9" x14ac:dyDescent="0.35">
      <c r="B1051" s="4">
        <v>45080</v>
      </c>
      <c r="C1051" s="6" t="s">
        <v>5</v>
      </c>
      <c r="D10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51" s="7">
        <v>58.23</v>
      </c>
      <c r="F1051" s="9">
        <v>0.40392500000000003</v>
      </c>
      <c r="G1051" s="11">
        <v>53.915522705274199</v>
      </c>
      <c r="I1051" s="28"/>
    </row>
    <row r="1052" spans="2:9" x14ac:dyDescent="0.35">
      <c r="B1052" s="4">
        <v>45083</v>
      </c>
      <c r="C1052" s="6" t="s">
        <v>5</v>
      </c>
      <c r="D10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52" s="7">
        <v>143.13</v>
      </c>
      <c r="F1052" s="9">
        <v>0.64200000000000002</v>
      </c>
      <c r="G1052" s="11">
        <v>53.999875355386003</v>
      </c>
      <c r="I1052" s="28"/>
    </row>
    <row r="1053" spans="2:9" x14ac:dyDescent="0.35">
      <c r="B1053" s="4">
        <v>45086</v>
      </c>
      <c r="C1053" s="6" t="s">
        <v>5</v>
      </c>
      <c r="D10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53" s="7">
        <v>131.47999999999999</v>
      </c>
      <c r="F1053" s="9">
        <v>0.65270000000000006</v>
      </c>
      <c r="G1053" s="11">
        <v>53.647188211503895</v>
      </c>
      <c r="I1053" s="28"/>
    </row>
    <row r="1054" spans="2:9" x14ac:dyDescent="0.35">
      <c r="B1054" s="4">
        <v>45087</v>
      </c>
      <c r="C1054" s="6" t="s">
        <v>5</v>
      </c>
      <c r="D10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54" s="7">
        <v>36.03</v>
      </c>
      <c r="F1054" s="9">
        <v>0.37717499999999998</v>
      </c>
      <c r="G1054" s="11">
        <v>54.400497209703204</v>
      </c>
      <c r="I1054" s="28"/>
    </row>
    <row r="1055" spans="2:9" x14ac:dyDescent="0.35">
      <c r="B1055" s="4">
        <v>45091</v>
      </c>
      <c r="C1055" s="6" t="s">
        <v>5</v>
      </c>
      <c r="D10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55" s="7">
        <v>99.09</v>
      </c>
      <c r="F1055" s="9">
        <v>0.65805000000000002</v>
      </c>
      <c r="G1055" s="11">
        <v>46.552446187800967</v>
      </c>
      <c r="I1055" s="28"/>
    </row>
    <row r="1056" spans="2:9" x14ac:dyDescent="0.35">
      <c r="B1056" s="4">
        <v>45092</v>
      </c>
      <c r="C1056" s="6" t="s">
        <v>5</v>
      </c>
      <c r="D10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56" s="7">
        <v>36.07</v>
      </c>
      <c r="F1056" s="9">
        <v>0.82122499999999998</v>
      </c>
      <c r="G1056" s="11">
        <v>54.477294441226398</v>
      </c>
      <c r="I1056" s="28"/>
    </row>
    <row r="1057" spans="2:9" x14ac:dyDescent="0.35">
      <c r="B1057" s="4">
        <v>45100</v>
      </c>
      <c r="C1057" s="1" t="s">
        <v>5</v>
      </c>
      <c r="D1057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57" s="7">
        <v>135.54</v>
      </c>
      <c r="F1057" s="11">
        <v>0.56175000000000008</v>
      </c>
      <c r="G1057" s="11">
        <v>54.29905566946443</v>
      </c>
      <c r="I1057" s="28"/>
    </row>
    <row r="1058" spans="2:9" x14ac:dyDescent="0.35">
      <c r="B1058" s="4">
        <v>45103</v>
      </c>
      <c r="C1058" s="1" t="s">
        <v>5</v>
      </c>
      <c r="D1058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58" s="7">
        <v>134</v>
      </c>
      <c r="F1058" s="11">
        <v>0.16585</v>
      </c>
      <c r="G1058" s="11">
        <v>54.687919000000008</v>
      </c>
      <c r="I1058" s="28"/>
    </row>
    <row r="1059" spans="2:9" x14ac:dyDescent="0.35">
      <c r="B1059" s="4">
        <v>45106</v>
      </c>
      <c r="C1059" s="1" t="s">
        <v>5</v>
      </c>
      <c r="D1059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059" s="7">
        <v>130.97</v>
      </c>
      <c r="F1059" s="11">
        <v>1.08605</v>
      </c>
      <c r="G1059" s="11">
        <v>53.890158682742133</v>
      </c>
      <c r="I1059" s="28"/>
    </row>
    <row r="1060" spans="2:9" x14ac:dyDescent="0.35">
      <c r="B1060" s="4">
        <v>45078</v>
      </c>
      <c r="C1060" s="1" t="s">
        <v>11</v>
      </c>
      <c r="D1060" s="1" t="str">
        <f>IF(ISNUMBER(MATCH(ING_PRV[[#This Row],[Proveedor]],PARAMETROS!$A$2:$A$8,0)),"COMPRADA",
                    IF(ISNUMBER(MATCH(ING_PRV[[#This Row],[Proveedor]],PARAMETROS!$B$2:$B$8,0)),"PROPIA","NA")
)</f>
        <v>NA</v>
      </c>
      <c r="E1060" s="7">
        <v>56.22</v>
      </c>
      <c r="F1060" s="11">
        <v>2.0972</v>
      </c>
      <c r="G1060" s="11">
        <v>53.005426397670547</v>
      </c>
      <c r="I1060" s="28"/>
    </row>
    <row r="1061" spans="2:9" x14ac:dyDescent="0.35">
      <c r="B1061" s="4">
        <v>45080</v>
      </c>
      <c r="C1061" s="6" t="s">
        <v>11</v>
      </c>
      <c r="D1061" s="6" t="str">
        <f>IF(ISNUMBER(MATCH(ING_PRV[[#This Row],[Proveedor]],PARAMETROS!$A$2:$A$8,0)),"COMPRADA",
                    IF(ISNUMBER(MATCH(ING_PRV[[#This Row],[Proveedor]],PARAMETROS!$B$2:$B$8,0)),"PROPIA","NA")
)</f>
        <v>NA</v>
      </c>
      <c r="E1061" s="7">
        <v>53.29</v>
      </c>
      <c r="F1061" s="9">
        <v>2.1266250000000002</v>
      </c>
      <c r="G1061" s="11">
        <v>53.516937746196959</v>
      </c>
      <c r="I1061" s="28"/>
    </row>
    <row r="1062" spans="2:9" x14ac:dyDescent="0.35">
      <c r="B1062" s="4">
        <v>45082</v>
      </c>
      <c r="C1062" s="6" t="s">
        <v>11</v>
      </c>
      <c r="D1062" s="6" t="str">
        <f>IF(ISNUMBER(MATCH(ING_PRV[[#This Row],[Proveedor]],PARAMETROS!$A$2:$A$8,0)),"COMPRADA",
                    IF(ISNUMBER(MATCH(ING_PRV[[#This Row],[Proveedor]],PARAMETROS!$B$2:$B$8,0)),"PROPIA","NA")
)</f>
        <v>NA</v>
      </c>
      <c r="E1062" s="7">
        <v>55.58</v>
      </c>
      <c r="F1062" s="9">
        <v>2.094525</v>
      </c>
      <c r="G1062" s="11">
        <v>53.011142018222671</v>
      </c>
      <c r="I1062" s="28"/>
    </row>
    <row r="1063" spans="2:9" x14ac:dyDescent="0.35">
      <c r="B1063" s="4">
        <v>45083</v>
      </c>
      <c r="C1063" s="6" t="s">
        <v>11</v>
      </c>
      <c r="D1063" s="6" t="str">
        <f>IF(ISNUMBER(MATCH(ING_PRV[[#This Row],[Proveedor]],PARAMETROS!$A$2:$A$8,0)),"COMPRADA",
                    IF(ISNUMBER(MATCH(ING_PRV[[#This Row],[Proveedor]],PARAMETROS!$B$2:$B$8,0)),"PROPIA","NA")
)</f>
        <v>NA</v>
      </c>
      <c r="E1063" s="7">
        <v>53.91</v>
      </c>
      <c r="F1063" s="9">
        <v>2.1961750000000002</v>
      </c>
      <c r="G1063" s="11">
        <v>52.632145332167831</v>
      </c>
      <c r="I1063" s="28"/>
    </row>
    <row r="1064" spans="2:9" x14ac:dyDescent="0.35">
      <c r="B1064" s="4">
        <v>45084</v>
      </c>
      <c r="C1064" s="6" t="s">
        <v>11</v>
      </c>
      <c r="D1064" s="6" t="str">
        <f>IF(ISNUMBER(MATCH(ING_PRV[[#This Row],[Proveedor]],PARAMETROS!$A$2:$A$8,0)),"COMPRADA",
                    IF(ISNUMBER(MATCH(ING_PRV[[#This Row],[Proveedor]],PARAMETROS!$B$2:$B$8,0)),"PROPIA","NA")
)</f>
        <v>NA</v>
      </c>
      <c r="E1064" s="7">
        <v>27.2</v>
      </c>
      <c r="F1064" s="9">
        <v>2.0624250000000002</v>
      </c>
      <c r="G1064" s="11">
        <v>52.144299284283285</v>
      </c>
      <c r="I1064" s="28"/>
    </row>
    <row r="1065" spans="2:9" x14ac:dyDescent="0.35">
      <c r="B1065" s="4">
        <v>45086</v>
      </c>
      <c r="C1065" s="6" t="s">
        <v>11</v>
      </c>
      <c r="D1065" s="6" t="str">
        <f>IF(ISNUMBER(MATCH(ING_PRV[[#This Row],[Proveedor]],PARAMETROS!$A$2:$A$8,0)),"COMPRADA",
                    IF(ISNUMBER(MATCH(ING_PRV[[#This Row],[Proveedor]],PARAMETROS!$B$2:$B$8,0)),"PROPIA","NA")
)</f>
        <v>NA</v>
      </c>
      <c r="E1065" s="7">
        <v>25.67</v>
      </c>
      <c r="F1065" s="9">
        <v>2.0303249999999999</v>
      </c>
      <c r="G1065" s="11">
        <v>52.669220162064825</v>
      </c>
      <c r="I1065" s="28"/>
    </row>
    <row r="1066" spans="2:9" x14ac:dyDescent="0.35">
      <c r="B1066" s="4">
        <v>45091</v>
      </c>
      <c r="C1066" s="6" t="s">
        <v>11</v>
      </c>
      <c r="D1066" s="6" t="str">
        <f>IF(ISNUMBER(MATCH(ING_PRV[[#This Row],[Proveedor]],PARAMETROS!$A$2:$A$8,0)),"COMPRADA",
                    IF(ISNUMBER(MATCH(ING_PRV[[#This Row],[Proveedor]],PARAMETROS!$B$2:$B$8,0)),"PROPIA","NA")
)</f>
        <v>NA</v>
      </c>
      <c r="E1066" s="7">
        <v>55.98</v>
      </c>
      <c r="F1066" s="9">
        <v>3.0227500000000003</v>
      </c>
      <c r="G1066" s="11">
        <v>52.072351657063379</v>
      </c>
      <c r="I1066" s="28"/>
    </row>
    <row r="1067" spans="2:9" x14ac:dyDescent="0.35">
      <c r="B1067" s="4">
        <v>45094</v>
      </c>
      <c r="C1067" s="6" t="s">
        <v>11</v>
      </c>
      <c r="D1067" s="6" t="str">
        <f>IF(ISNUMBER(MATCH(ING_PRV[[#This Row],[Proveedor]],PARAMETROS!$A$2:$A$8,0)),"COMPRADA",
                    IF(ISNUMBER(MATCH(ING_PRV[[#This Row],[Proveedor]],PARAMETROS!$B$2:$B$8,0)),"PROPIA","NA")
)</f>
        <v>NA</v>
      </c>
      <c r="E1067" s="7">
        <v>37.04</v>
      </c>
      <c r="F1067" s="9">
        <v>2.94</v>
      </c>
      <c r="G1067" s="11">
        <v>52.6</v>
      </c>
      <c r="I1067" s="28"/>
    </row>
    <row r="1068" spans="2:9" x14ac:dyDescent="0.35">
      <c r="B1068" s="4">
        <v>45097</v>
      </c>
      <c r="C1068" s="6" t="s">
        <v>11</v>
      </c>
      <c r="D1068" s="6" t="str">
        <f>IF(ISNUMBER(MATCH(ING_PRV[[#This Row],[Proveedor]],PARAMETROS!$A$2:$A$8,0)),"COMPRADA",
                    IF(ISNUMBER(MATCH(ING_PRV[[#This Row],[Proveedor]],PARAMETROS!$B$2:$B$8,0)),"PROPIA","NA")
)</f>
        <v>NA</v>
      </c>
      <c r="E1068" s="7">
        <v>58.34</v>
      </c>
      <c r="F1068" s="9">
        <v>2.0383500000000003</v>
      </c>
      <c r="G1068" s="11">
        <v>52.892589100397615</v>
      </c>
      <c r="I1068" s="28"/>
    </row>
    <row r="1069" spans="2:9" x14ac:dyDescent="0.35">
      <c r="B1069" s="4">
        <v>45098</v>
      </c>
      <c r="C1069" s="6" t="s">
        <v>11</v>
      </c>
      <c r="D1069" s="6" t="str">
        <f>IF(ISNUMBER(MATCH(ING_PRV[[#This Row],[Proveedor]],PARAMETROS!$A$2:$A$8,0)),"COMPRADA",
                    IF(ISNUMBER(MATCH(ING_PRV[[#This Row],[Proveedor]],PARAMETROS!$B$2:$B$8,0)),"PROPIA","NA")
)</f>
        <v>NA</v>
      </c>
      <c r="E1069" s="7">
        <v>61.77</v>
      </c>
      <c r="F1069" s="9">
        <v>5.4757249999999997</v>
      </c>
      <c r="G1069" s="11">
        <v>50.188878419430807</v>
      </c>
      <c r="I1069" s="28"/>
    </row>
    <row r="1070" spans="2:9" x14ac:dyDescent="0.35">
      <c r="B1070" s="4">
        <v>45099</v>
      </c>
      <c r="C1070" s="6" t="s">
        <v>11</v>
      </c>
      <c r="D1070" s="6" t="str">
        <f>IF(ISNUMBER(MATCH(ING_PRV[[#This Row],[Proveedor]],PARAMETROS!$A$2:$A$8,0)),"COMPRADA",
                    IF(ISNUMBER(MATCH(ING_PRV[[#This Row],[Proveedor]],PARAMETROS!$B$2:$B$8,0)),"PROPIA","NA")
)</f>
        <v>NA</v>
      </c>
      <c r="E1070" s="7">
        <v>249.55</v>
      </c>
      <c r="F1070" s="9">
        <v>3.9269000000000003</v>
      </c>
      <c r="G1070" s="11">
        <v>51.34488869391825</v>
      </c>
      <c r="I1070" s="28"/>
    </row>
    <row r="1071" spans="2:9" x14ac:dyDescent="0.35">
      <c r="B1071" s="4">
        <v>45100</v>
      </c>
      <c r="C1071" s="6" t="s">
        <v>11</v>
      </c>
      <c r="D1071" s="6" t="str">
        <f>IF(ISNUMBER(MATCH(ING_PRV[[#This Row],[Proveedor]],PARAMETROS!$A$2:$A$8,0)),"COMPRADA",
                    IF(ISNUMBER(MATCH(ING_PRV[[#This Row],[Proveedor]],PARAMETROS!$B$2:$B$8,0)),"PROPIA","NA")
)</f>
        <v>NA</v>
      </c>
      <c r="E1071" s="7">
        <v>126.31</v>
      </c>
      <c r="F1071" s="9">
        <v>8.7739999999999991</v>
      </c>
      <c r="G1071" s="11">
        <v>44.772984365492398</v>
      </c>
      <c r="I1071" s="28"/>
    </row>
    <row r="1072" spans="2:9" x14ac:dyDescent="0.35">
      <c r="B1072" s="4">
        <v>45103</v>
      </c>
      <c r="C1072" s="6" t="s">
        <v>11</v>
      </c>
      <c r="D1072" s="6" t="str">
        <f>IF(ISNUMBER(MATCH(ING_PRV[[#This Row],[Proveedor]],PARAMETROS!$A$2:$A$8,0)),"COMPRADA",
                    IF(ISNUMBER(MATCH(ING_PRV[[#This Row],[Proveedor]],PARAMETROS!$B$2:$B$8,0)),"PROPIA","NA")
)</f>
        <v>NA</v>
      </c>
      <c r="E1072" s="7">
        <v>56.37</v>
      </c>
      <c r="F1072" s="9">
        <v>3.0762500000000004</v>
      </c>
      <c r="G1072" s="11">
        <v>52.590699021370078</v>
      </c>
      <c r="I1072" s="28"/>
    </row>
    <row r="1073" spans="2:9" x14ac:dyDescent="0.35">
      <c r="B1073" s="4">
        <v>45104</v>
      </c>
      <c r="C1073" s="6" t="s">
        <v>11</v>
      </c>
      <c r="D1073" s="6" t="str">
        <f>IF(ISNUMBER(MATCH(ING_PRV[[#This Row],[Proveedor]],PARAMETROS!$A$2:$A$8,0)),"COMPRADA",
                    IF(ISNUMBER(MATCH(ING_PRV[[#This Row],[Proveedor]],PARAMETROS!$B$2:$B$8,0)),"PROPIA","NA")
)</f>
        <v>NA</v>
      </c>
      <c r="E1073" s="7">
        <v>55.12</v>
      </c>
      <c r="F1073" s="9">
        <v>4.0686750000000007</v>
      </c>
      <c r="G1073" s="11">
        <v>51.392561199126462</v>
      </c>
      <c r="I1073" s="28"/>
    </row>
    <row r="1074" spans="2:9" x14ac:dyDescent="0.35">
      <c r="B1074" s="4">
        <v>45106</v>
      </c>
      <c r="C1074" s="6" t="s">
        <v>11</v>
      </c>
      <c r="D1074" s="6" t="str">
        <f>IF(ISNUMBER(MATCH(ING_PRV[[#This Row],[Proveedor]],PARAMETROS!$A$2:$A$8,0)),"COMPRADA",
                    IF(ISNUMBER(MATCH(ING_PRV[[#This Row],[Proveedor]],PARAMETROS!$B$2:$B$8,0)),"PROPIA","NA")
)</f>
        <v>NA</v>
      </c>
      <c r="E1074" s="7">
        <v>27.98</v>
      </c>
      <c r="F1074" s="9">
        <v>5.1386750000000001</v>
      </c>
      <c r="G1074" s="11">
        <v>50.464969203910613</v>
      </c>
      <c r="I1074" s="28"/>
    </row>
    <row r="1075" spans="2:9" x14ac:dyDescent="0.35">
      <c r="B1075" s="4">
        <v>45078</v>
      </c>
      <c r="C1075" s="6" t="s">
        <v>14</v>
      </c>
      <c r="D1075" s="6" t="str">
        <f>IF(ISNUMBER(MATCH(ING_PRV[[#This Row],[Proveedor]],PARAMETROS!$A$2:$A$8,0)),"COMPRADA",
                    IF(ISNUMBER(MATCH(ING_PRV[[#This Row],[Proveedor]],PARAMETROS!$B$2:$B$8,0)),"PROPIA","NA")
)</f>
        <v>NA</v>
      </c>
      <c r="E1075" s="7">
        <v>34.85</v>
      </c>
      <c r="F1075" s="9">
        <v>2.0249750000000004</v>
      </c>
      <c r="G1075" s="11">
        <v>52.348074270997749</v>
      </c>
      <c r="I1075" s="28"/>
    </row>
    <row r="1076" spans="2:9" x14ac:dyDescent="0.35">
      <c r="B1076" s="4">
        <v>45079</v>
      </c>
      <c r="C1076" s="6" t="s">
        <v>14</v>
      </c>
      <c r="D1076" s="6" t="str">
        <f>IF(ISNUMBER(MATCH(ING_PRV[[#This Row],[Proveedor]],PARAMETROS!$A$2:$A$8,0)),"COMPRADA",
                    IF(ISNUMBER(MATCH(ING_PRV[[#This Row],[Proveedor]],PARAMETROS!$B$2:$B$8,0)),"PROPIA","NA")
)</f>
        <v>NA</v>
      </c>
      <c r="E1076" s="7">
        <v>68.5</v>
      </c>
      <c r="F1076" s="9">
        <v>2.3085250000000004</v>
      </c>
      <c r="G1076" s="11">
        <v>52.616117435590176</v>
      </c>
      <c r="I1076" s="28"/>
    </row>
    <row r="1077" spans="2:9" x14ac:dyDescent="0.35">
      <c r="B1077" s="4">
        <v>45092</v>
      </c>
      <c r="C1077" s="6" t="s">
        <v>12</v>
      </c>
      <c r="D1077" s="6" t="str">
        <f>IF(ISNUMBER(MATCH(ING_PRV[[#This Row],[Proveedor]],PARAMETROS!$A$2:$A$8,0)),"COMPRADA",
                    IF(ISNUMBER(MATCH(ING_PRV[[#This Row],[Proveedor]],PARAMETROS!$B$2:$B$8,0)),"PROPIA","NA")
)</f>
        <v>NA</v>
      </c>
      <c r="E1077" s="7">
        <v>98.6</v>
      </c>
      <c r="F1077" s="9">
        <v>1.0914000000000001</v>
      </c>
      <c r="G1077" s="11">
        <v>53.791761329305132</v>
      </c>
      <c r="I1077" s="28"/>
    </row>
    <row r="1078" spans="2:9" x14ac:dyDescent="0.35">
      <c r="B1078" s="4">
        <v>45093</v>
      </c>
      <c r="C1078" s="6" t="s">
        <v>12</v>
      </c>
      <c r="D1078" s="6" t="str">
        <f>IF(ISNUMBER(MATCH(ING_PRV[[#This Row],[Proveedor]],PARAMETROS!$A$2:$A$8,0)),"COMPRADA",
                    IF(ISNUMBER(MATCH(ING_PRV[[#This Row],[Proveedor]],PARAMETROS!$B$2:$B$8,0)),"PROPIA","NA")
)</f>
        <v>NA</v>
      </c>
      <c r="E1078" s="7">
        <v>330.68</v>
      </c>
      <c r="F1078" s="9">
        <v>1.0914000000000001</v>
      </c>
      <c r="G1078" s="11">
        <v>53.791761329305132</v>
      </c>
      <c r="I1078" s="28"/>
    </row>
    <row r="1079" spans="2:9" x14ac:dyDescent="0.35">
      <c r="B1079" s="4">
        <v>45094</v>
      </c>
      <c r="C1079" s="6" t="s">
        <v>12</v>
      </c>
      <c r="D1079" s="6" t="str">
        <f>IF(ISNUMBER(MATCH(ING_PRV[[#This Row],[Proveedor]],PARAMETROS!$A$2:$A$8,0)),"COMPRADA",
                    IF(ISNUMBER(MATCH(ING_PRV[[#This Row],[Proveedor]],PARAMETROS!$B$2:$B$8,0)),"PROPIA","NA")
)</f>
        <v>NA</v>
      </c>
      <c r="E1079" s="7">
        <v>591.48</v>
      </c>
      <c r="F1079" s="9">
        <v>0.67945</v>
      </c>
      <c r="G1079" s="11">
        <v>54.475973666817225</v>
      </c>
      <c r="I1079" s="28"/>
    </row>
    <row r="1080" spans="2:9" x14ac:dyDescent="0.35">
      <c r="B1080" s="4">
        <v>45103</v>
      </c>
      <c r="C1080" s="6" t="s">
        <v>13</v>
      </c>
      <c r="D1080" s="6" t="str">
        <f>IF(ISNUMBER(MATCH(ING_PRV[[#This Row],[Proveedor]],PARAMETROS!$A$2:$A$8,0)),"COMPRADA",
                    IF(ISNUMBER(MATCH(ING_PRV[[#This Row],[Proveedor]],PARAMETROS!$B$2:$B$8,0)),"PROPIA","NA")
)</f>
        <v>NA</v>
      </c>
      <c r="E1080" s="7">
        <v>1025</v>
      </c>
      <c r="F1080" s="9">
        <v>1.9367000000000001</v>
      </c>
      <c r="G1080" s="11">
        <v>53.088714247533716</v>
      </c>
      <c r="I1080" s="28"/>
    </row>
    <row r="1081" spans="2:9" x14ac:dyDescent="0.35">
      <c r="B1081" s="4">
        <v>45111</v>
      </c>
      <c r="C1081" s="6" t="s">
        <v>2</v>
      </c>
      <c r="D10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81" s="7">
        <v>168.55</v>
      </c>
      <c r="F1081" s="9">
        <v>0.57245000000000001</v>
      </c>
      <c r="G1081" s="11">
        <v>52.533210431654673</v>
      </c>
      <c r="I1081" s="28"/>
    </row>
    <row r="1082" spans="2:9" x14ac:dyDescent="0.35">
      <c r="B1082" s="4">
        <v>45112</v>
      </c>
      <c r="C1082" s="6" t="s">
        <v>2</v>
      </c>
      <c r="D10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82" s="7">
        <v>317.63</v>
      </c>
      <c r="F1082" s="9">
        <v>0.52429999999999999</v>
      </c>
      <c r="G1082" s="11">
        <v>53.570738658146965</v>
      </c>
      <c r="I1082" s="28"/>
    </row>
    <row r="1083" spans="2:9" x14ac:dyDescent="0.35">
      <c r="B1083" s="4">
        <v>45113</v>
      </c>
      <c r="C1083" s="6" t="s">
        <v>2</v>
      </c>
      <c r="D10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83" s="7">
        <v>219.02</v>
      </c>
      <c r="F1083" s="9">
        <v>0.21667500000000003</v>
      </c>
      <c r="G1083" s="11">
        <v>53.23330806821582</v>
      </c>
      <c r="I1083" s="28"/>
    </row>
    <row r="1084" spans="2:9" x14ac:dyDescent="0.35">
      <c r="B1084" s="4">
        <v>45114</v>
      </c>
      <c r="C1084" s="6" t="s">
        <v>2</v>
      </c>
      <c r="D10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84" s="7">
        <v>252.55</v>
      </c>
      <c r="F1084" s="9">
        <v>1.7655000000000001</v>
      </c>
      <c r="G1084" s="11">
        <v>49.100041073862499</v>
      </c>
      <c r="I1084" s="28"/>
    </row>
    <row r="1085" spans="2:9" x14ac:dyDescent="0.35">
      <c r="B1085" s="4">
        <v>45115</v>
      </c>
      <c r="C1085" s="6" t="s">
        <v>2</v>
      </c>
      <c r="D10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85" s="7">
        <v>235.36</v>
      </c>
      <c r="F1085" s="9">
        <v>1.1663000000000001</v>
      </c>
      <c r="G1085" s="11">
        <v>52.830932963184672</v>
      </c>
      <c r="I1085" s="28"/>
    </row>
    <row r="1086" spans="2:9" x14ac:dyDescent="0.35">
      <c r="B1086" s="4">
        <v>45117</v>
      </c>
      <c r="C1086" s="6" t="s">
        <v>2</v>
      </c>
      <c r="D10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86" s="7">
        <v>247.2</v>
      </c>
      <c r="F1086" s="9">
        <v>0.50290000000000001</v>
      </c>
      <c r="G1086" s="11">
        <v>53.850497145498153</v>
      </c>
      <c r="I1086" s="28"/>
    </row>
    <row r="1087" spans="2:9" x14ac:dyDescent="0.35">
      <c r="B1087" s="4">
        <v>45118</v>
      </c>
      <c r="C1087" s="6" t="s">
        <v>2</v>
      </c>
      <c r="D10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87" s="7">
        <v>189.28</v>
      </c>
      <c r="F1087" s="9">
        <v>2.14</v>
      </c>
      <c r="G1087" s="11">
        <v>52.213185708629851</v>
      </c>
      <c r="I1087" s="28"/>
    </row>
    <row r="1088" spans="2:9" x14ac:dyDescent="0.35">
      <c r="B1088" s="4">
        <v>45119</v>
      </c>
      <c r="C1088" s="6" t="s">
        <v>2</v>
      </c>
      <c r="D10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88" s="7">
        <v>285.37</v>
      </c>
      <c r="F1088" s="9">
        <v>1.7895750000000001</v>
      </c>
      <c r="G1088" s="11">
        <v>52.327174018668266</v>
      </c>
      <c r="I1088" s="28"/>
    </row>
    <row r="1089" spans="2:9" x14ac:dyDescent="0.35">
      <c r="B1089" s="4">
        <v>45120</v>
      </c>
      <c r="C1089" s="6" t="s">
        <v>2</v>
      </c>
      <c r="D10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89" s="7">
        <v>233.36</v>
      </c>
      <c r="F1089" s="9">
        <v>0.77842500000000003</v>
      </c>
      <c r="G1089" s="11">
        <v>51.323865311815091</v>
      </c>
      <c r="I1089" s="28"/>
    </row>
    <row r="1090" spans="2:9" x14ac:dyDescent="0.35">
      <c r="B1090" s="4">
        <v>45121</v>
      </c>
      <c r="C1090" s="6" t="s">
        <v>2</v>
      </c>
      <c r="D10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0" s="7">
        <v>216.59</v>
      </c>
      <c r="F1090" s="9">
        <v>5.3098750000000008</v>
      </c>
      <c r="G1090" s="11">
        <v>48.341980198019805</v>
      </c>
      <c r="I1090" s="28"/>
    </row>
    <row r="1091" spans="2:9" x14ac:dyDescent="0.35">
      <c r="B1091" s="4">
        <v>45122</v>
      </c>
      <c r="C1091" s="6" t="s">
        <v>2</v>
      </c>
      <c r="D10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1" s="7">
        <v>121.09</v>
      </c>
      <c r="F1091" s="9">
        <v>2.6723250000000003</v>
      </c>
      <c r="G1091" s="11">
        <v>49.581705638340317</v>
      </c>
      <c r="I1091" s="28"/>
    </row>
    <row r="1092" spans="2:9" x14ac:dyDescent="0.35">
      <c r="B1092" s="4">
        <v>45124</v>
      </c>
      <c r="C1092" s="6" t="s">
        <v>2</v>
      </c>
      <c r="D10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2" s="7">
        <v>128</v>
      </c>
      <c r="F1092" s="9">
        <v>0.17922500000000002</v>
      </c>
      <c r="G1092" s="11">
        <v>53.244258633572926</v>
      </c>
      <c r="I1092" s="28"/>
    </row>
    <row r="1093" spans="2:9" x14ac:dyDescent="0.35">
      <c r="B1093" s="4">
        <v>45125</v>
      </c>
      <c r="C1093" s="6" t="s">
        <v>2</v>
      </c>
      <c r="D10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3" s="7">
        <v>268.83</v>
      </c>
      <c r="F1093" s="9">
        <v>0.20330000000000001</v>
      </c>
      <c r="G1093" s="11">
        <v>54.452811430871392</v>
      </c>
      <c r="I1093" s="28"/>
    </row>
    <row r="1094" spans="2:9" x14ac:dyDescent="0.35">
      <c r="B1094" s="4">
        <v>45126</v>
      </c>
      <c r="C1094" s="6" t="s">
        <v>2</v>
      </c>
      <c r="D10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4" s="7">
        <v>320.93</v>
      </c>
      <c r="F1094" s="9">
        <v>0.35042500000000004</v>
      </c>
      <c r="G1094" s="11">
        <v>53.311186136838955</v>
      </c>
      <c r="I1094" s="28"/>
    </row>
    <row r="1095" spans="2:9" x14ac:dyDescent="0.35">
      <c r="B1095" s="4">
        <v>45127</v>
      </c>
      <c r="C1095" s="6" t="s">
        <v>2</v>
      </c>
      <c r="D10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5" s="7">
        <v>320.89999999999998</v>
      </c>
      <c r="F1095" s="9">
        <v>0.93625000000000003</v>
      </c>
      <c r="G1095" s="11">
        <v>53.395273318336329</v>
      </c>
      <c r="I1095" s="28"/>
    </row>
    <row r="1096" spans="2:9" x14ac:dyDescent="0.35">
      <c r="B1096" s="4">
        <v>45128</v>
      </c>
      <c r="C1096" s="6" t="s">
        <v>2</v>
      </c>
      <c r="D10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6" s="7">
        <v>234.62</v>
      </c>
      <c r="F1096" s="9">
        <v>1.259925</v>
      </c>
      <c r="G1096" s="11">
        <v>51.382535832414547</v>
      </c>
      <c r="I1096" s="28"/>
    </row>
    <row r="1097" spans="2:9" x14ac:dyDescent="0.35">
      <c r="B1097" s="4">
        <v>45129</v>
      </c>
      <c r="C1097" s="6" t="s">
        <v>2</v>
      </c>
      <c r="D10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7" s="7">
        <v>255.62</v>
      </c>
      <c r="F1097" s="9">
        <v>0.61792500000000006</v>
      </c>
      <c r="G1097" s="11">
        <v>51.62818077671831</v>
      </c>
      <c r="I1097" s="28"/>
    </row>
    <row r="1098" spans="2:9" x14ac:dyDescent="0.35">
      <c r="B1098" s="4">
        <v>45130</v>
      </c>
      <c r="C1098" s="6" t="s">
        <v>2</v>
      </c>
      <c r="D10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8" s="7">
        <v>194.39</v>
      </c>
      <c r="F1098" s="9">
        <v>1.2224750000000002</v>
      </c>
      <c r="G1098" s="11">
        <v>53.323920939099025</v>
      </c>
      <c r="I1098" s="28"/>
    </row>
    <row r="1099" spans="2:9" x14ac:dyDescent="0.35">
      <c r="B1099" s="4">
        <v>45133</v>
      </c>
      <c r="C1099" s="6" t="s">
        <v>2</v>
      </c>
      <c r="D10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099" s="7">
        <v>253.62</v>
      </c>
      <c r="F1099" s="9">
        <v>0.7677250000000001</v>
      </c>
      <c r="G1099" s="11">
        <v>52.60862508174182</v>
      </c>
      <c r="I1099" s="28"/>
    </row>
    <row r="1100" spans="2:9" x14ac:dyDescent="0.35">
      <c r="B1100" s="4">
        <v>45134</v>
      </c>
      <c r="C1100" s="6" t="s">
        <v>2</v>
      </c>
      <c r="D11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0" s="7">
        <v>177.12</v>
      </c>
      <c r="F1100" s="9">
        <v>1.420425</v>
      </c>
      <c r="G1100" s="11">
        <v>51.822816602724636</v>
      </c>
      <c r="I1100" s="28"/>
    </row>
    <row r="1101" spans="2:9" x14ac:dyDescent="0.35">
      <c r="B1101" s="4">
        <v>45135</v>
      </c>
      <c r="C1101" s="6" t="s">
        <v>2</v>
      </c>
      <c r="D11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1" s="7">
        <v>221.5</v>
      </c>
      <c r="F1101" s="9">
        <v>1.5381250000000002</v>
      </c>
      <c r="G1101" s="11">
        <v>53.498789821679019</v>
      </c>
      <c r="I1101" s="28"/>
    </row>
    <row r="1102" spans="2:9" x14ac:dyDescent="0.35">
      <c r="B1102" s="4">
        <v>45138</v>
      </c>
      <c r="C1102" s="6" t="s">
        <v>2</v>
      </c>
      <c r="D11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2" s="7">
        <v>187.08</v>
      </c>
      <c r="F1102" s="9">
        <v>0.15515000000000001</v>
      </c>
      <c r="G1102" s="11">
        <v>54.168793774319063</v>
      </c>
      <c r="I1102" s="28"/>
    </row>
    <row r="1103" spans="2:9" x14ac:dyDescent="0.35">
      <c r="B1103" s="4">
        <v>45139</v>
      </c>
      <c r="C1103" s="6" t="s">
        <v>2</v>
      </c>
      <c r="D11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3" s="7">
        <v>165.34</v>
      </c>
      <c r="F1103" s="9">
        <v>0.19259999999999999</v>
      </c>
      <c r="G1103" s="11">
        <v>54.239142857142852</v>
      </c>
      <c r="I1103" s="28"/>
    </row>
    <row r="1104" spans="2:9" x14ac:dyDescent="0.35">
      <c r="B1104" s="4">
        <v>45140</v>
      </c>
      <c r="C1104" s="6" t="s">
        <v>2</v>
      </c>
      <c r="D11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4" s="7">
        <v>165.94</v>
      </c>
      <c r="F1104" s="9">
        <v>0.93892500000000001</v>
      </c>
      <c r="G1104" s="11">
        <v>49.189159880834154</v>
      </c>
      <c r="I1104" s="28"/>
    </row>
    <row r="1105" spans="2:9" x14ac:dyDescent="0.35">
      <c r="B1105" s="4">
        <v>45141</v>
      </c>
      <c r="C1105" s="6" t="s">
        <v>2</v>
      </c>
      <c r="D11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5" s="7">
        <v>98.12</v>
      </c>
      <c r="F1105" s="9">
        <v>0.15</v>
      </c>
      <c r="G1105" s="11">
        <v>53.957084291570844</v>
      </c>
      <c r="I1105" s="28"/>
    </row>
    <row r="1106" spans="2:9" x14ac:dyDescent="0.35">
      <c r="B1106" s="4">
        <v>45142</v>
      </c>
      <c r="C1106" s="6" t="s">
        <v>2</v>
      </c>
      <c r="D11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6" s="7">
        <v>270.89999999999998</v>
      </c>
      <c r="F1106" s="9">
        <v>1</v>
      </c>
      <c r="G1106" s="11">
        <v>52.697651935992042</v>
      </c>
      <c r="I1106" s="28"/>
    </row>
    <row r="1107" spans="2:9" x14ac:dyDescent="0.35">
      <c r="B1107" s="4">
        <v>45146</v>
      </c>
      <c r="C1107" s="6" t="s">
        <v>2</v>
      </c>
      <c r="D11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7" s="7">
        <v>134.65</v>
      </c>
      <c r="F1107" s="9">
        <v>2.0099999999999998</v>
      </c>
      <c r="G1107" s="11">
        <v>52.346693174287608</v>
      </c>
      <c r="I1107" s="28"/>
    </row>
    <row r="1108" spans="2:9" x14ac:dyDescent="0.35">
      <c r="B1108" s="4">
        <v>45147</v>
      </c>
      <c r="C1108" s="6" t="s">
        <v>2</v>
      </c>
      <c r="D11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8" s="7">
        <v>85.95</v>
      </c>
      <c r="F1108" s="9">
        <v>0.34</v>
      </c>
      <c r="G1108" s="11">
        <v>54.383629543181058</v>
      </c>
      <c r="I1108" s="28"/>
    </row>
    <row r="1109" spans="2:9" x14ac:dyDescent="0.35">
      <c r="B1109" s="4">
        <v>45148</v>
      </c>
      <c r="C1109" s="6" t="s">
        <v>2</v>
      </c>
      <c r="D11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09" s="7">
        <v>252.9</v>
      </c>
      <c r="F1109" s="9">
        <v>0.22</v>
      </c>
      <c r="G1109" s="11">
        <v>53.265441802252816</v>
      </c>
      <c r="I1109" s="28"/>
    </row>
    <row r="1110" spans="2:9" x14ac:dyDescent="0.35">
      <c r="B1110" s="4">
        <v>45149</v>
      </c>
      <c r="C1110" s="6" t="s">
        <v>2</v>
      </c>
      <c r="D11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0" s="7">
        <v>60.12</v>
      </c>
      <c r="F1110" s="9">
        <v>2.34</v>
      </c>
      <c r="G1110" s="11">
        <v>50.302710888610761</v>
      </c>
      <c r="I1110" s="28"/>
    </row>
    <row r="1111" spans="2:9" x14ac:dyDescent="0.35">
      <c r="B1111" s="4">
        <v>45150</v>
      </c>
      <c r="C1111" s="6" t="s">
        <v>2</v>
      </c>
      <c r="D11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1" s="7">
        <v>70.650000000000006</v>
      </c>
      <c r="F1111" s="9">
        <v>1.18</v>
      </c>
      <c r="G1111" s="11">
        <v>50.505029580868261</v>
      </c>
      <c r="I1111" s="28"/>
    </row>
    <row r="1112" spans="2:9" x14ac:dyDescent="0.35">
      <c r="B1112" s="4">
        <v>45152</v>
      </c>
      <c r="C1112" s="6" t="s">
        <v>2</v>
      </c>
      <c r="D11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2" s="7">
        <v>58.26</v>
      </c>
      <c r="F1112" s="9">
        <v>0</v>
      </c>
      <c r="G1112" s="11">
        <v>53.948074074074071</v>
      </c>
      <c r="I1112" s="28"/>
    </row>
    <row r="1113" spans="2:9" x14ac:dyDescent="0.35">
      <c r="B1113" s="4">
        <v>45153</v>
      </c>
      <c r="C1113" s="6" t="s">
        <v>2</v>
      </c>
      <c r="D11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3" s="7">
        <v>234.93</v>
      </c>
      <c r="F1113" s="9">
        <v>0.03</v>
      </c>
      <c r="G1113" s="11">
        <v>53.928145711906737</v>
      </c>
      <c r="I1113" s="28"/>
    </row>
    <row r="1114" spans="2:9" x14ac:dyDescent="0.35">
      <c r="B1114" s="4">
        <v>45154</v>
      </c>
      <c r="C1114" s="6" t="s">
        <v>2</v>
      </c>
      <c r="D11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4" s="7">
        <v>262.01</v>
      </c>
      <c r="F1114" s="9">
        <v>0.15</v>
      </c>
      <c r="G1114" s="11">
        <v>54.018950514779149</v>
      </c>
      <c r="I1114" s="28"/>
    </row>
    <row r="1115" spans="2:9" x14ac:dyDescent="0.35">
      <c r="B1115" s="4">
        <v>45155</v>
      </c>
      <c r="C1115" s="6" t="s">
        <v>2</v>
      </c>
      <c r="D11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5" s="7">
        <v>214.08</v>
      </c>
      <c r="F1115" s="9">
        <v>0.16</v>
      </c>
      <c r="G1115" s="11">
        <v>53.565600366636112</v>
      </c>
      <c r="I1115" s="28"/>
    </row>
    <row r="1116" spans="2:9" x14ac:dyDescent="0.35">
      <c r="B1116" s="4">
        <v>45156</v>
      </c>
      <c r="C1116" s="6" t="s">
        <v>2</v>
      </c>
      <c r="D11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6" s="7">
        <v>227.38</v>
      </c>
      <c r="F1116" s="9">
        <v>2.0299999999999998</v>
      </c>
      <c r="G1116" s="11">
        <v>53.80767437989013</v>
      </c>
      <c r="I1116" s="28"/>
    </row>
    <row r="1117" spans="2:9" x14ac:dyDescent="0.35">
      <c r="B1117" s="4">
        <v>45160</v>
      </c>
      <c r="C1117" s="6" t="s">
        <v>2</v>
      </c>
      <c r="D11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7" s="7">
        <v>162.69999999999999</v>
      </c>
      <c r="F1117" s="9">
        <v>7.0000000000000007E-2</v>
      </c>
      <c r="G1117" s="11">
        <v>53.924378378378378</v>
      </c>
      <c r="I1117" s="28"/>
    </row>
    <row r="1118" spans="2:9" x14ac:dyDescent="0.35">
      <c r="B1118" s="4">
        <v>45161</v>
      </c>
      <c r="C1118" s="6" t="s">
        <v>2</v>
      </c>
      <c r="D11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8" s="7">
        <v>261.08999999999997</v>
      </c>
      <c r="F1118" s="9">
        <v>0.65</v>
      </c>
      <c r="G1118" s="11">
        <v>52.78132972972972</v>
      </c>
      <c r="I1118" s="28"/>
    </row>
    <row r="1119" spans="2:9" x14ac:dyDescent="0.35">
      <c r="B1119" s="4">
        <v>45162</v>
      </c>
      <c r="C1119" s="6" t="s">
        <v>2</v>
      </c>
      <c r="D11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19" s="7">
        <v>258.02</v>
      </c>
      <c r="F1119" s="9">
        <v>2.48</v>
      </c>
      <c r="G1119" s="11">
        <v>52.532060884070063</v>
      </c>
      <c r="I1119" s="28"/>
    </row>
    <row r="1120" spans="2:9" x14ac:dyDescent="0.35">
      <c r="B1120" s="4">
        <v>45163</v>
      </c>
      <c r="C1120" s="6" t="s">
        <v>2</v>
      </c>
      <c r="D11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0" s="7">
        <v>164.46</v>
      </c>
      <c r="F1120" s="9">
        <v>1.65</v>
      </c>
      <c r="G1120" s="11">
        <v>52.734191096634099</v>
      </c>
      <c r="I1120" s="28"/>
    </row>
    <row r="1121" spans="2:9" x14ac:dyDescent="0.35">
      <c r="B1121" s="4">
        <v>45164</v>
      </c>
      <c r="C1121" s="6" t="s">
        <v>2</v>
      </c>
      <c r="D11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1" s="7">
        <v>59.62</v>
      </c>
      <c r="F1121" s="9">
        <v>0.28000000000000003</v>
      </c>
      <c r="G1121" s="11">
        <v>53.683107861060321</v>
      </c>
      <c r="I1121" s="28"/>
    </row>
    <row r="1122" spans="2:9" x14ac:dyDescent="0.35">
      <c r="B1122" s="4">
        <v>45166</v>
      </c>
      <c r="C1122" s="6" t="s">
        <v>2</v>
      </c>
      <c r="D11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2" s="7">
        <v>124.41</v>
      </c>
      <c r="F1122" s="9">
        <v>1.66</v>
      </c>
      <c r="G1122" s="11">
        <v>52.620741079597437</v>
      </c>
      <c r="I1122" s="28"/>
    </row>
    <row r="1123" spans="2:9" x14ac:dyDescent="0.35">
      <c r="B1123" s="4">
        <v>45167</v>
      </c>
      <c r="C1123" s="6" t="s">
        <v>2</v>
      </c>
      <c r="D11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3" s="7">
        <v>257.7</v>
      </c>
      <c r="F1123" s="9">
        <v>1.79</v>
      </c>
      <c r="G1123" s="11">
        <v>51.851916521160717</v>
      </c>
      <c r="I1123" s="28"/>
    </row>
    <row r="1124" spans="2:9" x14ac:dyDescent="0.35">
      <c r="B1124" s="4">
        <v>45168</v>
      </c>
      <c r="C1124" s="6" t="s">
        <v>2</v>
      </c>
      <c r="D11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4" s="7">
        <v>193.35</v>
      </c>
      <c r="F1124" s="9">
        <v>2.88</v>
      </c>
      <c r="G1124" s="11">
        <v>51.153365465213746</v>
      </c>
      <c r="I1124" s="28"/>
    </row>
    <row r="1125" spans="2:9" x14ac:dyDescent="0.35">
      <c r="B1125" s="4">
        <v>45169</v>
      </c>
      <c r="C1125" s="6" t="s">
        <v>2</v>
      </c>
      <c r="D11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5" s="7">
        <v>191.99</v>
      </c>
      <c r="F1125" s="9">
        <v>0.1</v>
      </c>
      <c r="G1125" s="11">
        <v>54.323987632656468</v>
      </c>
      <c r="I1125" s="28"/>
    </row>
    <row r="1126" spans="2:9" x14ac:dyDescent="0.35">
      <c r="B1126" s="4">
        <v>45170</v>
      </c>
      <c r="C1126" s="6" t="s">
        <v>2</v>
      </c>
      <c r="D11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6" s="7">
        <v>123.21</v>
      </c>
      <c r="F1126" s="9">
        <v>0.18</v>
      </c>
      <c r="G1126" s="11">
        <v>54.447285761920639</v>
      </c>
      <c r="I1126" s="28"/>
    </row>
    <row r="1127" spans="2:9" x14ac:dyDescent="0.35">
      <c r="B1127" s="4">
        <v>45171</v>
      </c>
      <c r="C1127" s="6" t="s">
        <v>2</v>
      </c>
      <c r="D11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7" s="7">
        <v>98.86</v>
      </c>
      <c r="F1127" s="9">
        <v>0.19</v>
      </c>
      <c r="G1127" s="11">
        <v>54.012664995822888</v>
      </c>
      <c r="I1127" s="28"/>
    </row>
    <row r="1128" spans="2:9" x14ac:dyDescent="0.35">
      <c r="B1128" s="4">
        <v>45173</v>
      </c>
      <c r="C1128" s="6" t="s">
        <v>2</v>
      </c>
      <c r="D11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8" s="7">
        <v>159.26</v>
      </c>
      <c r="F1128" s="9">
        <v>0.64</v>
      </c>
      <c r="G1128" s="11">
        <v>52.901193102065371</v>
      </c>
      <c r="I1128" s="28"/>
    </row>
    <row r="1129" spans="2:9" x14ac:dyDescent="0.35">
      <c r="B1129" s="4">
        <v>45174</v>
      </c>
      <c r="C1129" s="6" t="s">
        <v>2</v>
      </c>
      <c r="D11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29" s="7">
        <v>69.63</v>
      </c>
      <c r="F1129" s="9">
        <v>1.86</v>
      </c>
      <c r="G1129" s="11">
        <v>51.148272491855316</v>
      </c>
      <c r="I1129" s="28"/>
    </row>
    <row r="1130" spans="2:9" x14ac:dyDescent="0.35">
      <c r="B1130" s="4">
        <v>45175</v>
      </c>
      <c r="C1130" s="6" t="s">
        <v>2</v>
      </c>
      <c r="D11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0" s="7">
        <v>104.22</v>
      </c>
      <c r="F1130" s="9">
        <v>0.55000000000000004</v>
      </c>
      <c r="G1130" s="11">
        <v>54.025119047619043</v>
      </c>
      <c r="I1130" s="28"/>
    </row>
    <row r="1131" spans="2:9" x14ac:dyDescent="0.35">
      <c r="B1131" s="4">
        <v>45176</v>
      </c>
      <c r="C1131" s="6" t="s">
        <v>2</v>
      </c>
      <c r="D11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1" s="7">
        <v>108.41</v>
      </c>
      <c r="F1131" s="9">
        <v>2.85155</v>
      </c>
      <c r="G1131" s="11">
        <v>53.236885403104658</v>
      </c>
      <c r="I1131" s="28"/>
    </row>
    <row r="1132" spans="2:9" x14ac:dyDescent="0.35">
      <c r="B1132" s="4">
        <v>45177</v>
      </c>
      <c r="C1132" s="6" t="s">
        <v>2</v>
      </c>
      <c r="D11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2" s="7">
        <v>75.73</v>
      </c>
      <c r="F1132" s="9">
        <v>3.16</v>
      </c>
      <c r="G1132" s="11">
        <v>51.356408072119763</v>
      </c>
      <c r="I1132" s="28"/>
    </row>
    <row r="1133" spans="2:9" x14ac:dyDescent="0.35">
      <c r="B1133" s="4">
        <v>45178</v>
      </c>
      <c r="C1133" s="6" t="s">
        <v>2</v>
      </c>
      <c r="D11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3" s="7">
        <v>56.77</v>
      </c>
      <c r="F1133" s="9">
        <v>3.1</v>
      </c>
      <c r="G1133" s="11">
        <v>51.130074565037283</v>
      </c>
      <c r="I1133" s="28"/>
    </row>
    <row r="1134" spans="2:9" x14ac:dyDescent="0.35">
      <c r="B1134" s="4">
        <v>45180</v>
      </c>
      <c r="C1134" s="6" t="s">
        <v>2</v>
      </c>
      <c r="D11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4" s="7">
        <v>95.59</v>
      </c>
      <c r="F1134" s="9">
        <v>2.27</v>
      </c>
      <c r="G1134" s="11">
        <v>52.674947245991525</v>
      </c>
      <c r="I1134" s="28"/>
    </row>
    <row r="1135" spans="2:9" x14ac:dyDescent="0.35">
      <c r="B1135" s="4">
        <v>45181</v>
      </c>
      <c r="C1135" s="6" t="s">
        <v>2</v>
      </c>
      <c r="D11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5" s="7">
        <v>187.77</v>
      </c>
      <c r="F1135" s="9">
        <v>0.13</v>
      </c>
      <c r="G1135" s="11">
        <v>54.239950083194678</v>
      </c>
      <c r="I1135" s="28"/>
    </row>
    <row r="1136" spans="2:9" x14ac:dyDescent="0.35">
      <c r="B1136" s="4">
        <v>45182</v>
      </c>
      <c r="C1136" s="6" t="s">
        <v>2</v>
      </c>
      <c r="D11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6" s="7">
        <v>161.09</v>
      </c>
      <c r="F1136" s="9">
        <v>0.21</v>
      </c>
      <c r="G1136" s="11">
        <v>52.813931538717185</v>
      </c>
      <c r="I1136" s="28"/>
    </row>
    <row r="1137" spans="2:9" x14ac:dyDescent="0.35">
      <c r="B1137" s="4">
        <v>45183</v>
      </c>
      <c r="C1137" s="6" t="s">
        <v>2</v>
      </c>
      <c r="D11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7" s="7">
        <v>127.97</v>
      </c>
      <c r="F1137" s="9">
        <v>0.15</v>
      </c>
      <c r="G1137" s="11">
        <v>52.686703096539162</v>
      </c>
      <c r="I1137" s="28"/>
    </row>
    <row r="1138" spans="2:9" x14ac:dyDescent="0.35">
      <c r="B1138" s="4">
        <v>45184</v>
      </c>
      <c r="C1138" s="6" t="s">
        <v>2</v>
      </c>
      <c r="D11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8" s="7">
        <v>99.23</v>
      </c>
      <c r="F1138" s="9">
        <v>0.81</v>
      </c>
      <c r="G1138" s="11">
        <v>51.046394813885399</v>
      </c>
      <c r="I1138" s="28"/>
    </row>
    <row r="1139" spans="2:9" x14ac:dyDescent="0.35">
      <c r="B1139" s="4">
        <v>45185</v>
      </c>
      <c r="C1139" s="6" t="s">
        <v>2</v>
      </c>
      <c r="D11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39" s="7">
        <v>40.67</v>
      </c>
      <c r="F1139" s="9">
        <v>3.64</v>
      </c>
      <c r="G1139" s="11">
        <v>51.428624303418445</v>
      </c>
      <c r="I1139" s="28"/>
    </row>
    <row r="1140" spans="2:9" x14ac:dyDescent="0.35">
      <c r="B1140" s="4">
        <v>45187</v>
      </c>
      <c r="C1140" s="6" t="s">
        <v>2</v>
      </c>
      <c r="D11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0" s="7">
        <v>309.39999999999998</v>
      </c>
      <c r="F1140" s="9">
        <v>2.99</v>
      </c>
      <c r="G1140" s="11">
        <v>52.315272923051431</v>
      </c>
      <c r="I1140" s="28"/>
    </row>
    <row r="1141" spans="2:9" x14ac:dyDescent="0.35">
      <c r="B1141" s="4">
        <v>45188</v>
      </c>
      <c r="C1141" s="6" t="s">
        <v>2</v>
      </c>
      <c r="D11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1" s="7">
        <v>397.11</v>
      </c>
      <c r="F1141" s="9">
        <v>1.96</v>
      </c>
      <c r="G1141" s="11">
        <v>52.8515278352221</v>
      </c>
      <c r="I1141" s="28"/>
    </row>
    <row r="1142" spans="2:9" x14ac:dyDescent="0.35">
      <c r="B1142" s="4">
        <v>45189</v>
      </c>
      <c r="C1142" s="6" t="s">
        <v>2</v>
      </c>
      <c r="D11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2" s="7">
        <v>184.74</v>
      </c>
      <c r="F1142" s="9">
        <v>3.99</v>
      </c>
      <c r="G1142" s="11">
        <v>48.22334221038615</v>
      </c>
      <c r="I1142" s="28"/>
    </row>
    <row r="1143" spans="2:9" x14ac:dyDescent="0.35">
      <c r="B1143" s="4">
        <v>45190</v>
      </c>
      <c r="C1143" s="6" t="s">
        <v>2</v>
      </c>
      <c r="D11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3" s="7">
        <v>290.33999999999997</v>
      </c>
      <c r="F1143" s="9">
        <v>2.0099999999999998</v>
      </c>
      <c r="G1143" s="11">
        <v>50.553203405391862</v>
      </c>
      <c r="I1143" s="28"/>
    </row>
    <row r="1144" spans="2:9" x14ac:dyDescent="0.35">
      <c r="B1144" s="4">
        <v>45191</v>
      </c>
      <c r="C1144" s="6" t="s">
        <v>2</v>
      </c>
      <c r="D11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4" s="7">
        <v>267</v>
      </c>
      <c r="F1144" s="9">
        <v>0.56000000000000005</v>
      </c>
      <c r="G1144" s="11">
        <v>53.761881971033795</v>
      </c>
      <c r="I1144" s="28"/>
    </row>
    <row r="1145" spans="2:9" x14ac:dyDescent="0.35">
      <c r="B1145" s="4">
        <v>45192</v>
      </c>
      <c r="C1145" s="6" t="s">
        <v>2</v>
      </c>
      <c r="D11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5" s="7">
        <v>126.14</v>
      </c>
      <c r="F1145" s="9">
        <v>0.09</v>
      </c>
      <c r="G1145" s="11">
        <v>54.277535845281754</v>
      </c>
      <c r="I1145" s="28"/>
    </row>
    <row r="1146" spans="2:9" x14ac:dyDescent="0.35">
      <c r="B1146" s="4">
        <v>45194</v>
      </c>
      <c r="C1146" s="6" t="s">
        <v>2</v>
      </c>
      <c r="D11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6" s="7">
        <v>180.24</v>
      </c>
      <c r="F1146" s="9">
        <v>0.14000000000000001</v>
      </c>
      <c r="G1146" s="11">
        <v>53.463613944156492</v>
      </c>
      <c r="I1146" s="28"/>
    </row>
    <row r="1147" spans="2:9" x14ac:dyDescent="0.35">
      <c r="B1147" s="4">
        <v>45195</v>
      </c>
      <c r="C1147" s="6" t="s">
        <v>2</v>
      </c>
      <c r="D11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7" s="7">
        <v>321.02</v>
      </c>
      <c r="F1147" s="9">
        <v>4.43</v>
      </c>
      <c r="G1147" s="11">
        <v>50.599539078156312</v>
      </c>
      <c r="I1147" s="28"/>
    </row>
    <row r="1148" spans="2:9" x14ac:dyDescent="0.35">
      <c r="B1148" s="4">
        <v>45196</v>
      </c>
      <c r="C1148" s="6" t="s">
        <v>2</v>
      </c>
      <c r="D11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8" s="7">
        <v>252.3</v>
      </c>
      <c r="F1148" s="9">
        <v>0.59</v>
      </c>
      <c r="G1148" s="11">
        <v>52.910477701686979</v>
      </c>
      <c r="I1148" s="28"/>
    </row>
    <row r="1149" spans="2:9" x14ac:dyDescent="0.35">
      <c r="B1149" s="4">
        <v>45197</v>
      </c>
      <c r="C1149" s="6" t="s">
        <v>2</v>
      </c>
      <c r="D11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49" s="7">
        <v>163.74</v>
      </c>
      <c r="F1149" s="9">
        <v>1.1100000000000001</v>
      </c>
      <c r="G1149" s="11">
        <v>52.59362515618492</v>
      </c>
      <c r="I1149" s="28"/>
    </row>
    <row r="1150" spans="2:9" x14ac:dyDescent="0.35">
      <c r="B1150" s="4">
        <v>45198</v>
      </c>
      <c r="C1150" s="6" t="s">
        <v>2</v>
      </c>
      <c r="D11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0" s="7">
        <v>160.51</v>
      </c>
      <c r="F1150" s="9">
        <v>1.34</v>
      </c>
      <c r="G1150" s="11">
        <v>53.342240877732529</v>
      </c>
      <c r="I1150" s="28"/>
    </row>
    <row r="1151" spans="2:9" x14ac:dyDescent="0.35">
      <c r="B1151" s="4">
        <v>45199</v>
      </c>
      <c r="C1151" s="6" t="s">
        <v>2</v>
      </c>
      <c r="D11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1" s="7">
        <v>136.38999999999999</v>
      </c>
      <c r="F1151" s="9">
        <v>2.94</v>
      </c>
      <c r="G1151" s="11">
        <v>52.142579034941761</v>
      </c>
      <c r="I1151" s="28"/>
    </row>
    <row r="1152" spans="2:9" x14ac:dyDescent="0.35">
      <c r="B1152" s="4">
        <v>45109</v>
      </c>
      <c r="C1152" s="6" t="s">
        <v>6</v>
      </c>
      <c r="D11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2" s="7">
        <v>140.37</v>
      </c>
      <c r="F1152" s="9">
        <v>2.2202500000000005</v>
      </c>
      <c r="G1152" s="10">
        <v>53.600176109489787</v>
      </c>
      <c r="I1152" s="28"/>
    </row>
    <row r="1153" spans="2:9" x14ac:dyDescent="0.35">
      <c r="B1153" s="4">
        <v>45111</v>
      </c>
      <c r="C1153" s="6" t="s">
        <v>6</v>
      </c>
      <c r="D11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3" s="7">
        <v>164.97</v>
      </c>
      <c r="F1153" s="9">
        <v>2.1025500000000004</v>
      </c>
      <c r="G1153" s="10">
        <v>53.402842599061785</v>
      </c>
      <c r="I1153" s="28"/>
    </row>
    <row r="1154" spans="2:9" x14ac:dyDescent="0.35">
      <c r="B1154" s="4">
        <v>45112</v>
      </c>
      <c r="C1154" s="6" t="s">
        <v>6</v>
      </c>
      <c r="D11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4" s="7">
        <v>329.12</v>
      </c>
      <c r="F1154" s="9">
        <v>2.1854750000000003</v>
      </c>
      <c r="G1154" s="10">
        <v>52.678141251373212</v>
      </c>
      <c r="I1154" s="28"/>
    </row>
    <row r="1155" spans="2:9" x14ac:dyDescent="0.35">
      <c r="B1155" s="4">
        <v>45113</v>
      </c>
      <c r="C1155" s="6" t="s">
        <v>6</v>
      </c>
      <c r="D11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5" s="7">
        <v>460.81</v>
      </c>
      <c r="F1155" s="9">
        <v>1.987525</v>
      </c>
      <c r="G1155" s="10">
        <v>53.54574664261375</v>
      </c>
      <c r="I1155" s="28"/>
    </row>
    <row r="1156" spans="2:9" x14ac:dyDescent="0.35">
      <c r="B1156" s="4">
        <v>45114</v>
      </c>
      <c r="C1156" s="6" t="s">
        <v>6</v>
      </c>
      <c r="D11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6" s="7">
        <v>371.93</v>
      </c>
      <c r="F1156" s="9">
        <v>2.1694249999999999</v>
      </c>
      <c r="G1156" s="10">
        <v>53.247961089165919</v>
      </c>
      <c r="I1156" s="28"/>
    </row>
    <row r="1157" spans="2:9" x14ac:dyDescent="0.35">
      <c r="B1157" s="4">
        <v>45115</v>
      </c>
      <c r="C1157" s="6" t="s">
        <v>6</v>
      </c>
      <c r="D11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7" s="7">
        <v>210.1</v>
      </c>
      <c r="F1157" s="9">
        <v>2.5573000000000001</v>
      </c>
      <c r="G1157" s="10">
        <v>53.077978980891722</v>
      </c>
      <c r="I1157" s="28"/>
    </row>
    <row r="1158" spans="2:9" x14ac:dyDescent="0.35">
      <c r="B1158" s="4">
        <v>45117</v>
      </c>
      <c r="C1158" s="6" t="s">
        <v>6</v>
      </c>
      <c r="D11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8" s="7">
        <v>195.4</v>
      </c>
      <c r="F1158" s="9">
        <v>2.1988500000000002</v>
      </c>
      <c r="G1158" s="10">
        <v>53.390383293650792</v>
      </c>
      <c r="I1158" s="28"/>
    </row>
    <row r="1159" spans="2:9" x14ac:dyDescent="0.35">
      <c r="B1159" s="4">
        <v>45118</v>
      </c>
      <c r="C1159" s="6" t="s">
        <v>6</v>
      </c>
      <c r="D11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59" s="7">
        <v>328.07</v>
      </c>
      <c r="F1159" s="9">
        <v>2.1239500000000002</v>
      </c>
      <c r="G1159" s="10">
        <v>53.480053728179556</v>
      </c>
      <c r="I1159" s="28"/>
    </row>
    <row r="1160" spans="2:9" x14ac:dyDescent="0.35">
      <c r="B1160" s="4">
        <v>45119</v>
      </c>
      <c r="C1160" s="6" t="s">
        <v>6</v>
      </c>
      <c r="D11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0" s="7">
        <v>242.93</v>
      </c>
      <c r="F1160" s="9">
        <v>3.1431250000000004</v>
      </c>
      <c r="G1160" s="10">
        <v>52.320158788307047</v>
      </c>
      <c r="I1160" s="28"/>
    </row>
    <row r="1161" spans="2:9" x14ac:dyDescent="0.35">
      <c r="B1161" s="4">
        <v>45120</v>
      </c>
      <c r="C1161" s="6" t="s">
        <v>6</v>
      </c>
      <c r="D11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1" s="7">
        <v>137.97999999999999</v>
      </c>
      <c r="F1161" s="9">
        <v>2.5893999999999999</v>
      </c>
      <c r="G1161" s="10">
        <v>53.195518982932427</v>
      </c>
      <c r="I1161" s="28"/>
    </row>
    <row r="1162" spans="2:9" x14ac:dyDescent="0.35">
      <c r="B1162" s="4">
        <v>45121</v>
      </c>
      <c r="C1162" s="6" t="s">
        <v>6</v>
      </c>
      <c r="D11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2" s="7">
        <v>140.51</v>
      </c>
      <c r="F1162" s="9">
        <v>2.2684000000000002</v>
      </c>
      <c r="G1162" s="10">
        <v>52.798926508663612</v>
      </c>
      <c r="I1162" s="28"/>
    </row>
    <row r="1163" spans="2:9" x14ac:dyDescent="0.35">
      <c r="B1163" s="4">
        <v>45122</v>
      </c>
      <c r="C1163" s="6" t="s">
        <v>6</v>
      </c>
      <c r="D11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3" s="7">
        <v>273.95</v>
      </c>
      <c r="F1163" s="9">
        <v>1.495325</v>
      </c>
      <c r="G1163" s="10">
        <v>54.042327698309492</v>
      </c>
      <c r="I1163" s="28"/>
    </row>
    <row r="1164" spans="2:9" x14ac:dyDescent="0.35">
      <c r="B1164" s="4">
        <v>45124</v>
      </c>
      <c r="C1164" s="6" t="s">
        <v>6</v>
      </c>
      <c r="D11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4" s="7">
        <v>70.44</v>
      </c>
      <c r="F1164" s="9">
        <v>1.7253750000000001</v>
      </c>
      <c r="G1164" s="10">
        <v>53.628216535039485</v>
      </c>
      <c r="I1164" s="28"/>
    </row>
    <row r="1165" spans="2:9" x14ac:dyDescent="0.35">
      <c r="B1165" s="4">
        <v>45125</v>
      </c>
      <c r="C1165" s="6" t="s">
        <v>6</v>
      </c>
      <c r="D11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5" s="7">
        <v>152.88999999999999</v>
      </c>
      <c r="F1165" s="9">
        <v>1.9741500000000001</v>
      </c>
      <c r="G1165" s="10">
        <v>53.757423288355817</v>
      </c>
      <c r="I1165" s="28"/>
    </row>
    <row r="1166" spans="2:9" x14ac:dyDescent="0.35">
      <c r="B1166" s="4">
        <v>45126</v>
      </c>
      <c r="C1166" s="6" t="s">
        <v>6</v>
      </c>
      <c r="D11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6" s="7">
        <v>269.82</v>
      </c>
      <c r="F1166" s="9">
        <v>1.853775</v>
      </c>
      <c r="G1166" s="10">
        <v>53.875342931413719</v>
      </c>
      <c r="I1166" s="28"/>
    </row>
    <row r="1167" spans="2:9" x14ac:dyDescent="0.35">
      <c r="B1167" s="4">
        <v>45127</v>
      </c>
      <c r="C1167" s="6" t="s">
        <v>6</v>
      </c>
      <c r="D11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7" s="7">
        <v>480.33</v>
      </c>
      <c r="F1167" s="9">
        <v>2.501125</v>
      </c>
      <c r="G1167" s="10">
        <v>53.38729999400779</v>
      </c>
      <c r="I1167" s="28"/>
    </row>
    <row r="1168" spans="2:9" x14ac:dyDescent="0.35">
      <c r="B1168" s="4">
        <v>45128</v>
      </c>
      <c r="C1168" s="6" t="s">
        <v>6</v>
      </c>
      <c r="D11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8" s="7">
        <v>392.51</v>
      </c>
      <c r="F1168" s="9">
        <v>3.0120500000000003</v>
      </c>
      <c r="G1168" s="10">
        <v>51.954436591678274</v>
      </c>
      <c r="I1168" s="28"/>
    </row>
    <row r="1169" spans="2:9" x14ac:dyDescent="0.35">
      <c r="B1169" s="4">
        <v>45131</v>
      </c>
      <c r="C1169" s="6" t="s">
        <v>6</v>
      </c>
      <c r="D11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69" s="7">
        <v>208.13</v>
      </c>
      <c r="F1169" s="9">
        <v>2.8997000000000002</v>
      </c>
      <c r="G1169" s="10">
        <v>52.629930146428926</v>
      </c>
      <c r="I1169" s="28"/>
    </row>
    <row r="1170" spans="2:9" x14ac:dyDescent="0.35">
      <c r="B1170" s="4">
        <v>45132</v>
      </c>
      <c r="C1170" s="6" t="s">
        <v>6</v>
      </c>
      <c r="D11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0" s="7">
        <v>464.81900000000002</v>
      </c>
      <c r="F1170" s="9">
        <v>2.8248000000000002</v>
      </c>
      <c r="G1170" s="10">
        <v>52.829276050443184</v>
      </c>
      <c r="I1170" s="28"/>
    </row>
    <row r="1171" spans="2:9" x14ac:dyDescent="0.35">
      <c r="B1171" s="4">
        <v>45133</v>
      </c>
      <c r="C1171" s="6" t="s">
        <v>6</v>
      </c>
      <c r="D11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1" s="7">
        <v>157.69</v>
      </c>
      <c r="F1171" s="9">
        <v>1.2251500000000002</v>
      </c>
      <c r="G1171" s="10">
        <v>53.98335390127388</v>
      </c>
      <c r="I1171" s="28"/>
    </row>
    <row r="1172" spans="2:9" x14ac:dyDescent="0.35">
      <c r="B1172" s="4">
        <v>45134</v>
      </c>
      <c r="C1172" s="6" t="s">
        <v>6</v>
      </c>
      <c r="D11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2" s="7">
        <v>102.7</v>
      </c>
      <c r="F1172" s="9">
        <v>3.41865</v>
      </c>
      <c r="G1172" s="10">
        <v>52.655912326503142</v>
      </c>
      <c r="I1172" s="28"/>
    </row>
    <row r="1173" spans="2:9" x14ac:dyDescent="0.35">
      <c r="B1173" s="4">
        <v>45135</v>
      </c>
      <c r="C1173" s="6" t="s">
        <v>6</v>
      </c>
      <c r="D11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3" s="7">
        <v>221.93</v>
      </c>
      <c r="F1173" s="9">
        <v>2.4850749999999997</v>
      </c>
      <c r="G1173" s="10">
        <v>52.792660308061613</v>
      </c>
      <c r="I1173" s="28"/>
    </row>
    <row r="1174" spans="2:9" x14ac:dyDescent="0.35">
      <c r="B1174" s="4">
        <v>45136</v>
      </c>
      <c r="C1174" s="6" t="s">
        <v>6</v>
      </c>
      <c r="D11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4" s="7">
        <v>173.1</v>
      </c>
      <c r="F1174" s="9">
        <v>1.79</v>
      </c>
      <c r="G1174" s="10">
        <v>53.732913254220286</v>
      </c>
      <c r="I1174" s="28"/>
    </row>
    <row r="1175" spans="2:9" x14ac:dyDescent="0.35">
      <c r="B1175" s="4">
        <v>45138</v>
      </c>
      <c r="C1175" s="6" t="s">
        <v>6</v>
      </c>
      <c r="D11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5" s="7">
        <v>241.96</v>
      </c>
      <c r="F1175" s="9">
        <v>2.3379500000000002</v>
      </c>
      <c r="G1175" s="10">
        <v>51.443633190385953</v>
      </c>
      <c r="I1175" s="28"/>
    </row>
    <row r="1176" spans="2:9" x14ac:dyDescent="0.35">
      <c r="B1176" s="4">
        <v>45139</v>
      </c>
      <c r="C1176" s="6" t="s">
        <v>6</v>
      </c>
      <c r="D11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6" s="7">
        <v>661.73</v>
      </c>
      <c r="F1176" s="9">
        <v>1.7868999999999999</v>
      </c>
      <c r="G1176" s="10">
        <v>53.673133940182055</v>
      </c>
      <c r="I1176" s="28"/>
    </row>
    <row r="1177" spans="2:9" x14ac:dyDescent="0.35">
      <c r="B1177" s="4">
        <v>45143</v>
      </c>
      <c r="C1177" s="6" t="s">
        <v>6</v>
      </c>
      <c r="D11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7" s="7">
        <v>140.69999999999999</v>
      </c>
      <c r="F1177" s="9">
        <v>3.52</v>
      </c>
      <c r="G1177" s="10">
        <v>50.948275316455693</v>
      </c>
      <c r="I1177" s="28"/>
    </row>
    <row r="1178" spans="2:9" x14ac:dyDescent="0.35">
      <c r="B1178" s="4">
        <v>45146</v>
      </c>
      <c r="C1178" s="6" t="s">
        <v>6</v>
      </c>
      <c r="D11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8" s="7">
        <v>66.91</v>
      </c>
      <c r="F1178" s="9">
        <v>2.0299999999999998</v>
      </c>
      <c r="G1178" s="10">
        <v>53.615153476024553</v>
      </c>
      <c r="I1178" s="28"/>
    </row>
    <row r="1179" spans="2:9" x14ac:dyDescent="0.35">
      <c r="B1179" s="4">
        <v>45147</v>
      </c>
      <c r="C1179" s="6" t="s">
        <v>6</v>
      </c>
      <c r="D11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79" s="7">
        <v>71.44</v>
      </c>
      <c r="F1179" s="9">
        <v>2.14</v>
      </c>
      <c r="G1179" s="10">
        <v>53.473279328680619</v>
      </c>
      <c r="I1179" s="28"/>
    </row>
    <row r="1180" spans="2:9" x14ac:dyDescent="0.35">
      <c r="B1180" s="4">
        <v>45150</v>
      </c>
      <c r="C1180" s="6" t="s">
        <v>6</v>
      </c>
      <c r="D11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0" s="7">
        <v>294.91000000000003</v>
      </c>
      <c r="F1180" s="9">
        <v>1.99</v>
      </c>
      <c r="G1180" s="10">
        <v>53.406149171730625</v>
      </c>
      <c r="I1180" s="28"/>
    </row>
    <row r="1181" spans="2:9" x14ac:dyDescent="0.35">
      <c r="B1181" s="4">
        <v>45152</v>
      </c>
      <c r="C1181" s="6" t="s">
        <v>6</v>
      </c>
      <c r="D11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1" s="7">
        <v>112.05</v>
      </c>
      <c r="F1181" s="9">
        <v>2.4700000000000002</v>
      </c>
      <c r="G1181" s="10">
        <v>52.862184566824489</v>
      </c>
      <c r="I1181" s="28"/>
    </row>
    <row r="1182" spans="2:9" x14ac:dyDescent="0.35">
      <c r="B1182" s="4">
        <v>45154</v>
      </c>
      <c r="C1182" s="6" t="s">
        <v>6</v>
      </c>
      <c r="D11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2" s="7">
        <v>543.29</v>
      </c>
      <c r="F1182" s="9">
        <v>2.73</v>
      </c>
      <c r="G1182" s="10">
        <v>52.793481481481479</v>
      </c>
      <c r="I1182" s="28"/>
    </row>
    <row r="1183" spans="2:9" x14ac:dyDescent="0.35">
      <c r="B1183" s="4">
        <v>45156</v>
      </c>
      <c r="C1183" s="6" t="s">
        <v>6</v>
      </c>
      <c r="D11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3" s="7">
        <v>27.9</v>
      </c>
      <c r="F1183" s="9">
        <v>2.33</v>
      </c>
      <c r="G1183" s="10">
        <v>53.070688879633487</v>
      </c>
      <c r="I1183" s="28"/>
    </row>
    <row r="1184" spans="2:9" x14ac:dyDescent="0.35">
      <c r="B1184" s="4">
        <v>45157</v>
      </c>
      <c r="C1184" s="6" t="s">
        <v>6</v>
      </c>
      <c r="D11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4" s="7">
        <v>420.72</v>
      </c>
      <c r="F1184" s="9">
        <v>3.94</v>
      </c>
      <c r="G1184" s="10">
        <v>50.934991247811951</v>
      </c>
      <c r="I1184" s="28"/>
    </row>
    <row r="1185" spans="2:9" x14ac:dyDescent="0.35">
      <c r="B1185" s="4">
        <v>45158</v>
      </c>
      <c r="C1185" s="6" t="s">
        <v>6</v>
      </c>
      <c r="D11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5" s="7">
        <v>348.33</v>
      </c>
      <c r="F1185" s="9">
        <v>1.75</v>
      </c>
      <c r="G1185" s="10">
        <v>53.934574811625403</v>
      </c>
      <c r="I1185" s="28"/>
    </row>
    <row r="1186" spans="2:9" x14ac:dyDescent="0.35">
      <c r="B1186" s="4">
        <v>45159</v>
      </c>
      <c r="C1186" s="6" t="s">
        <v>6</v>
      </c>
      <c r="D11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6" s="7">
        <v>34.14</v>
      </c>
      <c r="F1186" s="9">
        <v>2.4500000000000002</v>
      </c>
      <c r="G1186" s="10">
        <v>52.773748989817364</v>
      </c>
      <c r="I1186" s="28"/>
    </row>
    <row r="1187" spans="2:9" x14ac:dyDescent="0.35">
      <c r="B1187" s="4">
        <v>45160</v>
      </c>
      <c r="C1187" s="6" t="s">
        <v>6</v>
      </c>
      <c r="D11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7" s="7">
        <v>105.84</v>
      </c>
      <c r="F1187" s="9">
        <v>6.48</v>
      </c>
      <c r="G1187" s="10">
        <v>50.816988442670656</v>
      </c>
      <c r="I1187" s="28"/>
    </row>
    <row r="1188" spans="2:9" x14ac:dyDescent="0.35">
      <c r="B1188" s="4">
        <v>45161</v>
      </c>
      <c r="C1188" s="6" t="s">
        <v>6</v>
      </c>
      <c r="D11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8" s="7">
        <v>185.97</v>
      </c>
      <c r="F1188" s="9">
        <v>1.79</v>
      </c>
      <c r="G1188" s="10">
        <v>53.599619253470777</v>
      </c>
      <c r="I1188" s="28"/>
    </row>
    <row r="1189" spans="2:9" x14ac:dyDescent="0.35">
      <c r="B1189" s="4">
        <v>45167</v>
      </c>
      <c r="C1189" s="6" t="s">
        <v>6</v>
      </c>
      <c r="D11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89" s="7">
        <v>99.91</v>
      </c>
      <c r="F1189" s="9">
        <v>2.11</v>
      </c>
      <c r="G1189" s="10">
        <v>53.442380952380951</v>
      </c>
      <c r="I1189" s="28"/>
    </row>
    <row r="1190" spans="2:9" x14ac:dyDescent="0.35">
      <c r="B1190" s="4">
        <v>45168</v>
      </c>
      <c r="C1190" s="6" t="s">
        <v>6</v>
      </c>
      <c r="D11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0" s="7">
        <v>1778.78</v>
      </c>
      <c r="F1190" s="9">
        <v>1.7</v>
      </c>
      <c r="G1190" s="10">
        <v>53.876328650984952</v>
      </c>
      <c r="I1190" s="28"/>
    </row>
    <row r="1191" spans="2:9" x14ac:dyDescent="0.35">
      <c r="B1191" s="4">
        <v>45169</v>
      </c>
      <c r="C1191" s="6" t="s">
        <v>6</v>
      </c>
      <c r="D11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1" s="7">
        <v>281.60000000000002</v>
      </c>
      <c r="F1191" s="9">
        <v>1.82</v>
      </c>
      <c r="G1191" s="10">
        <v>53.540809267687216</v>
      </c>
      <c r="I1191" s="28"/>
    </row>
    <row r="1192" spans="2:9" x14ac:dyDescent="0.35">
      <c r="B1192" s="4">
        <v>45173</v>
      </c>
      <c r="C1192" s="6" t="s">
        <v>6</v>
      </c>
      <c r="D11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2" s="7">
        <v>105.18</v>
      </c>
      <c r="F1192" s="9">
        <v>1.91</v>
      </c>
      <c r="G1192" s="10">
        <v>53.56641130235797</v>
      </c>
      <c r="I1192" s="28"/>
    </row>
    <row r="1193" spans="2:9" x14ac:dyDescent="0.35">
      <c r="B1193" s="4">
        <v>45174</v>
      </c>
      <c r="C1193" s="6" t="s">
        <v>6</v>
      </c>
      <c r="D11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3" s="7">
        <v>174.23</v>
      </c>
      <c r="F1193" s="9">
        <v>4.46</v>
      </c>
      <c r="G1193" s="10">
        <v>51.585643926788684</v>
      </c>
      <c r="I1193" s="28"/>
    </row>
    <row r="1194" spans="2:9" x14ac:dyDescent="0.35">
      <c r="B1194" s="4">
        <v>45175</v>
      </c>
      <c r="C1194" s="6" t="s">
        <v>6</v>
      </c>
      <c r="D11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4" s="7">
        <v>103.44</v>
      </c>
      <c r="F1194" s="9">
        <v>1.97</v>
      </c>
      <c r="G1194" s="10">
        <v>53.3366860949209</v>
      </c>
      <c r="I1194" s="28"/>
    </row>
    <row r="1195" spans="2:9" x14ac:dyDescent="0.35">
      <c r="B1195" s="4">
        <v>45176</v>
      </c>
      <c r="C1195" s="6" t="s">
        <v>6</v>
      </c>
      <c r="D11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5" s="7">
        <v>144.81</v>
      </c>
      <c r="F1195" s="9">
        <v>1.7788750000000002</v>
      </c>
      <c r="G1195" s="10">
        <v>54.10696933253157</v>
      </c>
      <c r="I1195" s="28"/>
    </row>
    <row r="1196" spans="2:9" x14ac:dyDescent="0.35">
      <c r="B1196" s="4">
        <v>45177</v>
      </c>
      <c r="C1196" s="6" t="s">
        <v>6</v>
      </c>
      <c r="D11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6" s="7">
        <v>451.44</v>
      </c>
      <c r="F1196" s="9">
        <v>1.46</v>
      </c>
      <c r="G1196" s="10">
        <v>53.702300516408457</v>
      </c>
      <c r="I1196" s="28"/>
    </row>
    <row r="1197" spans="2:9" x14ac:dyDescent="0.35">
      <c r="B1197" s="4">
        <v>45178</v>
      </c>
      <c r="C1197" s="6" t="s">
        <v>6</v>
      </c>
      <c r="D11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7" s="7">
        <v>242.8</v>
      </c>
      <c r="F1197" s="9">
        <v>1.99</v>
      </c>
      <c r="G1197" s="10">
        <v>53.369991679840247</v>
      </c>
      <c r="I1197" s="28"/>
    </row>
    <row r="1198" spans="2:9" x14ac:dyDescent="0.35">
      <c r="B1198" s="4">
        <v>45180</v>
      </c>
      <c r="C1198" s="6" t="s">
        <v>6</v>
      </c>
      <c r="D11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8" s="7">
        <v>103.2</v>
      </c>
      <c r="F1198" s="9">
        <v>2.2799999999999998</v>
      </c>
      <c r="G1198" s="10">
        <v>53.246695014173753</v>
      </c>
      <c r="I1198" s="28"/>
    </row>
    <row r="1199" spans="2:9" x14ac:dyDescent="0.35">
      <c r="B1199" s="4">
        <v>45181</v>
      </c>
      <c r="C1199" s="6" t="s">
        <v>6</v>
      </c>
      <c r="D11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199" s="7">
        <v>280.3</v>
      </c>
      <c r="F1199" s="9">
        <v>1.82</v>
      </c>
      <c r="G1199" s="10">
        <v>52.981434163404678</v>
      </c>
      <c r="I1199" s="28"/>
    </row>
    <row r="1200" spans="2:9" x14ac:dyDescent="0.35">
      <c r="B1200" s="4">
        <v>45182</v>
      </c>
      <c r="C1200" s="6" t="s">
        <v>6</v>
      </c>
      <c r="D12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0" s="7">
        <v>310.24</v>
      </c>
      <c r="F1200" s="9">
        <v>1.78</v>
      </c>
      <c r="G1200" s="10">
        <v>53.677010582010581</v>
      </c>
      <c r="I1200" s="28"/>
    </row>
    <row r="1201" spans="2:9" x14ac:dyDescent="0.35">
      <c r="B1201" s="4">
        <v>45183</v>
      </c>
      <c r="C1201" s="6" t="s">
        <v>6</v>
      </c>
      <c r="D12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1" s="7">
        <v>241.52</v>
      </c>
      <c r="F1201" s="9">
        <v>1.92</v>
      </c>
      <c r="G1201" s="10">
        <v>53.392965494249047</v>
      </c>
      <c r="I1201" s="28"/>
    </row>
    <row r="1202" spans="2:9" x14ac:dyDescent="0.35">
      <c r="B1202" s="4">
        <v>45185</v>
      </c>
      <c r="C1202" s="6" t="s">
        <v>6</v>
      </c>
      <c r="D12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2" s="7">
        <v>382.7</v>
      </c>
      <c r="F1202" s="9">
        <v>1.77</v>
      </c>
      <c r="G1202" s="10">
        <v>53.60586852127836</v>
      </c>
      <c r="I1202" s="28"/>
    </row>
    <row r="1203" spans="2:9" x14ac:dyDescent="0.35">
      <c r="B1203" s="4">
        <v>45187</v>
      </c>
      <c r="C1203" s="6" t="s">
        <v>6</v>
      </c>
      <c r="D12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3" s="7">
        <v>172.89</v>
      </c>
      <c r="F1203" s="9">
        <v>2.13</v>
      </c>
      <c r="G1203" s="10">
        <v>53.439870399601233</v>
      </c>
      <c r="I1203" s="28"/>
    </row>
    <row r="1204" spans="2:9" x14ac:dyDescent="0.35">
      <c r="B1204" s="4">
        <v>45188</v>
      </c>
      <c r="C1204" s="6" t="s">
        <v>6</v>
      </c>
      <c r="D12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4" s="7">
        <v>244.78</v>
      </c>
      <c r="F1204" s="9">
        <v>2.06</v>
      </c>
      <c r="G1204" s="10">
        <v>53.526932373147915</v>
      </c>
      <c r="I1204" s="28"/>
    </row>
    <row r="1205" spans="2:9" x14ac:dyDescent="0.35">
      <c r="B1205" s="4">
        <v>45189</v>
      </c>
      <c r="C1205" s="6" t="s">
        <v>6</v>
      </c>
      <c r="D12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5" s="7">
        <v>173.19</v>
      </c>
      <c r="F1205" s="9">
        <v>1.67</v>
      </c>
      <c r="G1205" s="10">
        <v>53.80218658892128</v>
      </c>
      <c r="I1205" s="28"/>
    </row>
    <row r="1206" spans="2:9" x14ac:dyDescent="0.35">
      <c r="B1206" s="4">
        <v>45190</v>
      </c>
      <c r="C1206" s="6" t="s">
        <v>6</v>
      </c>
      <c r="D12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6" s="7">
        <v>175.96</v>
      </c>
      <c r="F1206" s="9">
        <v>1.77</v>
      </c>
      <c r="G1206" s="10">
        <v>53.856177202588356</v>
      </c>
      <c r="I1206" s="28"/>
    </row>
    <row r="1207" spans="2:9" x14ac:dyDescent="0.35">
      <c r="B1207" s="4">
        <v>45191</v>
      </c>
      <c r="C1207" s="6" t="s">
        <v>6</v>
      </c>
      <c r="D12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7" s="7">
        <v>243.45</v>
      </c>
      <c r="F1207" s="9">
        <v>1.19</v>
      </c>
      <c r="G1207" s="10">
        <v>54.20489220563848</v>
      </c>
      <c r="I1207" s="28"/>
    </row>
    <row r="1208" spans="2:9" x14ac:dyDescent="0.35">
      <c r="B1208" s="4">
        <v>45192</v>
      </c>
      <c r="C1208" s="6" t="s">
        <v>6</v>
      </c>
      <c r="D12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8" s="7">
        <v>91.66</v>
      </c>
      <c r="F1208" s="9">
        <v>2.17</v>
      </c>
      <c r="G1208" s="10">
        <v>53.312950409083314</v>
      </c>
      <c r="I1208" s="28"/>
    </row>
    <row r="1209" spans="2:9" x14ac:dyDescent="0.35">
      <c r="B1209" s="4">
        <v>45194</v>
      </c>
      <c r="C1209" s="6" t="s">
        <v>6</v>
      </c>
      <c r="D12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09" s="7">
        <v>383.11</v>
      </c>
      <c r="F1209" s="9">
        <v>2.7</v>
      </c>
      <c r="G1209" s="10">
        <v>53.153629629629634</v>
      </c>
      <c r="I1209" s="28"/>
    </row>
    <row r="1210" spans="2:9" x14ac:dyDescent="0.35">
      <c r="B1210" s="4">
        <v>45195</v>
      </c>
      <c r="C1210" s="6" t="s">
        <v>6</v>
      </c>
      <c r="D12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0" s="7">
        <v>68.069999999999993</v>
      </c>
      <c r="F1210" s="9">
        <v>2</v>
      </c>
      <c r="G1210" s="10">
        <v>53.497697456492638</v>
      </c>
      <c r="I1210" s="28"/>
    </row>
    <row r="1211" spans="2:9" x14ac:dyDescent="0.35">
      <c r="B1211" s="4">
        <v>45196</v>
      </c>
      <c r="C1211" s="6" t="s">
        <v>6</v>
      </c>
      <c r="D12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1" s="7">
        <v>416.1</v>
      </c>
      <c r="F1211" s="9">
        <v>1.78</v>
      </c>
      <c r="G1211" s="10">
        <v>53.6024310818689</v>
      </c>
      <c r="I1211" s="28"/>
    </row>
    <row r="1212" spans="2:9" x14ac:dyDescent="0.35">
      <c r="B1212" s="4">
        <v>45197</v>
      </c>
      <c r="C1212" s="6" t="s">
        <v>6</v>
      </c>
      <c r="D12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2" s="7">
        <v>407.57</v>
      </c>
      <c r="F1212" s="9">
        <v>2.42</v>
      </c>
      <c r="G1212" s="10">
        <v>52.356310253437137</v>
      </c>
      <c r="I1212" s="28"/>
    </row>
    <row r="1213" spans="2:9" x14ac:dyDescent="0.35">
      <c r="B1213" s="4">
        <v>45198</v>
      </c>
      <c r="C1213" s="6" t="s">
        <v>6</v>
      </c>
      <c r="D12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3" s="7">
        <v>413.9</v>
      </c>
      <c r="F1213" s="9">
        <v>2.73</v>
      </c>
      <c r="G1213" s="10">
        <v>52.805837824392668</v>
      </c>
      <c r="I1213" s="28"/>
    </row>
    <row r="1214" spans="2:9" x14ac:dyDescent="0.35">
      <c r="B1214" s="4">
        <v>45199</v>
      </c>
      <c r="C1214" s="6" t="s">
        <v>6</v>
      </c>
      <c r="D12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4" s="7">
        <v>340.43</v>
      </c>
      <c r="F1214" s="9">
        <v>1.89</v>
      </c>
      <c r="G1214" s="10">
        <v>53.944498500499833</v>
      </c>
      <c r="I1214" s="28"/>
    </row>
    <row r="1215" spans="2:9" x14ac:dyDescent="0.35">
      <c r="B1215" s="4">
        <v>45112</v>
      </c>
      <c r="C1215" s="6" t="s">
        <v>7</v>
      </c>
      <c r="D12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5" s="7">
        <v>24.08</v>
      </c>
      <c r="F1215" s="9">
        <v>3.7316250000000002</v>
      </c>
      <c r="G1215" s="11">
        <v>51.608052477873876</v>
      </c>
      <c r="I1215" s="28"/>
    </row>
    <row r="1216" spans="2:9" x14ac:dyDescent="0.35">
      <c r="B1216" s="4">
        <v>45113</v>
      </c>
      <c r="C1216" s="6" t="s">
        <v>7</v>
      </c>
      <c r="D12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6" s="7">
        <v>24.27</v>
      </c>
      <c r="F1216" s="9">
        <v>6.2835749999999999</v>
      </c>
      <c r="G1216" s="11">
        <v>49.618480176211449</v>
      </c>
      <c r="I1216" s="28"/>
    </row>
    <row r="1217" spans="2:9" x14ac:dyDescent="0.35">
      <c r="B1217" s="4">
        <v>45114</v>
      </c>
      <c r="C1217" s="6" t="s">
        <v>7</v>
      </c>
      <c r="D12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7" s="7">
        <v>47.13</v>
      </c>
      <c r="F1217" s="9">
        <v>2.3941249999999998</v>
      </c>
      <c r="G1217" s="11">
        <v>52.523925652780548</v>
      </c>
      <c r="I1217" s="28"/>
    </row>
    <row r="1218" spans="2:9" x14ac:dyDescent="0.35">
      <c r="B1218" s="4">
        <v>45115</v>
      </c>
      <c r="C1218" s="6" t="s">
        <v>7</v>
      </c>
      <c r="D12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8" s="7">
        <v>22.76</v>
      </c>
      <c r="F1218" s="9">
        <v>0.60187500000000005</v>
      </c>
      <c r="G1218" s="11">
        <v>53.962987051792823</v>
      </c>
      <c r="I1218" s="28"/>
    </row>
    <row r="1219" spans="2:9" x14ac:dyDescent="0.35">
      <c r="B1219" s="4">
        <v>45117</v>
      </c>
      <c r="C1219" s="6" t="s">
        <v>7</v>
      </c>
      <c r="D12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19" s="7">
        <v>96.6</v>
      </c>
      <c r="F1219" s="9">
        <v>3.1056750000000002</v>
      </c>
      <c r="G1219" s="11">
        <v>52.326852955453461</v>
      </c>
      <c r="I1219" s="28"/>
    </row>
    <row r="1220" spans="2:9" x14ac:dyDescent="0.35">
      <c r="B1220" s="4">
        <v>45118</v>
      </c>
      <c r="C1220" s="6" t="s">
        <v>7</v>
      </c>
      <c r="D12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0" s="7">
        <v>48.38</v>
      </c>
      <c r="F1220" s="9">
        <v>4.1088000000000005</v>
      </c>
      <c r="G1220" s="11">
        <v>52.275237619808308</v>
      </c>
      <c r="I1220" s="28"/>
    </row>
    <row r="1221" spans="2:9" x14ac:dyDescent="0.35">
      <c r="B1221" s="4">
        <v>45119</v>
      </c>
      <c r="C1221" s="6" t="s">
        <v>7</v>
      </c>
      <c r="D12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1" s="7">
        <v>24.37</v>
      </c>
      <c r="F1221" s="9">
        <v>7.5809500000000005</v>
      </c>
      <c r="G1221" s="11">
        <v>49.770248546802961</v>
      </c>
      <c r="I1221" s="28"/>
    </row>
    <row r="1222" spans="2:9" x14ac:dyDescent="0.35">
      <c r="B1222" s="4">
        <v>45120</v>
      </c>
      <c r="C1222" s="6" t="s">
        <v>7</v>
      </c>
      <c r="D12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2" s="7">
        <v>49.18</v>
      </c>
      <c r="F1222" s="9">
        <v>2.2523500000000003</v>
      </c>
      <c r="G1222" s="11">
        <v>53.077513214715921</v>
      </c>
      <c r="I1222" s="28"/>
    </row>
    <row r="1223" spans="2:9" x14ac:dyDescent="0.35">
      <c r="B1223" s="4">
        <v>45121</v>
      </c>
      <c r="C1223" s="6" t="s">
        <v>7</v>
      </c>
      <c r="D12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3" s="7">
        <v>48.8</v>
      </c>
      <c r="F1223" s="9">
        <v>2.0704500000000001</v>
      </c>
      <c r="G1223" s="11">
        <v>52.462055067837191</v>
      </c>
      <c r="I1223" s="28"/>
    </row>
    <row r="1224" spans="2:9" x14ac:dyDescent="0.35">
      <c r="B1224" s="4">
        <v>45122</v>
      </c>
      <c r="C1224" s="6" t="s">
        <v>7</v>
      </c>
      <c r="D12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4" s="7">
        <v>24.21</v>
      </c>
      <c r="F1224" s="9">
        <v>8.4503250000000012</v>
      </c>
      <c r="G1224" s="11">
        <v>48.407256140350874</v>
      </c>
      <c r="I1224" s="28"/>
    </row>
    <row r="1225" spans="2:9" x14ac:dyDescent="0.35">
      <c r="B1225" s="4">
        <v>45123</v>
      </c>
      <c r="C1225" s="6" t="s">
        <v>7</v>
      </c>
      <c r="D12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5" s="7">
        <v>123.19</v>
      </c>
      <c r="F1225" s="9">
        <v>2.44</v>
      </c>
      <c r="G1225" s="11">
        <v>49.485052903440803</v>
      </c>
      <c r="I1225" s="28"/>
    </row>
    <row r="1226" spans="2:9" x14ac:dyDescent="0.35">
      <c r="B1226" s="4">
        <v>45155</v>
      </c>
      <c r="C1226" s="6" t="s">
        <v>7</v>
      </c>
      <c r="D12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6" s="7">
        <v>21.29</v>
      </c>
      <c r="F1226" s="9">
        <v>2.12</v>
      </c>
      <c r="G1226" s="11">
        <v>51.982329677633764</v>
      </c>
      <c r="I1226" s="28"/>
    </row>
    <row r="1227" spans="2:9" x14ac:dyDescent="0.35">
      <c r="B1227" s="4">
        <v>45160</v>
      </c>
      <c r="C1227" s="6" t="s">
        <v>7</v>
      </c>
      <c r="D12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7" s="7">
        <v>41.28</v>
      </c>
      <c r="F1227" s="9">
        <v>0.72</v>
      </c>
      <c r="G1227" s="11">
        <v>53.572308268798395</v>
      </c>
      <c r="I1227" s="28"/>
    </row>
    <row r="1228" spans="2:9" x14ac:dyDescent="0.35">
      <c r="B1228" s="4">
        <v>45161</v>
      </c>
      <c r="C1228" s="6" t="s">
        <v>7</v>
      </c>
      <c r="D12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8" s="7">
        <v>43.6</v>
      </c>
      <c r="F1228" s="9">
        <v>0.57999999999999996</v>
      </c>
      <c r="G1228" s="11">
        <v>53.606348862405191</v>
      </c>
      <c r="I1228" s="28"/>
    </row>
    <row r="1229" spans="2:9" x14ac:dyDescent="0.35">
      <c r="B1229" s="4">
        <v>45162</v>
      </c>
      <c r="C1229" s="6" t="s">
        <v>7</v>
      </c>
      <c r="D12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29" s="7">
        <v>43.12</v>
      </c>
      <c r="F1229" s="9">
        <v>0.3</v>
      </c>
      <c r="G1229" s="11">
        <v>54.240506234413964</v>
      </c>
      <c r="I1229" s="28"/>
    </row>
    <row r="1230" spans="2:9" x14ac:dyDescent="0.35">
      <c r="B1230" s="4">
        <v>45170</v>
      </c>
      <c r="C1230" s="6" t="s">
        <v>7</v>
      </c>
      <c r="D12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0" s="7">
        <v>68.239999999999995</v>
      </c>
      <c r="F1230" s="9">
        <v>3.94</v>
      </c>
      <c r="G1230" s="11">
        <v>52.217960630578027</v>
      </c>
      <c r="I1230" s="28"/>
    </row>
    <row r="1231" spans="2:9" x14ac:dyDescent="0.35">
      <c r="B1231" s="4">
        <v>45174</v>
      </c>
      <c r="C1231" s="6" t="s">
        <v>7</v>
      </c>
      <c r="D12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1" s="7">
        <v>20.43</v>
      </c>
      <c r="F1231" s="9">
        <v>1.94</v>
      </c>
      <c r="G1231" s="11">
        <v>52.606477935054123</v>
      </c>
      <c r="I1231" s="28"/>
    </row>
    <row r="1232" spans="2:9" x14ac:dyDescent="0.35">
      <c r="B1232" s="4">
        <v>45175</v>
      </c>
      <c r="C1232" s="6" t="s">
        <v>7</v>
      </c>
      <c r="D12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2" s="7">
        <v>41.91</v>
      </c>
      <c r="F1232" s="9">
        <v>1.51</v>
      </c>
      <c r="G1232" s="11">
        <v>53.475235279420332</v>
      </c>
      <c r="I1232" s="28"/>
    </row>
    <row r="1233" spans="2:9" x14ac:dyDescent="0.35">
      <c r="B1233" s="4">
        <v>45176</v>
      </c>
      <c r="C1233" s="6" t="s">
        <v>7</v>
      </c>
      <c r="D12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3" s="7">
        <v>42.65</v>
      </c>
      <c r="F1233" s="9">
        <v>2.9344750000000004</v>
      </c>
      <c r="G1233" s="11">
        <v>51.012443535031849</v>
      </c>
      <c r="I1233" s="28"/>
    </row>
    <row r="1234" spans="2:9" x14ac:dyDescent="0.35">
      <c r="B1234" s="4">
        <v>45181</v>
      </c>
      <c r="C1234" s="6" t="s">
        <v>7</v>
      </c>
      <c r="D12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4" s="7">
        <v>42.11</v>
      </c>
      <c r="F1234" s="9">
        <v>0.97</v>
      </c>
      <c r="G1234" s="11">
        <v>49.581728189317559</v>
      </c>
      <c r="I1234" s="28"/>
    </row>
    <row r="1235" spans="2:9" x14ac:dyDescent="0.35">
      <c r="B1235" s="4">
        <v>45187</v>
      </c>
      <c r="C1235" s="6" t="s">
        <v>7</v>
      </c>
      <c r="D12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5" s="7">
        <v>19.3</v>
      </c>
      <c r="F1235" s="9">
        <v>0.72</v>
      </c>
      <c r="G1235" s="11">
        <v>54.288527851458888</v>
      </c>
      <c r="I1235" s="28"/>
    </row>
    <row r="1236" spans="2:9" x14ac:dyDescent="0.35">
      <c r="B1236" s="4">
        <v>45192</v>
      </c>
      <c r="C1236" s="6" t="s">
        <v>7</v>
      </c>
      <c r="D12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6" s="7">
        <v>40.909999999999997</v>
      </c>
      <c r="F1236" s="9">
        <v>3.21</v>
      </c>
      <c r="G1236" s="11">
        <v>51.629538154281434</v>
      </c>
      <c r="I1236" s="28"/>
    </row>
    <row r="1237" spans="2:9" x14ac:dyDescent="0.35">
      <c r="B1237" s="4">
        <v>45108</v>
      </c>
      <c r="C1237" s="6" t="s">
        <v>3</v>
      </c>
      <c r="D12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7" s="7">
        <v>88.91</v>
      </c>
      <c r="F1237" s="9">
        <v>3.5122750000000003</v>
      </c>
      <c r="G1237" s="11">
        <v>51.159842312418498</v>
      </c>
      <c r="I1237" s="28"/>
    </row>
    <row r="1238" spans="2:9" x14ac:dyDescent="0.35">
      <c r="B1238" s="4">
        <v>45111</v>
      </c>
      <c r="C1238" s="6" t="s">
        <v>3</v>
      </c>
      <c r="D12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8" s="7">
        <v>68.97</v>
      </c>
      <c r="F1238" s="9">
        <v>2.5787000000000004</v>
      </c>
      <c r="G1238" s="11">
        <v>53.079772723880602</v>
      </c>
      <c r="I1238" s="28"/>
    </row>
    <row r="1239" spans="2:9" x14ac:dyDescent="0.35">
      <c r="B1239" s="4">
        <v>45112</v>
      </c>
      <c r="C1239" s="6" t="s">
        <v>3</v>
      </c>
      <c r="D12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39" s="7">
        <v>22.79</v>
      </c>
      <c r="F1239" s="9">
        <v>2.6830249999999998</v>
      </c>
      <c r="G1239" s="11">
        <v>52.360791195814649</v>
      </c>
      <c r="I1239" s="28"/>
    </row>
    <row r="1240" spans="2:9" x14ac:dyDescent="0.35">
      <c r="B1240" s="4">
        <v>45113</v>
      </c>
      <c r="C1240" s="6" t="s">
        <v>3</v>
      </c>
      <c r="D12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0" s="7">
        <v>64.33</v>
      </c>
      <c r="F1240" s="9">
        <v>2.996</v>
      </c>
      <c r="G1240" s="11">
        <v>52.604763995609218</v>
      </c>
      <c r="I1240" s="28"/>
    </row>
    <row r="1241" spans="2:9" x14ac:dyDescent="0.35">
      <c r="B1241" s="4">
        <v>45114</v>
      </c>
      <c r="C1241" s="6" t="s">
        <v>3</v>
      </c>
      <c r="D12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1" s="7">
        <v>66.16</v>
      </c>
      <c r="F1241" s="9">
        <v>2.6215000000000002</v>
      </c>
      <c r="G1241" s="11">
        <v>52.868973136006367</v>
      </c>
      <c r="I1241" s="28"/>
    </row>
    <row r="1242" spans="2:9" x14ac:dyDescent="0.35">
      <c r="B1242" s="4">
        <v>45118</v>
      </c>
      <c r="C1242" s="6" t="s">
        <v>3</v>
      </c>
      <c r="D12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2" s="7">
        <v>92.5</v>
      </c>
      <c r="F1242" s="9">
        <v>7.918000000000001</v>
      </c>
      <c r="G1242" s="11">
        <v>49.220423581622434</v>
      </c>
      <c r="I1242" s="28"/>
    </row>
    <row r="1243" spans="2:9" x14ac:dyDescent="0.35">
      <c r="B1243" s="4">
        <v>45119</v>
      </c>
      <c r="C1243" s="6" t="s">
        <v>3</v>
      </c>
      <c r="D12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3" s="7">
        <v>90.31</v>
      </c>
      <c r="F1243" s="9">
        <v>2.1934999999999998</v>
      </c>
      <c r="G1243" s="11">
        <v>52.885694402892355</v>
      </c>
      <c r="I1243" s="28"/>
    </row>
    <row r="1244" spans="2:9" x14ac:dyDescent="0.35">
      <c r="B1244" s="4">
        <v>45120</v>
      </c>
      <c r="C1244" s="6" t="s">
        <v>3</v>
      </c>
      <c r="D12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4" s="7">
        <v>87.62</v>
      </c>
      <c r="F1244" s="9">
        <v>4.4779499999999999</v>
      </c>
      <c r="G1244" s="11">
        <v>50.566610478032956</v>
      </c>
      <c r="I1244" s="28"/>
    </row>
    <row r="1245" spans="2:9" x14ac:dyDescent="0.35">
      <c r="B1245" s="4">
        <v>45121</v>
      </c>
      <c r="C1245" s="6" t="s">
        <v>3</v>
      </c>
      <c r="D12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5" s="7">
        <v>23.33</v>
      </c>
      <c r="F1245" s="9">
        <v>2.8007250000000004</v>
      </c>
      <c r="G1245" s="11">
        <v>52.200933906609336</v>
      </c>
      <c r="I1245" s="28"/>
    </row>
    <row r="1246" spans="2:9" x14ac:dyDescent="0.35">
      <c r="B1246" s="4">
        <v>45131</v>
      </c>
      <c r="C1246" s="6" t="s">
        <v>3</v>
      </c>
      <c r="D12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6" s="7">
        <v>88.56</v>
      </c>
      <c r="F1246" s="9">
        <v>3.0762500000000004</v>
      </c>
      <c r="G1246" s="11">
        <v>51.652057584138205</v>
      </c>
      <c r="I1246" s="28"/>
    </row>
    <row r="1247" spans="2:9" x14ac:dyDescent="0.35">
      <c r="B1247" s="4">
        <v>45132</v>
      </c>
      <c r="C1247" s="6" t="s">
        <v>3</v>
      </c>
      <c r="D12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7" s="7">
        <v>70.31</v>
      </c>
      <c r="F1247" s="9">
        <v>2.8274750000000002</v>
      </c>
      <c r="G1247" s="11">
        <v>52.694542083458344</v>
      </c>
      <c r="I1247" s="28"/>
    </row>
    <row r="1248" spans="2:9" x14ac:dyDescent="0.35">
      <c r="B1248" s="4">
        <v>45133</v>
      </c>
      <c r="C1248" s="6" t="s">
        <v>3</v>
      </c>
      <c r="D12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8" s="7">
        <v>43.52</v>
      </c>
      <c r="F1248" s="9">
        <v>4.6304249999999998</v>
      </c>
      <c r="G1248" s="11">
        <v>51.875065774035576</v>
      </c>
      <c r="I1248" s="28"/>
    </row>
    <row r="1249" spans="2:9" x14ac:dyDescent="0.35">
      <c r="B1249" s="4">
        <v>45134</v>
      </c>
      <c r="C1249" s="6" t="s">
        <v>3</v>
      </c>
      <c r="D12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49" s="7">
        <v>89.5</v>
      </c>
      <c r="F1249" s="9">
        <v>2.501125</v>
      </c>
      <c r="G1249" s="11">
        <v>52.103540651563748</v>
      </c>
      <c r="I1249" s="28"/>
    </row>
    <row r="1250" spans="2:9" x14ac:dyDescent="0.35">
      <c r="B1250" s="4">
        <v>45135</v>
      </c>
      <c r="C1250" s="6" t="s">
        <v>3</v>
      </c>
      <c r="D12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0" s="7">
        <v>90.36</v>
      </c>
      <c r="F1250" s="9">
        <v>3.9937750000000003</v>
      </c>
      <c r="G1250" s="11">
        <v>51.221140603828424</v>
      </c>
      <c r="I1250" s="28"/>
    </row>
    <row r="1251" spans="2:9" x14ac:dyDescent="0.35">
      <c r="B1251" s="4">
        <v>45136</v>
      </c>
      <c r="C1251" s="6" t="s">
        <v>3</v>
      </c>
      <c r="D12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1" s="7">
        <v>22.04</v>
      </c>
      <c r="F1251" s="9">
        <v>2.0299999999999998</v>
      </c>
      <c r="G1251" s="11">
        <v>53.084009174311923</v>
      </c>
      <c r="I1251" s="28"/>
    </row>
    <row r="1252" spans="2:9" x14ac:dyDescent="0.35">
      <c r="B1252" s="4">
        <v>45138</v>
      </c>
      <c r="C1252" s="6" t="s">
        <v>3</v>
      </c>
      <c r="D12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2" s="7">
        <v>69.69</v>
      </c>
      <c r="F1252" s="9">
        <v>2.2630500000000002</v>
      </c>
      <c r="G1252" s="11">
        <v>52.060987226270086</v>
      </c>
      <c r="I1252" s="28"/>
    </row>
    <row r="1253" spans="2:9" x14ac:dyDescent="0.35">
      <c r="B1253" s="4">
        <v>45139</v>
      </c>
      <c r="C1253" s="6" t="s">
        <v>3</v>
      </c>
      <c r="D12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3" s="7">
        <v>47.08</v>
      </c>
      <c r="F1253" s="9">
        <v>2.3834250000000003</v>
      </c>
      <c r="G1253" s="11">
        <v>53.174701663090133</v>
      </c>
      <c r="I1253" s="28"/>
    </row>
    <row r="1254" spans="2:9" x14ac:dyDescent="0.35">
      <c r="B1254" s="4">
        <v>45142</v>
      </c>
      <c r="C1254" s="6" t="s">
        <v>3</v>
      </c>
      <c r="D12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4" s="7">
        <v>68.569999999999993</v>
      </c>
      <c r="F1254" s="9">
        <v>1.93</v>
      </c>
      <c r="G1254" s="11">
        <v>52.774091889202182</v>
      </c>
      <c r="I1254" s="28"/>
    </row>
    <row r="1255" spans="2:9" x14ac:dyDescent="0.35">
      <c r="B1255" s="4">
        <v>45152</v>
      </c>
      <c r="C1255" s="6" t="s">
        <v>3</v>
      </c>
      <c r="D12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5" s="7">
        <v>66.47</v>
      </c>
      <c r="F1255" s="9">
        <v>4.33</v>
      </c>
      <c r="G1255" s="11">
        <v>51.739818212002987</v>
      </c>
      <c r="I1255" s="28"/>
    </row>
    <row r="1256" spans="2:9" x14ac:dyDescent="0.35">
      <c r="B1256" s="4">
        <v>45153</v>
      </c>
      <c r="C1256" s="6" t="s">
        <v>3</v>
      </c>
      <c r="D12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6" s="7">
        <v>93.17</v>
      </c>
      <c r="F1256" s="9">
        <v>3.13</v>
      </c>
      <c r="G1256" s="11">
        <v>51.853238603216937</v>
      </c>
      <c r="I1256" s="28"/>
    </row>
    <row r="1257" spans="2:9" x14ac:dyDescent="0.35">
      <c r="B1257" s="4">
        <v>45154</v>
      </c>
      <c r="C1257" s="6" t="s">
        <v>3</v>
      </c>
      <c r="D12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7" s="7">
        <v>24</v>
      </c>
      <c r="F1257" s="9">
        <v>3.39</v>
      </c>
      <c r="G1257" s="11">
        <v>52.093272848343595</v>
      </c>
      <c r="I1257" s="28"/>
    </row>
    <row r="1258" spans="2:9" x14ac:dyDescent="0.35">
      <c r="B1258" s="4">
        <v>45155</v>
      </c>
      <c r="C1258" s="6" t="s">
        <v>3</v>
      </c>
      <c r="D12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8" s="7">
        <v>45.51</v>
      </c>
      <c r="F1258" s="9">
        <v>1.48</v>
      </c>
      <c r="G1258" s="11">
        <v>53.706097195639508</v>
      </c>
      <c r="I1258" s="28"/>
    </row>
    <row r="1259" spans="2:9" x14ac:dyDescent="0.35">
      <c r="B1259" s="4">
        <v>45161</v>
      </c>
      <c r="C1259" s="6" t="s">
        <v>3</v>
      </c>
      <c r="D12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59" s="7">
        <v>72.12</v>
      </c>
      <c r="F1259" s="9">
        <v>1.79</v>
      </c>
      <c r="G1259" s="11">
        <v>53.737209225153478</v>
      </c>
      <c r="I1259" s="28"/>
    </row>
    <row r="1260" spans="2:9" x14ac:dyDescent="0.35">
      <c r="B1260" s="4">
        <v>45162</v>
      </c>
      <c r="C1260" s="6" t="s">
        <v>3</v>
      </c>
      <c r="D12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0" s="7">
        <v>84.9</v>
      </c>
      <c r="F1260" s="9">
        <v>1.51</v>
      </c>
      <c r="G1260" s="11">
        <v>53.537659468023008</v>
      </c>
      <c r="I1260" s="28"/>
    </row>
    <row r="1261" spans="2:9" x14ac:dyDescent="0.35">
      <c r="B1261" s="4">
        <v>45164</v>
      </c>
      <c r="C1261" s="6" t="s">
        <v>3</v>
      </c>
      <c r="D12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1" s="7">
        <v>21.97</v>
      </c>
      <c r="F1261" s="9">
        <v>1.79</v>
      </c>
      <c r="G1261" s="11">
        <v>53.34352626743506</v>
      </c>
      <c r="I1261" s="28"/>
    </row>
    <row r="1262" spans="2:9" x14ac:dyDescent="0.35">
      <c r="B1262" s="4">
        <v>45167</v>
      </c>
      <c r="C1262" s="6" t="s">
        <v>3</v>
      </c>
      <c r="D12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2" s="7">
        <v>43</v>
      </c>
      <c r="F1262" s="9">
        <v>1.69</v>
      </c>
      <c r="G1262" s="11">
        <v>53.000620580650526</v>
      </c>
      <c r="I1262" s="28"/>
    </row>
    <row r="1263" spans="2:9" x14ac:dyDescent="0.35">
      <c r="B1263" s="4">
        <v>45168</v>
      </c>
      <c r="C1263" s="6" t="s">
        <v>3</v>
      </c>
      <c r="D12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3" s="7">
        <v>23.65</v>
      </c>
      <c r="F1263" s="9">
        <v>9.3800000000000008</v>
      </c>
      <c r="G1263" s="11">
        <v>47.266869275603661</v>
      </c>
      <c r="I1263" s="28"/>
    </row>
    <row r="1264" spans="2:9" x14ac:dyDescent="0.35">
      <c r="B1264" s="4">
        <v>45169</v>
      </c>
      <c r="C1264" s="6" t="s">
        <v>3</v>
      </c>
      <c r="D12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4" s="7">
        <v>66.239999999999995</v>
      </c>
      <c r="F1264" s="9">
        <v>5.44</v>
      </c>
      <c r="G1264" s="11">
        <v>49.254686512556127</v>
      </c>
      <c r="I1264" s="28"/>
    </row>
    <row r="1265" spans="2:9" x14ac:dyDescent="0.35">
      <c r="B1265" s="4">
        <v>45170</v>
      </c>
      <c r="C1265" s="6" t="s">
        <v>3</v>
      </c>
      <c r="D12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5" s="7">
        <v>151.19999999999999</v>
      </c>
      <c r="F1265" s="9">
        <v>3.98</v>
      </c>
      <c r="G1265" s="11">
        <v>51.896298950174959</v>
      </c>
      <c r="I1265" s="28"/>
    </row>
    <row r="1266" spans="2:9" x14ac:dyDescent="0.35">
      <c r="B1266" s="4">
        <v>45173</v>
      </c>
      <c r="C1266" s="6" t="s">
        <v>3</v>
      </c>
      <c r="D12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6" s="7">
        <v>45.23</v>
      </c>
      <c r="F1266" s="9">
        <v>4.1500000000000004</v>
      </c>
      <c r="G1266" s="11">
        <v>49.087816245006664</v>
      </c>
      <c r="I1266" s="28"/>
    </row>
    <row r="1267" spans="2:9" x14ac:dyDescent="0.35">
      <c r="B1267" s="4">
        <v>45174</v>
      </c>
      <c r="C1267" s="6" t="s">
        <v>3</v>
      </c>
      <c r="D12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7" s="7">
        <v>65.44</v>
      </c>
      <c r="F1267" s="9">
        <v>2.86</v>
      </c>
      <c r="G1267" s="11">
        <v>52.258312362692223</v>
      </c>
      <c r="I1267" s="28"/>
    </row>
    <row r="1268" spans="2:9" x14ac:dyDescent="0.35">
      <c r="B1268" s="4">
        <v>45175</v>
      </c>
      <c r="C1268" s="6" t="s">
        <v>3</v>
      </c>
      <c r="D12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8" s="7">
        <v>45.22</v>
      </c>
      <c r="F1268" s="9">
        <v>2.17</v>
      </c>
      <c r="G1268" s="11">
        <v>52.852284856571039</v>
      </c>
      <c r="I1268" s="28"/>
    </row>
    <row r="1269" spans="2:9" x14ac:dyDescent="0.35">
      <c r="B1269" s="4">
        <v>45176</v>
      </c>
      <c r="C1269" s="6" t="s">
        <v>3</v>
      </c>
      <c r="D12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69" s="7">
        <v>62.58</v>
      </c>
      <c r="F1269" s="9">
        <v>29.13</v>
      </c>
      <c r="G1269" s="11">
        <v>31.863056157307113</v>
      </c>
      <c r="I1269" s="28"/>
    </row>
    <row r="1270" spans="2:9" x14ac:dyDescent="0.35">
      <c r="B1270" s="4">
        <v>45177</v>
      </c>
      <c r="C1270" s="6" t="s">
        <v>3</v>
      </c>
      <c r="D12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0" s="7">
        <v>67.489999999999995</v>
      </c>
      <c r="F1270" s="9">
        <v>4.0472750000000008</v>
      </c>
      <c r="G1270" s="11">
        <v>52.328156493231809</v>
      </c>
      <c r="I1270" s="28"/>
    </row>
    <row r="1271" spans="2:9" x14ac:dyDescent="0.35">
      <c r="B1271" s="4">
        <v>45178</v>
      </c>
      <c r="C1271" s="6" t="s">
        <v>3</v>
      </c>
      <c r="D12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1" s="7">
        <v>41.29</v>
      </c>
      <c r="F1271" s="9">
        <v>5.78</v>
      </c>
      <c r="G1271" s="11">
        <v>49.577210435069759</v>
      </c>
      <c r="I1271" s="28"/>
    </row>
    <row r="1272" spans="2:9" x14ac:dyDescent="0.35">
      <c r="B1272" s="4">
        <v>45180</v>
      </c>
      <c r="C1272" s="6" t="s">
        <v>3</v>
      </c>
      <c r="D12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2" s="7">
        <v>87.7</v>
      </c>
      <c r="F1272" s="9">
        <v>2.02</v>
      </c>
      <c r="G1272" s="11">
        <v>53.562282789613846</v>
      </c>
      <c r="I1272" s="28"/>
    </row>
    <row r="1273" spans="2:9" x14ac:dyDescent="0.35">
      <c r="B1273" s="4">
        <v>45181</v>
      </c>
      <c r="C1273" s="6" t="s">
        <v>3</v>
      </c>
      <c r="D12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3" s="7">
        <v>67.599999999999994</v>
      </c>
      <c r="F1273" s="9">
        <v>1.32</v>
      </c>
      <c r="G1273" s="11">
        <v>53.995584491222232</v>
      </c>
      <c r="I1273" s="28"/>
    </row>
    <row r="1274" spans="2:9" x14ac:dyDescent="0.35">
      <c r="B1274" s="4">
        <v>45182</v>
      </c>
      <c r="C1274" s="6" t="s">
        <v>3</v>
      </c>
      <c r="D12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4" s="7">
        <v>66.7</v>
      </c>
      <c r="F1274" s="9">
        <v>3.26</v>
      </c>
      <c r="G1274" s="11">
        <v>51.996396066010995</v>
      </c>
      <c r="I1274" s="28"/>
    </row>
    <row r="1275" spans="2:9" x14ac:dyDescent="0.35">
      <c r="B1275" s="4">
        <v>45183</v>
      </c>
      <c r="C1275" s="6" t="s">
        <v>3</v>
      </c>
      <c r="D12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5" s="7">
        <v>66.23</v>
      </c>
      <c r="F1275" s="9">
        <v>3</v>
      </c>
      <c r="G1275" s="11">
        <v>51.610871369294607</v>
      </c>
      <c r="I1275" s="28"/>
    </row>
    <row r="1276" spans="2:9" x14ac:dyDescent="0.35">
      <c r="B1276" s="4">
        <v>45184</v>
      </c>
      <c r="C1276" s="6" t="s">
        <v>3</v>
      </c>
      <c r="D12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6" s="7">
        <v>21</v>
      </c>
      <c r="F1276" s="9">
        <v>2.96</v>
      </c>
      <c r="G1276" s="11">
        <v>51.954891592188012</v>
      </c>
      <c r="I1276" s="28"/>
    </row>
    <row r="1277" spans="2:9" x14ac:dyDescent="0.35">
      <c r="B1277" s="4">
        <v>45185</v>
      </c>
      <c r="C1277" s="6" t="s">
        <v>3</v>
      </c>
      <c r="D12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7" s="7">
        <v>20.8</v>
      </c>
      <c r="F1277" s="9">
        <v>3.08</v>
      </c>
      <c r="G1277" s="11">
        <v>52.881129112662009</v>
      </c>
      <c r="I1277" s="28"/>
    </row>
    <row r="1278" spans="2:9" x14ac:dyDescent="0.35">
      <c r="B1278" s="4">
        <v>45187</v>
      </c>
      <c r="C1278" s="6" t="s">
        <v>3</v>
      </c>
      <c r="D12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8" s="7">
        <v>66.48</v>
      </c>
      <c r="F1278" s="9">
        <v>3.9</v>
      </c>
      <c r="G1278" s="11">
        <v>51.65550817223928</v>
      </c>
      <c r="I1278" s="28"/>
    </row>
    <row r="1279" spans="2:9" x14ac:dyDescent="0.35">
      <c r="B1279" s="4">
        <v>45188</v>
      </c>
      <c r="C1279" s="6" t="s">
        <v>3</v>
      </c>
      <c r="D12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79" s="7">
        <v>23.13</v>
      </c>
      <c r="F1279" s="9">
        <v>4.0599999999999996</v>
      </c>
      <c r="G1279" s="11">
        <v>51.852554108964256</v>
      </c>
      <c r="I1279" s="28"/>
    </row>
    <row r="1280" spans="2:9" x14ac:dyDescent="0.35">
      <c r="B1280" s="4">
        <v>45189</v>
      </c>
      <c r="C1280" s="6" t="s">
        <v>3</v>
      </c>
      <c r="D12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80" s="7">
        <v>63.7</v>
      </c>
      <c r="F1280" s="9">
        <v>3.12</v>
      </c>
      <c r="G1280" s="11">
        <v>52.74647200732052</v>
      </c>
      <c r="I1280" s="28"/>
    </row>
    <row r="1281" spans="2:9" x14ac:dyDescent="0.35">
      <c r="B1281" s="4">
        <v>45190</v>
      </c>
      <c r="C1281" s="6" t="s">
        <v>3</v>
      </c>
      <c r="D12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81" s="7">
        <v>45.3</v>
      </c>
      <c r="F1281" s="9">
        <v>15.79</v>
      </c>
      <c r="G1281" s="11">
        <v>42.781003344481604</v>
      </c>
      <c r="I1281" s="28"/>
    </row>
    <row r="1282" spans="2:9" x14ac:dyDescent="0.35">
      <c r="B1282" s="4">
        <v>45191</v>
      </c>
      <c r="C1282" s="6" t="s">
        <v>3</v>
      </c>
      <c r="D12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82" s="7">
        <v>43</v>
      </c>
      <c r="F1282" s="9">
        <v>4.3899999999999997</v>
      </c>
      <c r="G1282" s="11">
        <v>49.926256760129796</v>
      </c>
      <c r="I1282" s="28"/>
    </row>
    <row r="1283" spans="2:9" x14ac:dyDescent="0.35">
      <c r="B1283" s="4">
        <v>45194</v>
      </c>
      <c r="C1283" s="6" t="s">
        <v>3</v>
      </c>
      <c r="D12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83" s="7">
        <v>63.34</v>
      </c>
      <c r="F1283" s="9">
        <v>2.56</v>
      </c>
      <c r="G1283" s="11">
        <v>51.829925187032416</v>
      </c>
      <c r="I1283" s="28"/>
    </row>
    <row r="1284" spans="2:9" x14ac:dyDescent="0.35">
      <c r="B1284" s="4">
        <v>45195</v>
      </c>
      <c r="C1284" s="6" t="s">
        <v>3</v>
      </c>
      <c r="D12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84" s="7">
        <v>20.63</v>
      </c>
      <c r="F1284" s="9">
        <v>2.71</v>
      </c>
      <c r="G1284" s="11">
        <v>52.759488990444538</v>
      </c>
      <c r="I1284" s="28"/>
    </row>
    <row r="1285" spans="2:9" x14ac:dyDescent="0.35">
      <c r="B1285" s="4">
        <v>45196</v>
      </c>
      <c r="C1285" s="6" t="s">
        <v>3</v>
      </c>
      <c r="D12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85" s="7">
        <v>91.48</v>
      </c>
      <c r="F1285" s="9">
        <v>3.93</v>
      </c>
      <c r="G1285" s="11">
        <v>51.642573769121455</v>
      </c>
      <c r="I1285" s="28"/>
    </row>
    <row r="1286" spans="2:9" x14ac:dyDescent="0.35">
      <c r="B1286" s="4">
        <v>45197</v>
      </c>
      <c r="C1286" s="6" t="s">
        <v>3</v>
      </c>
      <c r="D12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86" s="7">
        <v>88.6</v>
      </c>
      <c r="F1286" s="9">
        <v>3.9</v>
      </c>
      <c r="G1286" s="11">
        <v>51.960464767616195</v>
      </c>
      <c r="I1286" s="28"/>
    </row>
    <row r="1287" spans="2:9" x14ac:dyDescent="0.35">
      <c r="B1287" s="4">
        <v>45198</v>
      </c>
      <c r="C1287" s="6" t="s">
        <v>3</v>
      </c>
      <c r="D12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87" s="7">
        <v>86.65</v>
      </c>
      <c r="F1287" s="9">
        <v>4.4400000000000004</v>
      </c>
      <c r="G1287" s="11">
        <v>51.570151641393096</v>
      </c>
      <c r="I1287" s="28"/>
    </row>
    <row r="1288" spans="2:9" x14ac:dyDescent="0.35">
      <c r="B1288" s="4">
        <v>45112</v>
      </c>
      <c r="C1288" s="1" t="s">
        <v>4</v>
      </c>
      <c r="D1288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288" s="7">
        <v>98.41</v>
      </c>
      <c r="F1288" s="9">
        <v>1.88855</v>
      </c>
      <c r="G1288" s="11">
        <v>53.080180932055747</v>
      </c>
      <c r="I1288" s="28"/>
    </row>
    <row r="1289" spans="2:9" x14ac:dyDescent="0.35">
      <c r="B1289" s="4">
        <v>45114</v>
      </c>
      <c r="C1289" s="1" t="s">
        <v>4</v>
      </c>
      <c r="D1289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289" s="7">
        <v>74.36</v>
      </c>
      <c r="F1289" s="9">
        <v>2.3272499999999998</v>
      </c>
      <c r="G1289" s="11">
        <v>53.219564338220628</v>
      </c>
      <c r="I1289" s="28"/>
    </row>
    <row r="1290" spans="2:9" x14ac:dyDescent="0.35">
      <c r="B1290" s="4">
        <v>45120</v>
      </c>
      <c r="C1290" s="1" t="s">
        <v>4</v>
      </c>
      <c r="D1290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290" s="7">
        <v>76.040000000000006</v>
      </c>
      <c r="F1290" s="9">
        <v>2.2871250000000005</v>
      </c>
      <c r="G1290" s="11">
        <v>52.95487049338147</v>
      </c>
      <c r="I1290" s="28"/>
    </row>
    <row r="1291" spans="2:9" x14ac:dyDescent="0.35">
      <c r="B1291" s="4">
        <v>45121</v>
      </c>
      <c r="C1291" s="1" t="s">
        <v>4</v>
      </c>
      <c r="D1291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291" s="7">
        <v>75.680000000000007</v>
      </c>
      <c r="F1291" s="9">
        <v>4.6036750000000008</v>
      </c>
      <c r="G1291" s="11">
        <v>50.581339482654897</v>
      </c>
      <c r="I1291" s="28"/>
    </row>
    <row r="1292" spans="2:9" x14ac:dyDescent="0.35">
      <c r="B1292" s="4">
        <v>45128</v>
      </c>
      <c r="C1292" s="1" t="s">
        <v>4</v>
      </c>
      <c r="D1292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292" s="7">
        <v>23.68</v>
      </c>
      <c r="F1292" s="9">
        <v>3.1431250000000004</v>
      </c>
      <c r="G1292" s="11">
        <v>52.93223298427359</v>
      </c>
      <c r="I1292" s="28"/>
    </row>
    <row r="1293" spans="2:9" x14ac:dyDescent="0.35">
      <c r="B1293" s="4">
        <v>45129</v>
      </c>
      <c r="C1293" s="1" t="s">
        <v>4</v>
      </c>
      <c r="D1293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293" s="7">
        <v>256.75</v>
      </c>
      <c r="F1293" s="9">
        <v>2.5305500000000003</v>
      </c>
      <c r="G1293" s="11">
        <v>52.213659634036595</v>
      </c>
      <c r="I1293" s="28"/>
    </row>
    <row r="1294" spans="2:9" x14ac:dyDescent="0.35">
      <c r="B1294" s="4">
        <v>45131</v>
      </c>
      <c r="C1294" s="1" t="s">
        <v>4</v>
      </c>
      <c r="D1294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294" s="7">
        <v>73.459999999999994</v>
      </c>
      <c r="F1294" s="9">
        <v>2.6589499999999999</v>
      </c>
      <c r="G1294" s="11">
        <v>53.006878815170616</v>
      </c>
      <c r="I1294" s="28"/>
    </row>
    <row r="1295" spans="2:9" x14ac:dyDescent="0.35">
      <c r="B1295" s="4">
        <v>45109</v>
      </c>
      <c r="C1295" s="6" t="s">
        <v>5</v>
      </c>
      <c r="D12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95" s="7">
        <v>96.48</v>
      </c>
      <c r="F1295" s="9">
        <v>0.50824999999999998</v>
      </c>
      <c r="G1295" s="11">
        <v>54.381993467757987</v>
      </c>
      <c r="I1295" s="28"/>
    </row>
    <row r="1296" spans="2:9" x14ac:dyDescent="0.35">
      <c r="B1296" s="4">
        <v>45112</v>
      </c>
      <c r="C1296" s="6" t="s">
        <v>5</v>
      </c>
      <c r="D12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96" s="7">
        <v>131.87</v>
      </c>
      <c r="F1296" s="9">
        <v>0.87204999999999999</v>
      </c>
      <c r="G1296" s="11">
        <v>53.816349044585984</v>
      </c>
      <c r="I1296" s="28"/>
    </row>
    <row r="1297" spans="2:9" x14ac:dyDescent="0.35">
      <c r="B1297" s="4">
        <v>45114</v>
      </c>
      <c r="C1297" s="6" t="s">
        <v>5</v>
      </c>
      <c r="D12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97" s="7">
        <v>263.35000000000002</v>
      </c>
      <c r="F1297" s="9">
        <v>0.98975000000000013</v>
      </c>
      <c r="G1297" s="11">
        <v>53.51441889360639</v>
      </c>
      <c r="I1297" s="28"/>
    </row>
    <row r="1298" spans="2:9" x14ac:dyDescent="0.35">
      <c r="B1298" s="4">
        <v>45117</v>
      </c>
      <c r="C1298" s="6" t="s">
        <v>5</v>
      </c>
      <c r="D12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98" s="7">
        <v>102.03</v>
      </c>
      <c r="F1298" s="9">
        <v>0.10432500000000001</v>
      </c>
      <c r="G1298" s="11">
        <v>55.217093927145712</v>
      </c>
      <c r="I1298" s="28"/>
    </row>
    <row r="1299" spans="2:9" x14ac:dyDescent="0.35">
      <c r="B1299" s="4">
        <v>45119</v>
      </c>
      <c r="C1299" s="6" t="s">
        <v>5</v>
      </c>
      <c r="D12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299" s="7">
        <v>32.950000000000003</v>
      </c>
      <c r="F1299" s="9">
        <v>0.67677500000000002</v>
      </c>
      <c r="G1299" s="11">
        <v>54.18159037666468</v>
      </c>
      <c r="I1299" s="28"/>
    </row>
    <row r="1300" spans="2:9" x14ac:dyDescent="0.35">
      <c r="B1300" s="4">
        <v>45120</v>
      </c>
      <c r="C1300" s="6" t="s">
        <v>5</v>
      </c>
      <c r="D13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0" s="7">
        <v>33.79</v>
      </c>
      <c r="F1300" s="9">
        <v>0.50290000000000001</v>
      </c>
      <c r="G1300" s="11">
        <v>54.466422082789435</v>
      </c>
      <c r="I1300" s="28"/>
    </row>
    <row r="1301" spans="2:9" x14ac:dyDescent="0.35">
      <c r="B1301" s="4">
        <v>45122</v>
      </c>
      <c r="C1301" s="6" t="s">
        <v>5</v>
      </c>
      <c r="D13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1" s="7">
        <v>100.63</v>
      </c>
      <c r="F1301" s="9">
        <v>0.2782</v>
      </c>
      <c r="G1301" s="11">
        <v>54.662187331882322</v>
      </c>
      <c r="I1301" s="28"/>
    </row>
    <row r="1302" spans="2:9" x14ac:dyDescent="0.35">
      <c r="B1302" s="4">
        <v>45124</v>
      </c>
      <c r="C1302" s="6" t="s">
        <v>5</v>
      </c>
      <c r="D13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2" s="7">
        <v>69.12</v>
      </c>
      <c r="F1302" s="9">
        <v>0.27552500000000002</v>
      </c>
      <c r="G1302" s="11">
        <v>53.77305675758182</v>
      </c>
      <c r="I1302" s="28"/>
    </row>
    <row r="1303" spans="2:9" x14ac:dyDescent="0.35">
      <c r="B1303" s="4">
        <v>45125</v>
      </c>
      <c r="C1303" s="6" t="s">
        <v>5</v>
      </c>
      <c r="D13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3" s="7">
        <v>35.57</v>
      </c>
      <c r="F1303" s="9">
        <v>0.35845000000000005</v>
      </c>
      <c r="G1303" s="11">
        <v>54.035532374862903</v>
      </c>
      <c r="I1303" s="28"/>
    </row>
    <row r="1304" spans="2:9" x14ac:dyDescent="0.35">
      <c r="B1304" s="4">
        <v>45128</v>
      </c>
      <c r="C1304" s="6" t="s">
        <v>5</v>
      </c>
      <c r="D13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4" s="7">
        <v>33.43</v>
      </c>
      <c r="F1304" s="9">
        <v>0.72492500000000004</v>
      </c>
      <c r="G1304" s="11">
        <v>54.501276131160651</v>
      </c>
      <c r="I1304" s="28"/>
    </row>
    <row r="1305" spans="2:9" x14ac:dyDescent="0.35">
      <c r="B1305" s="4">
        <v>45129</v>
      </c>
      <c r="C1305" s="6" t="s">
        <v>5</v>
      </c>
      <c r="D13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5" s="7">
        <v>31.88</v>
      </c>
      <c r="F1305" s="9">
        <v>0.51627500000000004</v>
      </c>
      <c r="G1305" s="11">
        <v>54.241874478633761</v>
      </c>
      <c r="I1305" s="28"/>
    </row>
    <row r="1306" spans="2:9" x14ac:dyDescent="0.35">
      <c r="B1306" s="4">
        <v>45133</v>
      </c>
      <c r="C1306" s="6" t="s">
        <v>5</v>
      </c>
      <c r="D13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6" s="7">
        <v>132.35</v>
      </c>
      <c r="F1306" s="9">
        <v>0.81855000000000011</v>
      </c>
      <c r="G1306" s="11">
        <v>53.134709596113495</v>
      </c>
      <c r="I1306" s="28"/>
    </row>
    <row r="1307" spans="2:9" x14ac:dyDescent="0.35">
      <c r="B1307" s="4">
        <v>45135</v>
      </c>
      <c r="C1307" s="6" t="s">
        <v>5</v>
      </c>
      <c r="D13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7" s="7">
        <v>133.78</v>
      </c>
      <c r="F1307" s="9">
        <v>0.44137500000000002</v>
      </c>
      <c r="G1307" s="11">
        <v>53.86989231229434</v>
      </c>
      <c r="I1307" s="28"/>
    </row>
    <row r="1308" spans="2:9" x14ac:dyDescent="0.35">
      <c r="B1308" s="4">
        <v>45141</v>
      </c>
      <c r="C1308" s="6" t="s">
        <v>5</v>
      </c>
      <c r="D13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8" s="7">
        <v>101.38</v>
      </c>
      <c r="F1308" s="9">
        <v>0.49755000000000005</v>
      </c>
      <c r="G1308" s="11">
        <v>54.411707122165616</v>
      </c>
      <c r="I1308" s="28"/>
    </row>
    <row r="1309" spans="2:9" x14ac:dyDescent="0.35">
      <c r="B1309" s="4">
        <v>45150</v>
      </c>
      <c r="C1309" s="6" t="s">
        <v>5</v>
      </c>
      <c r="D13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09" s="7">
        <v>35.94</v>
      </c>
      <c r="F1309" s="9">
        <v>11.39</v>
      </c>
      <c r="G1309" s="11">
        <v>46.655774483677547</v>
      </c>
      <c r="I1309" s="28"/>
    </row>
    <row r="1310" spans="2:9" x14ac:dyDescent="0.35">
      <c r="B1310" s="4">
        <v>45152</v>
      </c>
      <c r="C1310" s="6" t="s">
        <v>5</v>
      </c>
      <c r="D13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0" s="7">
        <v>68.37</v>
      </c>
      <c r="F1310" s="9">
        <v>0.63</v>
      </c>
      <c r="G1310" s="11">
        <v>53.523291770573564</v>
      </c>
      <c r="I1310" s="28"/>
    </row>
    <row r="1311" spans="2:9" x14ac:dyDescent="0.35">
      <c r="B1311" s="4">
        <v>45154</v>
      </c>
      <c r="C1311" s="6" t="s">
        <v>5</v>
      </c>
      <c r="D13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1" s="7">
        <v>69.33</v>
      </c>
      <c r="F1311" s="9">
        <v>0.1</v>
      </c>
      <c r="G1311" s="11">
        <v>54.398333333333333</v>
      </c>
      <c r="I1311" s="28"/>
    </row>
    <row r="1312" spans="2:9" x14ac:dyDescent="0.35">
      <c r="B1312" s="4">
        <v>45155</v>
      </c>
      <c r="C1312" s="6" t="s">
        <v>5</v>
      </c>
      <c r="D13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2" s="7">
        <v>67.62</v>
      </c>
      <c r="F1312" s="9">
        <v>2.0099999999999998</v>
      </c>
      <c r="G1312" s="11">
        <v>53.080440502956115</v>
      </c>
      <c r="I1312" s="28"/>
    </row>
    <row r="1313" spans="2:9" x14ac:dyDescent="0.35">
      <c r="B1313" s="4">
        <v>45156</v>
      </c>
      <c r="C1313" s="6" t="s">
        <v>5</v>
      </c>
      <c r="D13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3" s="7">
        <v>69.34</v>
      </c>
      <c r="F1313" s="9">
        <v>0.28000000000000003</v>
      </c>
      <c r="G1313" s="11">
        <v>54.777800733088974</v>
      </c>
      <c r="I1313" s="28"/>
    </row>
    <row r="1314" spans="2:9" x14ac:dyDescent="0.35">
      <c r="B1314" s="4">
        <v>45160</v>
      </c>
      <c r="C1314" s="6" t="s">
        <v>5</v>
      </c>
      <c r="D13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4" s="7">
        <v>142.07</v>
      </c>
      <c r="F1314" s="9">
        <v>0.08</v>
      </c>
      <c r="G1314" s="11">
        <v>53.974887892376678</v>
      </c>
      <c r="I1314" s="28"/>
    </row>
    <row r="1315" spans="2:9" x14ac:dyDescent="0.35">
      <c r="B1315" s="4">
        <v>45163</v>
      </c>
      <c r="C1315" s="6" t="s">
        <v>5</v>
      </c>
      <c r="D13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5" s="7">
        <v>142.49</v>
      </c>
      <c r="F1315" s="9">
        <v>1.45</v>
      </c>
      <c r="G1315" s="11">
        <v>53.916177966808441</v>
      </c>
      <c r="I1315" s="28"/>
    </row>
    <row r="1316" spans="2:9" x14ac:dyDescent="0.35">
      <c r="B1316" s="4">
        <v>45167</v>
      </c>
      <c r="C1316" s="6" t="s">
        <v>5</v>
      </c>
      <c r="D13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6" s="7">
        <v>140.79</v>
      </c>
      <c r="F1316" s="9">
        <v>0</v>
      </c>
      <c r="G1316" s="11">
        <v>55.304068919814441</v>
      </c>
      <c r="I1316" s="28"/>
    </row>
    <row r="1317" spans="2:9" x14ac:dyDescent="0.35">
      <c r="B1317" s="4">
        <v>45171</v>
      </c>
      <c r="C1317" s="6" t="s">
        <v>5</v>
      </c>
      <c r="D13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7" s="7">
        <v>67.37</v>
      </c>
      <c r="F1317" s="9">
        <v>0.03</v>
      </c>
      <c r="G1317" s="11">
        <v>54.538053368691472</v>
      </c>
      <c r="I1317" s="28"/>
    </row>
    <row r="1318" spans="2:9" x14ac:dyDescent="0.35">
      <c r="B1318" s="4">
        <v>45174</v>
      </c>
      <c r="C1318" s="6" t="s">
        <v>5</v>
      </c>
      <c r="D13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8" s="7">
        <v>69.67</v>
      </c>
      <c r="F1318" s="9">
        <v>0.15</v>
      </c>
      <c r="G1318" s="11">
        <v>54.626147677915135</v>
      </c>
      <c r="I1318" s="28"/>
    </row>
    <row r="1319" spans="2:9" x14ac:dyDescent="0.35">
      <c r="B1319" s="4">
        <v>45177</v>
      </c>
      <c r="C1319" s="6" t="s">
        <v>5</v>
      </c>
      <c r="D13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19" s="7">
        <v>68.12</v>
      </c>
      <c r="F1319" s="9">
        <v>0.35</v>
      </c>
      <c r="G1319" s="11">
        <v>53.338100759029118</v>
      </c>
      <c r="I1319" s="28"/>
    </row>
    <row r="1320" spans="2:9" x14ac:dyDescent="0.35">
      <c r="B1320" s="4">
        <v>45183</v>
      </c>
      <c r="C1320" s="6" t="s">
        <v>5</v>
      </c>
      <c r="D13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20" s="7">
        <v>68.31</v>
      </c>
      <c r="F1320" s="9">
        <v>0.09</v>
      </c>
      <c r="G1320" s="11">
        <v>54.435176275404395</v>
      </c>
      <c r="I1320" s="28"/>
    </row>
    <row r="1321" spans="2:9" x14ac:dyDescent="0.35">
      <c r="B1321" s="4">
        <v>45184</v>
      </c>
      <c r="C1321" s="6" t="s">
        <v>5</v>
      </c>
      <c r="D13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21" s="7">
        <v>33.35</v>
      </c>
      <c r="F1321" s="9">
        <v>0</v>
      </c>
      <c r="G1321" s="11">
        <v>55.099698689591854</v>
      </c>
      <c r="I1321" s="28"/>
    </row>
    <row r="1322" spans="2:9" x14ac:dyDescent="0.35">
      <c r="B1322" s="4">
        <v>45187</v>
      </c>
      <c r="C1322" s="6" t="s">
        <v>5</v>
      </c>
      <c r="D13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22" s="7">
        <v>36.36</v>
      </c>
      <c r="F1322" s="9">
        <v>7.0000000000000007E-2</v>
      </c>
      <c r="G1322" s="11">
        <v>54.924262431398631</v>
      </c>
      <c r="I1322" s="28"/>
    </row>
    <row r="1323" spans="2:9" x14ac:dyDescent="0.35">
      <c r="B1323" s="4">
        <v>45190</v>
      </c>
      <c r="C1323" s="6" t="s">
        <v>5</v>
      </c>
      <c r="D13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23" s="7">
        <v>134.91</v>
      </c>
      <c r="F1323" s="9">
        <v>1.62</v>
      </c>
      <c r="G1323" s="11">
        <v>53.314532589694494</v>
      </c>
      <c r="I1323" s="28"/>
    </row>
    <row r="1324" spans="2:9" x14ac:dyDescent="0.35">
      <c r="B1324" s="4">
        <v>45109</v>
      </c>
      <c r="C1324" s="6" t="s">
        <v>11</v>
      </c>
      <c r="D1324" s="6" t="str">
        <f>IF(ISNUMBER(MATCH(ING_PRV[[#This Row],[Proveedor]],PARAMETROS!$A$2:$A$8,0)),"COMPRADA",
                    IF(ISNUMBER(MATCH(ING_PRV[[#This Row],[Proveedor]],PARAMETROS!$B$2:$B$8,0)),"PROPIA","NA")
)</f>
        <v>NA</v>
      </c>
      <c r="E1324" s="7">
        <v>89.18</v>
      </c>
      <c r="F1324" s="9">
        <v>5.3393000000000006</v>
      </c>
      <c r="G1324" s="11">
        <v>50.428051111332806</v>
      </c>
      <c r="I1324" s="28"/>
    </row>
    <row r="1325" spans="2:9" x14ac:dyDescent="0.35">
      <c r="B1325" s="4">
        <v>45120</v>
      </c>
      <c r="C1325" s="6" t="s">
        <v>11</v>
      </c>
      <c r="D1325" s="6" t="str">
        <f>IF(ISNUMBER(MATCH(ING_PRV[[#This Row],[Proveedor]],PARAMETROS!$A$2:$A$8,0)),"COMPRADA",
                    IF(ISNUMBER(MATCH(ING_PRV[[#This Row],[Proveedor]],PARAMETROS!$B$2:$B$8,0)),"PROPIA","NA")
)</f>
        <v>NA</v>
      </c>
      <c r="E1325" s="7">
        <v>82</v>
      </c>
      <c r="F1325" s="9">
        <v>2.0597500000000002</v>
      </c>
      <c r="G1325" s="11">
        <v>52.491423205576652</v>
      </c>
      <c r="I1325" s="28"/>
    </row>
    <row r="1326" spans="2:9" x14ac:dyDescent="0.35">
      <c r="B1326" s="4">
        <v>45121</v>
      </c>
      <c r="C1326" s="6" t="s">
        <v>11</v>
      </c>
      <c r="D1326" s="6" t="str">
        <f>IF(ISNUMBER(MATCH(ING_PRV[[#This Row],[Proveedor]],PARAMETROS!$A$2:$A$8,0)),"COMPRADA",
                    IF(ISNUMBER(MATCH(ING_PRV[[#This Row],[Proveedor]],PARAMETROS!$B$2:$B$8,0)),"PROPIA","NA")
)</f>
        <v>NA</v>
      </c>
      <c r="E1326" s="7">
        <v>113.16</v>
      </c>
      <c r="F1326" s="9">
        <v>0.95230000000000004</v>
      </c>
      <c r="G1326" s="11">
        <v>53.344652625274499</v>
      </c>
      <c r="I1326" s="28"/>
    </row>
    <row r="1327" spans="2:9" x14ac:dyDescent="0.35">
      <c r="B1327" s="4">
        <v>45128</v>
      </c>
      <c r="C1327" s="6" t="s">
        <v>11</v>
      </c>
      <c r="D1327" s="6" t="str">
        <f>IF(ISNUMBER(MATCH(ING_PRV[[#This Row],[Proveedor]],PARAMETROS!$A$2:$A$8,0)),"COMPRADA",
                    IF(ISNUMBER(MATCH(ING_PRV[[#This Row],[Proveedor]],PARAMETROS!$B$2:$B$8,0)),"PROPIA","NA")
)</f>
        <v>NA</v>
      </c>
      <c r="E1327" s="7">
        <v>133.68</v>
      </c>
      <c r="F1327" s="9">
        <v>2.1266250000000002</v>
      </c>
      <c r="G1327" s="11">
        <v>53.4501286706369</v>
      </c>
      <c r="I1327" s="28"/>
    </row>
    <row r="1328" spans="2:9" x14ac:dyDescent="0.35">
      <c r="B1328" s="4">
        <v>45131</v>
      </c>
      <c r="C1328" s="6" t="s">
        <v>11</v>
      </c>
      <c r="D1328" s="6" t="str">
        <f>IF(ISNUMBER(MATCH(ING_PRV[[#This Row],[Proveedor]],PARAMETROS!$A$2:$A$8,0)),"COMPRADA",
                    IF(ISNUMBER(MATCH(ING_PRV[[#This Row],[Proveedor]],PARAMETROS!$B$2:$B$8,0)),"PROPIA","NA")
)</f>
        <v>NA</v>
      </c>
      <c r="E1328" s="7">
        <v>55.56</v>
      </c>
      <c r="F1328" s="9">
        <v>13.024575</v>
      </c>
      <c r="G1328" s="11">
        <v>42.370214261034548</v>
      </c>
      <c r="I1328" s="28"/>
    </row>
    <row r="1329" spans="2:9" x14ac:dyDescent="0.35">
      <c r="B1329" s="4">
        <v>45132</v>
      </c>
      <c r="C1329" s="6" t="s">
        <v>11</v>
      </c>
      <c r="D1329" s="6" t="str">
        <f>IF(ISNUMBER(MATCH(ING_PRV[[#This Row],[Proveedor]],PARAMETROS!$A$2:$A$8,0)),"COMPRADA",
                    IF(ISNUMBER(MATCH(ING_PRV[[#This Row],[Proveedor]],PARAMETROS!$B$2:$B$8,0)),"PROPIA","NA")
)</f>
        <v>NA</v>
      </c>
      <c r="E1329" s="7">
        <v>259.02</v>
      </c>
      <c r="F1329" s="9">
        <v>4.2077750000000007</v>
      </c>
      <c r="G1329" s="11">
        <v>51.336658660741037</v>
      </c>
      <c r="I1329" s="28"/>
    </row>
    <row r="1330" spans="2:9" x14ac:dyDescent="0.35">
      <c r="B1330" s="4">
        <v>45133</v>
      </c>
      <c r="C1330" s="6" t="s">
        <v>11</v>
      </c>
      <c r="D1330" s="6" t="str">
        <f>IF(ISNUMBER(MATCH(ING_PRV[[#This Row],[Proveedor]],PARAMETROS!$A$2:$A$8,0)),"COMPRADA",
                    IF(ISNUMBER(MATCH(ING_PRV[[#This Row],[Proveedor]],PARAMETROS!$B$2:$B$8,0)),"PROPIA","NA")
)</f>
        <v>NA</v>
      </c>
      <c r="E1330" s="7">
        <v>78.19</v>
      </c>
      <c r="F1330" s="9">
        <v>11.419575</v>
      </c>
      <c r="G1330" s="11">
        <v>43.974529683979668</v>
      </c>
      <c r="I1330" s="28"/>
    </row>
    <row r="1331" spans="2:9" x14ac:dyDescent="0.35">
      <c r="B1331" s="4">
        <v>45135</v>
      </c>
      <c r="C1331" s="6" t="s">
        <v>11</v>
      </c>
      <c r="D1331" s="6" t="str">
        <f>IF(ISNUMBER(MATCH(ING_PRV[[#This Row],[Proveedor]],PARAMETROS!$A$2:$A$8,0)),"COMPRADA",
                    IF(ISNUMBER(MATCH(ING_PRV[[#This Row],[Proveedor]],PARAMETROS!$B$2:$B$8,0)),"PROPIA","NA")
)</f>
        <v>NA</v>
      </c>
      <c r="E1331" s="7">
        <v>65.75</v>
      </c>
      <c r="F1331" s="9">
        <v>1.944725</v>
      </c>
      <c r="G1331" s="11">
        <v>52.80347180215108</v>
      </c>
      <c r="I1331" s="28"/>
    </row>
    <row r="1332" spans="2:9" x14ac:dyDescent="0.35">
      <c r="B1332" s="4">
        <v>45136</v>
      </c>
      <c r="C1332" s="6" t="s">
        <v>11</v>
      </c>
      <c r="D1332" s="6" t="str">
        <f>IF(ISNUMBER(MATCH(ING_PRV[[#This Row],[Proveedor]],PARAMETROS!$A$2:$A$8,0)),"COMPRADA",
                    IF(ISNUMBER(MATCH(ING_PRV[[#This Row],[Proveedor]],PARAMETROS!$B$2:$B$8,0)),"PROPIA","NA")
)</f>
        <v>NA</v>
      </c>
      <c r="E1332" s="7">
        <v>27.63</v>
      </c>
      <c r="F1332" s="9">
        <v>9.48</v>
      </c>
      <c r="G1332" s="11">
        <v>46.397872358198981</v>
      </c>
      <c r="I1332" s="28"/>
    </row>
    <row r="1333" spans="2:9" x14ac:dyDescent="0.35">
      <c r="B1333" s="4">
        <v>45139</v>
      </c>
      <c r="C1333" s="6" t="s">
        <v>11</v>
      </c>
      <c r="D1333" s="6" t="str">
        <f>IF(ISNUMBER(MATCH(ING_PRV[[#This Row],[Proveedor]],PARAMETROS!$A$2:$A$8,0)),"COMPRADA",
                    IF(ISNUMBER(MATCH(ING_PRV[[#This Row],[Proveedor]],PARAMETROS!$B$2:$B$8,0)),"PROPIA","NA")
)</f>
        <v>NA</v>
      </c>
      <c r="E1333" s="7">
        <v>157.69</v>
      </c>
      <c r="F1333" s="9">
        <v>3.0334500000000002</v>
      </c>
      <c r="G1333" s="11">
        <v>52.438916361088872</v>
      </c>
      <c r="I1333" s="28"/>
    </row>
    <row r="1334" spans="2:9" x14ac:dyDescent="0.35">
      <c r="B1334" s="4">
        <v>45140</v>
      </c>
      <c r="C1334" s="6" t="s">
        <v>11</v>
      </c>
      <c r="D1334" s="6" t="str">
        <f>IF(ISNUMBER(MATCH(ING_PRV[[#This Row],[Proveedor]],PARAMETROS!$A$2:$A$8,0)),"COMPRADA",
                    IF(ISNUMBER(MATCH(ING_PRV[[#This Row],[Proveedor]],PARAMETROS!$B$2:$B$8,0)),"PROPIA","NA")
)</f>
        <v>NA</v>
      </c>
      <c r="E1334" s="7">
        <v>28.2</v>
      </c>
      <c r="F1334" s="9">
        <v>2.3138750000000003</v>
      </c>
      <c r="G1334" s="11">
        <v>53.156022285485165</v>
      </c>
      <c r="I1334" s="28"/>
    </row>
    <row r="1335" spans="2:9" x14ac:dyDescent="0.35">
      <c r="B1335" s="4">
        <v>45141</v>
      </c>
      <c r="C1335" s="6" t="s">
        <v>11</v>
      </c>
      <c r="D1335" s="6" t="str">
        <f>IF(ISNUMBER(MATCH(ING_PRV[[#This Row],[Proveedor]],PARAMETROS!$A$2:$A$8,0)),"COMPRADA",
                    IF(ISNUMBER(MATCH(ING_PRV[[#This Row],[Proveedor]],PARAMETROS!$B$2:$B$8,0)),"PROPIA","NA")
)</f>
        <v>NA</v>
      </c>
      <c r="E1335" s="7">
        <v>125.26</v>
      </c>
      <c r="F1335" s="9">
        <v>2.4262250000000001</v>
      </c>
      <c r="G1335" s="11">
        <v>52.710481770833326</v>
      </c>
      <c r="I1335" s="28"/>
    </row>
    <row r="1336" spans="2:9" x14ac:dyDescent="0.35">
      <c r="B1336" s="4">
        <v>45147</v>
      </c>
      <c r="C1336" s="6" t="s">
        <v>11</v>
      </c>
      <c r="D1336" s="6" t="str">
        <f>IF(ISNUMBER(MATCH(ING_PRV[[#This Row],[Proveedor]],PARAMETROS!$A$2:$A$8,0)),"COMPRADA",
                    IF(ISNUMBER(MATCH(ING_PRV[[#This Row],[Proveedor]],PARAMETROS!$B$2:$B$8,0)),"PROPIA","NA")
)</f>
        <v>NA</v>
      </c>
      <c r="E1336" s="7">
        <v>45.38</v>
      </c>
      <c r="F1336" s="9">
        <v>1.62</v>
      </c>
      <c r="G1336" s="11">
        <v>53.452039353009837</v>
      </c>
      <c r="I1336" s="28"/>
    </row>
    <row r="1337" spans="2:9" x14ac:dyDescent="0.35">
      <c r="B1337" s="4">
        <v>45148</v>
      </c>
      <c r="C1337" s="6" t="s">
        <v>11</v>
      </c>
      <c r="D1337" s="6" t="str">
        <f>IF(ISNUMBER(MATCH(ING_PRV[[#This Row],[Proveedor]],PARAMETROS!$A$2:$A$8,0)),"COMPRADA",
                    IF(ISNUMBER(MATCH(ING_PRV[[#This Row],[Proveedor]],PARAMETROS!$B$2:$B$8,0)),"PROPIA","NA")
)</f>
        <v>NA</v>
      </c>
      <c r="E1337" s="7">
        <v>98.43</v>
      </c>
      <c r="F1337" s="9">
        <v>1.93</v>
      </c>
      <c r="G1337" s="11">
        <v>51.64830323708081</v>
      </c>
      <c r="I1337" s="28"/>
    </row>
    <row r="1338" spans="2:9" x14ac:dyDescent="0.35">
      <c r="B1338" s="4">
        <v>45149</v>
      </c>
      <c r="C1338" s="6" t="s">
        <v>11</v>
      </c>
      <c r="D1338" s="6" t="str">
        <f>IF(ISNUMBER(MATCH(ING_PRV[[#This Row],[Proveedor]],PARAMETROS!$A$2:$A$8,0)),"COMPRADA",
                    IF(ISNUMBER(MATCH(ING_PRV[[#This Row],[Proveedor]],PARAMETROS!$B$2:$B$8,0)),"PROPIA","NA")
)</f>
        <v>NA</v>
      </c>
      <c r="E1338" s="7">
        <v>77.72</v>
      </c>
      <c r="F1338" s="9">
        <v>3.03</v>
      </c>
      <c r="G1338" s="11">
        <v>52.084634857190437</v>
      </c>
      <c r="I1338" s="28"/>
    </row>
    <row r="1339" spans="2:9" x14ac:dyDescent="0.35">
      <c r="B1339" s="4">
        <v>45150</v>
      </c>
      <c r="C1339" s="6" t="s">
        <v>11</v>
      </c>
      <c r="D1339" s="6" t="str">
        <f>IF(ISNUMBER(MATCH(ING_PRV[[#This Row],[Proveedor]],PARAMETROS!$A$2:$A$8,0)),"COMPRADA",
                    IF(ISNUMBER(MATCH(ING_PRV[[#This Row],[Proveedor]],PARAMETROS!$B$2:$B$8,0)),"PROPIA","NA")
)</f>
        <v>NA</v>
      </c>
      <c r="E1339" s="7">
        <v>29.52</v>
      </c>
      <c r="F1339" s="9">
        <v>2.5299999999999998</v>
      </c>
      <c r="G1339" s="11">
        <v>52.596653068020977</v>
      </c>
      <c r="I1339" s="28"/>
    </row>
    <row r="1340" spans="2:9" x14ac:dyDescent="0.35">
      <c r="B1340" s="4">
        <v>45152</v>
      </c>
      <c r="C1340" s="6" t="s">
        <v>11</v>
      </c>
      <c r="D1340" s="6" t="str">
        <f>IF(ISNUMBER(MATCH(ING_PRV[[#This Row],[Proveedor]],PARAMETROS!$A$2:$A$8,0)),"COMPRADA",
                    IF(ISNUMBER(MATCH(ING_PRV[[#This Row],[Proveedor]],PARAMETROS!$B$2:$B$8,0)),"PROPIA","NA")
)</f>
        <v>NA</v>
      </c>
      <c r="E1340" s="7">
        <v>162.97</v>
      </c>
      <c r="F1340" s="9">
        <v>1.78</v>
      </c>
      <c r="G1340" s="11">
        <v>53.105831389536824</v>
      </c>
      <c r="I1340" s="28"/>
    </row>
    <row r="1341" spans="2:9" x14ac:dyDescent="0.35">
      <c r="B1341" s="4">
        <v>45153</v>
      </c>
      <c r="C1341" s="6" t="s">
        <v>11</v>
      </c>
      <c r="D1341" s="6" t="str">
        <f>IF(ISNUMBER(MATCH(ING_PRV[[#This Row],[Proveedor]],PARAMETROS!$A$2:$A$8,0)),"COMPRADA",
                    IF(ISNUMBER(MATCH(ING_PRV[[#This Row],[Proveedor]],PARAMETROS!$B$2:$B$8,0)),"PROPIA","NA")
)</f>
        <v>NA</v>
      </c>
      <c r="E1341" s="7">
        <v>30.72</v>
      </c>
      <c r="F1341" s="9">
        <v>1.9</v>
      </c>
      <c r="G1341" s="11">
        <v>53.412278597017412</v>
      </c>
      <c r="I1341" s="28"/>
    </row>
    <row r="1342" spans="2:9" x14ac:dyDescent="0.35">
      <c r="B1342" s="4">
        <v>45154</v>
      </c>
      <c r="C1342" s="6" t="s">
        <v>11</v>
      </c>
      <c r="D1342" s="6" t="str">
        <f>IF(ISNUMBER(MATCH(ING_PRV[[#This Row],[Proveedor]],PARAMETROS!$A$2:$A$8,0)),"COMPRADA",
                    IF(ISNUMBER(MATCH(ING_PRV[[#This Row],[Proveedor]],PARAMETROS!$B$2:$B$8,0)),"PROPIA","NA")
)</f>
        <v>NA</v>
      </c>
      <c r="E1342" s="7">
        <v>171.61</v>
      </c>
      <c r="F1342" s="9">
        <v>2.29</v>
      </c>
      <c r="G1342" s="11">
        <v>52.372859517871987</v>
      </c>
      <c r="I1342" s="28"/>
    </row>
    <row r="1343" spans="2:9" x14ac:dyDescent="0.35">
      <c r="B1343" s="4">
        <v>45155</v>
      </c>
      <c r="C1343" s="6" t="s">
        <v>11</v>
      </c>
      <c r="D1343" s="6" t="str">
        <f>IF(ISNUMBER(MATCH(ING_PRV[[#This Row],[Proveedor]],PARAMETROS!$A$2:$A$8,0)),"COMPRADA",
                    IF(ISNUMBER(MATCH(ING_PRV[[#This Row],[Proveedor]],PARAMETROS!$B$2:$B$8,0)),"PROPIA","NA")
)</f>
        <v>NA</v>
      </c>
      <c r="E1343" s="7">
        <v>72.53</v>
      </c>
      <c r="F1343" s="9">
        <v>6.63</v>
      </c>
      <c r="G1343" s="11">
        <v>49.656676681689198</v>
      </c>
      <c r="I1343" s="28"/>
    </row>
    <row r="1344" spans="2:9" x14ac:dyDescent="0.35">
      <c r="B1344" s="4">
        <v>45156</v>
      </c>
      <c r="C1344" s="6" t="s">
        <v>11</v>
      </c>
      <c r="D1344" s="6" t="str">
        <f>IF(ISNUMBER(MATCH(ING_PRV[[#This Row],[Proveedor]],PARAMETROS!$A$2:$A$8,0)),"COMPRADA",
                    IF(ISNUMBER(MATCH(ING_PRV[[#This Row],[Proveedor]],PARAMETROS!$B$2:$B$8,0)),"PROPIA","NA")
)</f>
        <v>NA</v>
      </c>
      <c r="E1344" s="7">
        <v>79.13</v>
      </c>
      <c r="F1344" s="9">
        <v>2.46</v>
      </c>
      <c r="G1344" s="11">
        <v>52.88111797096613</v>
      </c>
      <c r="I1344" s="28"/>
    </row>
    <row r="1345" spans="2:9" x14ac:dyDescent="0.35">
      <c r="B1345" s="4">
        <v>45161</v>
      </c>
      <c r="C1345" s="6" t="s">
        <v>11</v>
      </c>
      <c r="D1345" s="6" t="str">
        <f>IF(ISNUMBER(MATCH(ING_PRV[[#This Row],[Proveedor]],PARAMETROS!$A$2:$A$8,0)),"COMPRADA",
                    IF(ISNUMBER(MATCH(ING_PRV[[#This Row],[Proveedor]],PARAMETROS!$B$2:$B$8,0)),"PROPIA","NA")
)</f>
        <v>NA</v>
      </c>
      <c r="E1345" s="7">
        <v>38.450000000000003</v>
      </c>
      <c r="F1345" s="9">
        <v>7.06</v>
      </c>
      <c r="G1345" s="11">
        <v>48.195934404395231</v>
      </c>
      <c r="I1345" s="28"/>
    </row>
    <row r="1346" spans="2:9" x14ac:dyDescent="0.35">
      <c r="B1346" s="4">
        <v>45162</v>
      </c>
      <c r="C1346" s="6" t="s">
        <v>11</v>
      </c>
      <c r="D1346" s="6" t="str">
        <f>IF(ISNUMBER(MATCH(ING_PRV[[#This Row],[Proveedor]],PARAMETROS!$A$2:$A$8,0)),"COMPRADA",
                    IF(ISNUMBER(MATCH(ING_PRV[[#This Row],[Proveedor]],PARAMETROS!$B$2:$B$8,0)),"PROPIA","NA")
)</f>
        <v>NA</v>
      </c>
      <c r="E1346" s="7">
        <v>77.83</v>
      </c>
      <c r="F1346" s="9">
        <v>0.21</v>
      </c>
      <c r="G1346" s="11">
        <v>53.303745615500254</v>
      </c>
      <c r="I1346" s="28"/>
    </row>
    <row r="1347" spans="2:9" x14ac:dyDescent="0.35">
      <c r="B1347" s="4">
        <v>45163</v>
      </c>
      <c r="C1347" s="6" t="s">
        <v>11</v>
      </c>
      <c r="D1347" s="6" t="str">
        <f>IF(ISNUMBER(MATCH(ING_PRV[[#This Row],[Proveedor]],PARAMETROS!$A$2:$A$8,0)),"COMPRADA",
                    IF(ISNUMBER(MATCH(ING_PRV[[#This Row],[Proveedor]],PARAMETROS!$B$2:$B$8,0)),"PROPIA","NA")
)</f>
        <v>NA</v>
      </c>
      <c r="E1347" s="7">
        <v>41.69</v>
      </c>
      <c r="F1347" s="9">
        <v>2.6</v>
      </c>
      <c r="G1347" s="11">
        <v>52.273796211299334</v>
      </c>
      <c r="I1347" s="28"/>
    </row>
    <row r="1348" spans="2:9" x14ac:dyDescent="0.35">
      <c r="B1348" s="4">
        <v>45164</v>
      </c>
      <c r="C1348" s="6" t="s">
        <v>11</v>
      </c>
      <c r="D1348" s="6" t="str">
        <f>IF(ISNUMBER(MATCH(ING_PRV[[#This Row],[Proveedor]],PARAMETROS!$A$2:$A$8,0)),"COMPRADA",
                    IF(ISNUMBER(MATCH(ING_PRV[[#This Row],[Proveedor]],PARAMETROS!$B$2:$B$8,0)),"PROPIA","NA")
)</f>
        <v>NA</v>
      </c>
      <c r="E1348" s="7">
        <v>35.39</v>
      </c>
      <c r="F1348" s="9">
        <v>2.13</v>
      </c>
      <c r="G1348" s="11">
        <v>53.290270359927021</v>
      </c>
      <c r="I1348" s="28"/>
    </row>
    <row r="1349" spans="2:9" x14ac:dyDescent="0.35">
      <c r="B1349" s="4">
        <v>45167</v>
      </c>
      <c r="C1349" s="6" t="s">
        <v>11</v>
      </c>
      <c r="D1349" s="6" t="str">
        <f>IF(ISNUMBER(MATCH(ING_PRV[[#This Row],[Proveedor]],PARAMETROS!$A$2:$A$8,0)),"COMPRADA",
                    IF(ISNUMBER(MATCH(ING_PRV[[#This Row],[Proveedor]],PARAMETROS!$B$2:$B$8,0)),"PROPIA","NA")
)</f>
        <v>NA</v>
      </c>
      <c r="E1349" s="7">
        <v>40.21</v>
      </c>
      <c r="F1349" s="9">
        <v>3.51</v>
      </c>
      <c r="G1349" s="11">
        <v>51.736898850191636</v>
      </c>
      <c r="I1349" s="28"/>
    </row>
    <row r="1350" spans="2:9" x14ac:dyDescent="0.35">
      <c r="B1350" s="4">
        <v>45174</v>
      </c>
      <c r="C1350" s="6" t="s">
        <v>11</v>
      </c>
      <c r="D1350" s="6" t="str">
        <f>IF(ISNUMBER(MATCH(ING_PRV[[#This Row],[Proveedor]],PARAMETROS!$A$2:$A$8,0)),"COMPRADA",
                    IF(ISNUMBER(MATCH(ING_PRV[[#This Row],[Proveedor]],PARAMETROS!$B$2:$B$8,0)),"PROPIA","NA")
)</f>
        <v>NA</v>
      </c>
      <c r="E1350" s="7">
        <v>73.66</v>
      </c>
      <c r="F1350" s="9">
        <v>1.8323750000000001</v>
      </c>
      <c r="G1350" s="11">
        <v>53.44894297766254</v>
      </c>
      <c r="I1350" s="28"/>
    </row>
    <row r="1351" spans="2:9" x14ac:dyDescent="0.35">
      <c r="B1351" s="4">
        <v>45175</v>
      </c>
      <c r="C1351" s="6" t="s">
        <v>11</v>
      </c>
      <c r="D1351" s="6" t="str">
        <f>IF(ISNUMBER(MATCH(ING_PRV[[#This Row],[Proveedor]],PARAMETROS!$A$2:$A$8,0)),"COMPRADA",
                    IF(ISNUMBER(MATCH(ING_PRV[[#This Row],[Proveedor]],PARAMETROS!$B$2:$B$8,0)),"PROPIA","NA")
)</f>
        <v>NA</v>
      </c>
      <c r="E1351" s="7">
        <v>35.72</v>
      </c>
      <c r="F1351" s="9">
        <v>3.0334500000000002</v>
      </c>
      <c r="G1351" s="11">
        <v>51.863124781087564</v>
      </c>
      <c r="I1351" s="28"/>
    </row>
    <row r="1352" spans="2:9" x14ac:dyDescent="0.35">
      <c r="B1352" s="4">
        <v>45176</v>
      </c>
      <c r="C1352" s="6" t="s">
        <v>11</v>
      </c>
      <c r="D1352" s="6" t="str">
        <f>IF(ISNUMBER(MATCH(ING_PRV[[#This Row],[Proveedor]],PARAMETROS!$A$2:$A$8,0)),"COMPRADA",
                    IF(ISNUMBER(MATCH(ING_PRV[[#This Row],[Proveedor]],PARAMETROS!$B$2:$B$8,0)),"PROPIA","NA")
)</f>
        <v>NA</v>
      </c>
      <c r="E1352" s="7">
        <v>115.29</v>
      </c>
      <c r="F1352" s="9">
        <v>2.35</v>
      </c>
      <c r="G1352" s="11">
        <v>52.633374339498012</v>
      </c>
      <c r="I1352" s="28"/>
    </row>
    <row r="1353" spans="2:9" x14ac:dyDescent="0.35">
      <c r="B1353" s="4">
        <v>45177</v>
      </c>
      <c r="C1353" s="6" t="s">
        <v>11</v>
      </c>
      <c r="D1353" s="6" t="str">
        <f>IF(ISNUMBER(MATCH(ING_PRV[[#This Row],[Proveedor]],PARAMETROS!$A$2:$A$8,0)),"COMPRADA",
                    IF(ISNUMBER(MATCH(ING_PRV[[#This Row],[Proveedor]],PARAMETROS!$B$2:$B$8,0)),"PROPIA","NA")
)</f>
        <v>NA</v>
      </c>
      <c r="E1353" s="7">
        <v>42.94</v>
      </c>
      <c r="F1353" s="9">
        <v>1.7</v>
      </c>
      <c r="G1353" s="11">
        <v>53.594753582373897</v>
      </c>
      <c r="I1353" s="28"/>
    </row>
    <row r="1354" spans="2:9" x14ac:dyDescent="0.35">
      <c r="B1354" s="4">
        <v>45178</v>
      </c>
      <c r="C1354" s="6" t="s">
        <v>11</v>
      </c>
      <c r="D1354" s="6" t="str">
        <f>IF(ISNUMBER(MATCH(ING_PRV[[#This Row],[Proveedor]],PARAMETROS!$A$2:$A$8,0)),"COMPRADA",
                    IF(ISNUMBER(MATCH(ING_PRV[[#This Row],[Proveedor]],PARAMETROS!$B$2:$B$8,0)),"PROPIA","NA")
)</f>
        <v>NA</v>
      </c>
      <c r="E1354" s="7">
        <v>35.770000000000003</v>
      </c>
      <c r="F1354" s="9">
        <v>2.2999999999999998</v>
      </c>
      <c r="G1354" s="11">
        <v>52.604580763460575</v>
      </c>
      <c r="I1354" s="28"/>
    </row>
    <row r="1355" spans="2:9" x14ac:dyDescent="0.35">
      <c r="B1355" s="4">
        <v>45181</v>
      </c>
      <c r="C1355" s="6" t="s">
        <v>11</v>
      </c>
      <c r="D1355" s="6" t="str">
        <f>IF(ISNUMBER(MATCH(ING_PRV[[#This Row],[Proveedor]],PARAMETROS!$A$2:$A$8,0)),"COMPRADA",
                    IF(ISNUMBER(MATCH(ING_PRV[[#This Row],[Proveedor]],PARAMETROS!$B$2:$B$8,0)),"PROPIA","NA")
)</f>
        <v>NA</v>
      </c>
      <c r="E1355" s="7">
        <v>102.55</v>
      </c>
      <c r="F1355" s="9">
        <v>1.9</v>
      </c>
      <c r="G1355" s="11">
        <v>52.221054159409476</v>
      </c>
      <c r="I1355" s="28"/>
    </row>
    <row r="1356" spans="2:9" x14ac:dyDescent="0.35">
      <c r="B1356" s="4">
        <v>45182</v>
      </c>
      <c r="C1356" s="6" t="s">
        <v>11</v>
      </c>
      <c r="D1356" s="6" t="str">
        <f>IF(ISNUMBER(MATCH(ING_PRV[[#This Row],[Proveedor]],PARAMETROS!$A$2:$A$8,0)),"COMPRADA",
                    IF(ISNUMBER(MATCH(ING_PRV[[#This Row],[Proveedor]],PARAMETROS!$B$2:$B$8,0)),"PROPIA","NA")
)</f>
        <v>NA</v>
      </c>
      <c r="E1356" s="7">
        <v>105.74</v>
      </c>
      <c r="F1356" s="9">
        <v>2.0499999999999998</v>
      </c>
      <c r="G1356" s="11">
        <v>52.799648991784913</v>
      </c>
      <c r="I1356" s="28"/>
    </row>
    <row r="1357" spans="2:9" x14ac:dyDescent="0.35">
      <c r="B1357" s="4">
        <v>45183</v>
      </c>
      <c r="C1357" s="6" t="s">
        <v>11</v>
      </c>
      <c r="D1357" s="6" t="str">
        <f>IF(ISNUMBER(MATCH(ING_PRV[[#This Row],[Proveedor]],PARAMETROS!$A$2:$A$8,0)),"COMPRADA",
                    IF(ISNUMBER(MATCH(ING_PRV[[#This Row],[Proveedor]],PARAMETROS!$B$2:$B$8,0)),"PROPIA","NA")
)</f>
        <v>NA</v>
      </c>
      <c r="E1357" s="7">
        <v>106.08</v>
      </c>
      <c r="F1357" s="9">
        <v>1.91</v>
      </c>
      <c r="G1357" s="11">
        <v>53.198725579848698</v>
      </c>
      <c r="I1357" s="28"/>
    </row>
    <row r="1358" spans="2:9" x14ac:dyDescent="0.35">
      <c r="B1358" s="4">
        <v>45185</v>
      </c>
      <c r="C1358" s="6" t="s">
        <v>11</v>
      </c>
      <c r="D1358" s="6" t="str">
        <f>IF(ISNUMBER(MATCH(ING_PRV[[#This Row],[Proveedor]],PARAMETROS!$A$2:$A$8,0)),"COMPRADA",
                    IF(ISNUMBER(MATCH(ING_PRV[[#This Row],[Proveedor]],PARAMETROS!$B$2:$B$8,0)),"PROPIA","NA")
)</f>
        <v>NA</v>
      </c>
      <c r="E1358" s="7">
        <v>73.069999999999993</v>
      </c>
      <c r="F1358" s="9">
        <v>1.97</v>
      </c>
      <c r="G1358" s="11">
        <v>53.007523103821491</v>
      </c>
      <c r="I1358" s="28"/>
    </row>
    <row r="1359" spans="2:9" x14ac:dyDescent="0.35">
      <c r="B1359" s="4">
        <v>45187</v>
      </c>
      <c r="C1359" s="6" t="s">
        <v>11</v>
      </c>
      <c r="D1359" s="6" t="str">
        <f>IF(ISNUMBER(MATCH(ING_PRV[[#This Row],[Proveedor]],PARAMETROS!$A$2:$A$8,0)),"COMPRADA",
                    IF(ISNUMBER(MATCH(ING_PRV[[#This Row],[Proveedor]],PARAMETROS!$B$2:$B$8,0)),"PROPIA","NA")
)</f>
        <v>NA</v>
      </c>
      <c r="E1359" s="7">
        <v>95.89</v>
      </c>
      <c r="F1359" s="9">
        <v>1.37</v>
      </c>
      <c r="G1359" s="11">
        <v>54.095547457346363</v>
      </c>
      <c r="I1359" s="28"/>
    </row>
    <row r="1360" spans="2:9" x14ac:dyDescent="0.35">
      <c r="B1360" s="4">
        <v>45188</v>
      </c>
      <c r="C1360" s="6" t="s">
        <v>11</v>
      </c>
      <c r="D1360" s="6" t="str">
        <f>IF(ISNUMBER(MATCH(ING_PRV[[#This Row],[Proveedor]],PARAMETROS!$A$2:$A$8,0)),"COMPRADA",
                    IF(ISNUMBER(MATCH(ING_PRV[[#This Row],[Proveedor]],PARAMETROS!$B$2:$B$8,0)),"PROPIA","NA")
)</f>
        <v>NA</v>
      </c>
      <c r="E1360" s="7">
        <v>35.81</v>
      </c>
      <c r="F1360" s="9">
        <v>1.71</v>
      </c>
      <c r="G1360" s="11">
        <v>53.235370724806522</v>
      </c>
      <c r="I1360" s="28"/>
    </row>
    <row r="1361" spans="2:9" x14ac:dyDescent="0.35">
      <c r="B1361" s="4">
        <v>45189</v>
      </c>
      <c r="C1361" s="6" t="s">
        <v>11</v>
      </c>
      <c r="D1361" s="6" t="str">
        <f>IF(ISNUMBER(MATCH(ING_PRV[[#This Row],[Proveedor]],PARAMETROS!$A$2:$A$8,0)),"COMPRADA",
                    IF(ISNUMBER(MATCH(ING_PRV[[#This Row],[Proveedor]],PARAMETROS!$B$2:$B$8,0)),"PROPIA","NA")
)</f>
        <v>NA</v>
      </c>
      <c r="E1361" s="7">
        <v>73.78</v>
      </c>
      <c r="F1361" s="9">
        <v>1.87</v>
      </c>
      <c r="G1361" s="11">
        <v>53.424283819628641</v>
      </c>
      <c r="I1361" s="28"/>
    </row>
    <row r="1362" spans="2:9" x14ac:dyDescent="0.35">
      <c r="B1362" s="4">
        <v>45190</v>
      </c>
      <c r="C1362" s="6" t="s">
        <v>11</v>
      </c>
      <c r="D1362" s="6" t="str">
        <f>IF(ISNUMBER(MATCH(ING_PRV[[#This Row],[Proveedor]],PARAMETROS!$A$2:$A$8,0)),"COMPRADA",
                    IF(ISNUMBER(MATCH(ING_PRV[[#This Row],[Proveedor]],PARAMETROS!$B$2:$B$8,0)),"PROPIA","NA")
)</f>
        <v>NA</v>
      </c>
      <c r="E1362" s="7">
        <v>35.04</v>
      </c>
      <c r="F1362" s="9">
        <v>1.76</v>
      </c>
      <c r="G1362" s="11">
        <v>53.673359355535254</v>
      </c>
      <c r="I1362" s="28"/>
    </row>
    <row r="1363" spans="2:9" x14ac:dyDescent="0.35">
      <c r="B1363" s="4">
        <v>45191</v>
      </c>
      <c r="C1363" s="6" t="s">
        <v>11</v>
      </c>
      <c r="D1363" s="6" t="str">
        <f>IF(ISNUMBER(MATCH(ING_PRV[[#This Row],[Proveedor]],PARAMETROS!$A$2:$A$8,0)),"COMPRADA",
                    IF(ISNUMBER(MATCH(ING_PRV[[#This Row],[Proveedor]],PARAMETROS!$B$2:$B$8,0)),"PROPIA","NA")
)</f>
        <v>NA</v>
      </c>
      <c r="E1363" s="7">
        <v>69.959999999999994</v>
      </c>
      <c r="F1363" s="9">
        <v>2.1800000000000002</v>
      </c>
      <c r="G1363" s="11">
        <v>52.916304982889578</v>
      </c>
      <c r="I1363" s="28"/>
    </row>
    <row r="1364" spans="2:9" x14ac:dyDescent="0.35">
      <c r="B1364" s="4">
        <v>45192</v>
      </c>
      <c r="C1364" s="6" t="s">
        <v>11</v>
      </c>
      <c r="D1364" s="6" t="str">
        <f>IF(ISNUMBER(MATCH(ING_PRV[[#This Row],[Proveedor]],PARAMETROS!$A$2:$A$8,0)),"COMPRADA",
                    IF(ISNUMBER(MATCH(ING_PRV[[#This Row],[Proveedor]],PARAMETROS!$B$2:$B$8,0)),"PROPIA","NA")
)</f>
        <v>NA</v>
      </c>
      <c r="E1364" s="7">
        <v>72.53</v>
      </c>
      <c r="F1364" s="9">
        <v>1.75</v>
      </c>
      <c r="G1364" s="11">
        <v>53.411201931080399</v>
      </c>
      <c r="I1364" s="28"/>
    </row>
    <row r="1365" spans="2:9" x14ac:dyDescent="0.35">
      <c r="B1365" s="4">
        <v>45194</v>
      </c>
      <c r="C1365" s="6" t="s">
        <v>11</v>
      </c>
      <c r="D1365" s="6" t="str">
        <f>IF(ISNUMBER(MATCH(ING_PRV[[#This Row],[Proveedor]],PARAMETROS!$A$2:$A$8,0)),"COMPRADA",
                    IF(ISNUMBER(MATCH(ING_PRV[[#This Row],[Proveedor]],PARAMETROS!$B$2:$B$8,0)),"PROPIA","NA")
)</f>
        <v>NA</v>
      </c>
      <c r="E1365" s="7">
        <v>37.54</v>
      </c>
      <c r="F1365" s="9">
        <v>1.65</v>
      </c>
      <c r="G1365" s="11">
        <v>53.617542520534307</v>
      </c>
      <c r="I1365" s="28"/>
    </row>
    <row r="1366" spans="2:9" x14ac:dyDescent="0.35">
      <c r="B1366" s="4">
        <v>45196</v>
      </c>
      <c r="C1366" s="6" t="s">
        <v>11</v>
      </c>
      <c r="D1366" s="6" t="str">
        <f>IF(ISNUMBER(MATCH(ING_PRV[[#This Row],[Proveedor]],PARAMETROS!$A$2:$A$8,0)),"COMPRADA",
                    IF(ISNUMBER(MATCH(ING_PRV[[#This Row],[Proveedor]],PARAMETROS!$B$2:$B$8,0)),"PROPIA","NA")
)</f>
        <v>NA</v>
      </c>
      <c r="E1366" s="7">
        <v>35.99</v>
      </c>
      <c r="F1366" s="9">
        <v>1.47</v>
      </c>
      <c r="G1366" s="11">
        <v>53.839900373599001</v>
      </c>
      <c r="I1366" s="28"/>
    </row>
    <row r="1367" spans="2:9" x14ac:dyDescent="0.35">
      <c r="B1367" s="4">
        <v>45198</v>
      </c>
      <c r="C1367" s="6" t="s">
        <v>11</v>
      </c>
      <c r="D1367" s="6" t="str">
        <f>IF(ISNUMBER(MATCH(ING_PRV[[#This Row],[Proveedor]],PARAMETROS!$A$2:$A$8,0)),"COMPRADA",
                    IF(ISNUMBER(MATCH(ING_PRV[[#This Row],[Proveedor]],PARAMETROS!$B$2:$B$8,0)),"PROPIA","NA")
)</f>
        <v>NA</v>
      </c>
      <c r="E1367" s="7">
        <v>36.56</v>
      </c>
      <c r="F1367" s="9">
        <v>2.2400000000000002</v>
      </c>
      <c r="G1367" s="11">
        <v>52.860873015873018</v>
      </c>
      <c r="I1367" s="28"/>
    </row>
    <row r="1368" spans="2:9" x14ac:dyDescent="0.35">
      <c r="B1368" s="4">
        <v>45201</v>
      </c>
      <c r="C1368" s="6" t="s">
        <v>2</v>
      </c>
      <c r="D13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68" s="7">
        <v>125.48</v>
      </c>
      <c r="F1368" s="9">
        <v>1.43</v>
      </c>
      <c r="G1368" s="11">
        <v>53.309153615461518</v>
      </c>
      <c r="I1368" s="28"/>
    </row>
    <row r="1369" spans="2:9" x14ac:dyDescent="0.35">
      <c r="B1369" s="4">
        <v>45202</v>
      </c>
      <c r="C1369" s="6" t="s">
        <v>2</v>
      </c>
      <c r="D13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69" s="7">
        <v>154.47</v>
      </c>
      <c r="F1369" s="9">
        <v>1.81</v>
      </c>
      <c r="G1369" s="11">
        <v>51.495367377540823</v>
      </c>
      <c r="I1369" s="28"/>
    </row>
    <row r="1370" spans="2:9" x14ac:dyDescent="0.35">
      <c r="B1370" s="4">
        <v>45203</v>
      </c>
      <c r="C1370" s="6" t="s">
        <v>2</v>
      </c>
      <c r="D13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0" s="7">
        <v>352.67</v>
      </c>
      <c r="F1370" s="9">
        <v>1.28</v>
      </c>
      <c r="G1370" s="11">
        <v>48.978388566694278</v>
      </c>
      <c r="I1370" s="28"/>
    </row>
    <row r="1371" spans="2:9" x14ac:dyDescent="0.35">
      <c r="B1371" s="4">
        <v>45204</v>
      </c>
      <c r="C1371" s="6" t="s">
        <v>2</v>
      </c>
      <c r="D13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1" s="7">
        <v>220.07</v>
      </c>
      <c r="F1371" s="9">
        <v>5.52</v>
      </c>
      <c r="G1371" s="11">
        <v>47.973907284768217</v>
      </c>
      <c r="I1371" s="28"/>
    </row>
    <row r="1372" spans="2:9" x14ac:dyDescent="0.35">
      <c r="B1372" s="4">
        <v>45205</v>
      </c>
      <c r="C1372" s="6" t="s">
        <v>2</v>
      </c>
      <c r="D13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2" s="7">
        <v>224.19</v>
      </c>
      <c r="F1372" s="9">
        <v>3.29</v>
      </c>
      <c r="G1372" s="11">
        <v>51.427469387755096</v>
      </c>
      <c r="I1372" s="28"/>
    </row>
    <row r="1373" spans="2:9" x14ac:dyDescent="0.35">
      <c r="B1373" s="4">
        <v>45208</v>
      </c>
      <c r="C1373" s="6" t="s">
        <v>2</v>
      </c>
      <c r="D13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3" s="7">
        <v>194.75</v>
      </c>
      <c r="F1373" s="9">
        <v>3.28</v>
      </c>
      <c r="G1373" s="11">
        <v>51.557239309827459</v>
      </c>
      <c r="I1373" s="28"/>
    </row>
    <row r="1374" spans="2:9" x14ac:dyDescent="0.35">
      <c r="B1374" s="4">
        <v>45209</v>
      </c>
      <c r="C1374" s="6" t="s">
        <v>2</v>
      </c>
      <c r="D13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4" s="7">
        <v>235.72</v>
      </c>
      <c r="F1374" s="9">
        <v>6.43</v>
      </c>
      <c r="G1374" s="11">
        <v>49.401343893288875</v>
      </c>
      <c r="I1374" s="28"/>
    </row>
    <row r="1375" spans="2:9" x14ac:dyDescent="0.35">
      <c r="B1375" s="4">
        <v>45210</v>
      </c>
      <c r="C1375" s="6" t="s">
        <v>2</v>
      </c>
      <c r="D13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5" s="7">
        <v>162.44999999999999</v>
      </c>
      <c r="F1375" s="9">
        <v>0.03</v>
      </c>
      <c r="G1375" s="11">
        <v>53.149929671801736</v>
      </c>
      <c r="I1375" s="28"/>
    </row>
    <row r="1376" spans="2:9" x14ac:dyDescent="0.35">
      <c r="B1376" s="4">
        <v>45211</v>
      </c>
      <c r="C1376" s="6" t="s">
        <v>2</v>
      </c>
      <c r="D13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6" s="7">
        <v>287.05</v>
      </c>
      <c r="F1376" s="9">
        <v>0.72</v>
      </c>
      <c r="G1376" s="11">
        <v>53.087586379569352</v>
      </c>
      <c r="I1376" s="28"/>
    </row>
    <row r="1377" spans="2:9" x14ac:dyDescent="0.35">
      <c r="B1377" s="4">
        <v>45212</v>
      </c>
      <c r="C1377" s="6" t="s">
        <v>2</v>
      </c>
      <c r="D13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7" s="7">
        <v>286.61</v>
      </c>
      <c r="F1377" s="9">
        <v>1.67</v>
      </c>
      <c r="G1377" s="11">
        <v>53.648912806767733</v>
      </c>
      <c r="I1377" s="28"/>
    </row>
    <row r="1378" spans="2:9" x14ac:dyDescent="0.35">
      <c r="B1378" s="4">
        <v>45216</v>
      </c>
      <c r="C1378" s="6" t="s">
        <v>2</v>
      </c>
      <c r="D13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8" s="7">
        <v>266.7</v>
      </c>
      <c r="F1378" s="9">
        <v>1.46</v>
      </c>
      <c r="G1378" s="11">
        <v>53.939416445623337</v>
      </c>
      <c r="I1378" s="28"/>
    </row>
    <row r="1379" spans="2:9" x14ac:dyDescent="0.35">
      <c r="B1379" s="4">
        <v>45217</v>
      </c>
      <c r="C1379" s="6" t="s">
        <v>2</v>
      </c>
      <c r="D13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79" s="7">
        <v>328.76</v>
      </c>
      <c r="F1379" s="9">
        <v>3.45</v>
      </c>
      <c r="G1379" s="11">
        <v>51.033214136867549</v>
      </c>
      <c r="I1379" s="28"/>
    </row>
    <row r="1380" spans="2:9" x14ac:dyDescent="0.35">
      <c r="B1380" s="4">
        <v>45218</v>
      </c>
      <c r="C1380" s="6" t="s">
        <v>2</v>
      </c>
      <c r="D13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0" s="7">
        <v>217.18</v>
      </c>
      <c r="F1380" s="9">
        <v>0.1</v>
      </c>
      <c r="G1380" s="11">
        <v>55.316079346557764</v>
      </c>
      <c r="I1380" s="28"/>
    </row>
    <row r="1381" spans="2:9" x14ac:dyDescent="0.35">
      <c r="B1381" s="4">
        <v>45219</v>
      </c>
      <c r="C1381" s="6" t="s">
        <v>2</v>
      </c>
      <c r="D13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1" s="7">
        <v>391.23</v>
      </c>
      <c r="F1381" s="9">
        <v>0.1</v>
      </c>
      <c r="G1381" s="11">
        <v>55.316079346557764</v>
      </c>
      <c r="I1381" s="28"/>
    </row>
    <row r="1382" spans="2:9" x14ac:dyDescent="0.35">
      <c r="B1382" s="4">
        <v>45220</v>
      </c>
      <c r="C1382" s="6" t="s">
        <v>2</v>
      </c>
      <c r="D13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2" s="7">
        <v>41.03</v>
      </c>
      <c r="F1382" s="9">
        <v>2.75</v>
      </c>
      <c r="G1382" s="11">
        <v>51.841337112370788</v>
      </c>
      <c r="I1382" s="28"/>
    </row>
    <row r="1383" spans="2:9" x14ac:dyDescent="0.35">
      <c r="B1383" s="4">
        <v>45221</v>
      </c>
      <c r="C1383" s="6" t="s">
        <v>2</v>
      </c>
      <c r="D13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3" s="7">
        <v>290.52</v>
      </c>
      <c r="F1383" s="9">
        <v>0.24</v>
      </c>
      <c r="G1383" s="11">
        <v>53.928326101468613</v>
      </c>
      <c r="I1383" s="28"/>
    </row>
    <row r="1384" spans="2:9" x14ac:dyDescent="0.35">
      <c r="B1384" s="4">
        <v>45222</v>
      </c>
      <c r="C1384" s="6" t="s">
        <v>2</v>
      </c>
      <c r="D13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4" s="7">
        <v>329.63</v>
      </c>
      <c r="F1384" s="9">
        <v>1.7</v>
      </c>
      <c r="G1384" s="11">
        <v>52.400928101307997</v>
      </c>
      <c r="I1384" s="28"/>
    </row>
    <row r="1385" spans="2:9" x14ac:dyDescent="0.35">
      <c r="B1385" s="4">
        <v>45201</v>
      </c>
      <c r="C1385" s="6" t="s">
        <v>6</v>
      </c>
      <c r="D13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5" s="7">
        <v>276.98</v>
      </c>
      <c r="F1385" s="5">
        <v>1.43</v>
      </c>
      <c r="G1385" s="5">
        <v>53.309153615461518</v>
      </c>
      <c r="I1385" s="28"/>
    </row>
    <row r="1386" spans="2:9" x14ac:dyDescent="0.35">
      <c r="B1386" s="4">
        <v>45202</v>
      </c>
      <c r="C1386" s="6" t="s">
        <v>6</v>
      </c>
      <c r="D13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6" s="7">
        <v>207.73</v>
      </c>
      <c r="F1386" s="5">
        <v>1.81</v>
      </c>
      <c r="G1386" s="5">
        <v>51.495367377540823</v>
      </c>
      <c r="I1386" s="28"/>
    </row>
    <row r="1387" spans="2:9" x14ac:dyDescent="0.35">
      <c r="B1387" s="4">
        <v>45203</v>
      </c>
      <c r="C1387" s="6" t="s">
        <v>6</v>
      </c>
      <c r="D13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7" s="7">
        <v>459.66</v>
      </c>
      <c r="F1387" s="5">
        <v>1.28</v>
      </c>
      <c r="G1387" s="5">
        <v>48.978388566694278</v>
      </c>
      <c r="I1387" s="28"/>
    </row>
    <row r="1388" spans="2:9" x14ac:dyDescent="0.35">
      <c r="B1388" s="4">
        <v>45204</v>
      </c>
      <c r="C1388" s="6" t="s">
        <v>6</v>
      </c>
      <c r="D13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8" s="7">
        <v>170.86</v>
      </c>
      <c r="F1388" s="5">
        <v>5.52</v>
      </c>
      <c r="G1388" s="5">
        <v>47.973907284768217</v>
      </c>
      <c r="I1388" s="28"/>
    </row>
    <row r="1389" spans="2:9" x14ac:dyDescent="0.35">
      <c r="B1389" s="4">
        <v>45205</v>
      </c>
      <c r="C1389" s="6" t="s">
        <v>6</v>
      </c>
      <c r="D13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89" s="7">
        <v>207.47</v>
      </c>
      <c r="F1389" s="5">
        <v>3.29</v>
      </c>
      <c r="G1389" s="5">
        <v>51.427469387755096</v>
      </c>
      <c r="I1389" s="28"/>
    </row>
    <row r="1390" spans="2:9" x14ac:dyDescent="0.35">
      <c r="B1390" s="4">
        <v>45208</v>
      </c>
      <c r="C1390" s="6" t="s">
        <v>6</v>
      </c>
      <c r="D13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0" s="7">
        <v>139.71</v>
      </c>
      <c r="F1390" s="5">
        <v>3.28</v>
      </c>
      <c r="G1390" s="5">
        <v>51.557239309827459</v>
      </c>
      <c r="I1390" s="28"/>
    </row>
    <row r="1391" spans="2:9" x14ac:dyDescent="0.35">
      <c r="B1391" s="4">
        <v>45209</v>
      </c>
      <c r="C1391" s="6" t="s">
        <v>6</v>
      </c>
      <c r="D13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1" s="7">
        <v>134.57</v>
      </c>
      <c r="F1391" s="5">
        <v>6.43</v>
      </c>
      <c r="G1391" s="5">
        <v>49.401343893288875</v>
      </c>
      <c r="I1391" s="28"/>
    </row>
    <row r="1392" spans="2:9" x14ac:dyDescent="0.35">
      <c r="B1392" s="4">
        <v>45210</v>
      </c>
      <c r="C1392" s="6" t="s">
        <v>6</v>
      </c>
      <c r="D13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2" s="7">
        <v>173.11</v>
      </c>
      <c r="F1392" s="5">
        <v>0.03</v>
      </c>
      <c r="G1392" s="5">
        <v>53.149929671801736</v>
      </c>
      <c r="I1392" s="28"/>
    </row>
    <row r="1393" spans="2:9" x14ac:dyDescent="0.35">
      <c r="B1393" s="4">
        <v>45211</v>
      </c>
      <c r="C1393" s="6" t="s">
        <v>6</v>
      </c>
      <c r="D13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3" s="7">
        <v>510.34</v>
      </c>
      <c r="F1393" s="5">
        <v>0.72</v>
      </c>
      <c r="G1393" s="5">
        <v>53.087586379569352</v>
      </c>
      <c r="I1393" s="28"/>
    </row>
    <row r="1394" spans="2:9" x14ac:dyDescent="0.35">
      <c r="B1394" s="4">
        <v>45212</v>
      </c>
      <c r="C1394" s="6" t="s">
        <v>6</v>
      </c>
      <c r="D13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4" s="7">
        <v>69.569000000000003</v>
      </c>
      <c r="F1394" s="5">
        <v>1.67</v>
      </c>
      <c r="G1394" s="5">
        <v>53.648912806767733</v>
      </c>
      <c r="I1394" s="28"/>
    </row>
    <row r="1395" spans="2:9" x14ac:dyDescent="0.35">
      <c r="B1395" s="4">
        <v>45216</v>
      </c>
      <c r="C1395" s="6" t="s">
        <v>6</v>
      </c>
      <c r="D13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5" s="7">
        <v>103.24</v>
      </c>
      <c r="F1395" s="5">
        <v>1.46</v>
      </c>
      <c r="G1395" s="5">
        <v>53.939416445623337</v>
      </c>
      <c r="I1395" s="28"/>
    </row>
    <row r="1396" spans="2:9" x14ac:dyDescent="0.35">
      <c r="B1396" s="4">
        <v>45217</v>
      </c>
      <c r="C1396" s="6" t="s">
        <v>6</v>
      </c>
      <c r="D13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6" s="7">
        <v>35.79</v>
      </c>
      <c r="F1396" s="5">
        <v>3.45</v>
      </c>
      <c r="G1396" s="5">
        <v>51.033214136867549</v>
      </c>
      <c r="I1396" s="28"/>
    </row>
    <row r="1397" spans="2:9" x14ac:dyDescent="0.35">
      <c r="B1397" s="4">
        <v>45218</v>
      </c>
      <c r="C1397" s="6" t="s">
        <v>6</v>
      </c>
      <c r="D13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7" s="7">
        <v>105.44</v>
      </c>
      <c r="F1397" s="5">
        <v>0.1</v>
      </c>
      <c r="G1397" s="5">
        <v>55.316079346557764</v>
      </c>
      <c r="I1397" s="28"/>
    </row>
    <row r="1398" spans="2:9" x14ac:dyDescent="0.35">
      <c r="B1398" s="4">
        <v>45219</v>
      </c>
      <c r="C1398" s="6" t="s">
        <v>6</v>
      </c>
      <c r="D13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8" s="7">
        <v>102.88</v>
      </c>
      <c r="F1398" s="5">
        <v>0.1</v>
      </c>
      <c r="G1398" s="5">
        <v>55.316079346557764</v>
      </c>
      <c r="I1398" s="28"/>
    </row>
    <row r="1399" spans="2:9" x14ac:dyDescent="0.35">
      <c r="B1399" s="4">
        <v>45220</v>
      </c>
      <c r="C1399" s="6" t="s">
        <v>6</v>
      </c>
      <c r="D13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399" s="7">
        <v>310.94</v>
      </c>
      <c r="F1399" s="5">
        <v>2.75</v>
      </c>
      <c r="G1399" s="5">
        <v>51.841337112370788</v>
      </c>
      <c r="I1399" s="28"/>
    </row>
    <row r="1400" spans="2:9" x14ac:dyDescent="0.35">
      <c r="B1400" s="4">
        <v>45222</v>
      </c>
      <c r="C1400" s="6" t="s">
        <v>6</v>
      </c>
      <c r="D14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0" s="7">
        <v>138.94999999999999</v>
      </c>
      <c r="F1400" s="5">
        <v>1.7</v>
      </c>
      <c r="G1400" s="5">
        <v>52.400928101307997</v>
      </c>
      <c r="I1400" s="28"/>
    </row>
    <row r="1401" spans="2:9" x14ac:dyDescent="0.35">
      <c r="B1401" s="4">
        <v>45223</v>
      </c>
      <c r="C1401" s="6" t="s">
        <v>6</v>
      </c>
      <c r="D14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1" s="7">
        <v>71.03</v>
      </c>
      <c r="F1401" s="5">
        <v>2.0099999999999998</v>
      </c>
      <c r="G1401" s="5">
        <v>52.784205786708917</v>
      </c>
      <c r="I1401" s="28"/>
    </row>
    <row r="1402" spans="2:9" x14ac:dyDescent="0.35">
      <c r="B1402" s="4">
        <v>45224</v>
      </c>
      <c r="C1402" s="6" t="s">
        <v>7</v>
      </c>
      <c r="D14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2" s="7">
        <v>20.85</v>
      </c>
      <c r="F1402" s="5">
        <v>0.32</v>
      </c>
      <c r="G1402" s="5">
        <v>54.457895131710572</v>
      </c>
      <c r="I1402" s="28"/>
    </row>
    <row r="1403" spans="2:9" x14ac:dyDescent="0.35">
      <c r="B1403" s="4">
        <v>45225</v>
      </c>
      <c r="C1403" s="6" t="s">
        <v>7</v>
      </c>
      <c r="D14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3" s="7">
        <v>21.15</v>
      </c>
      <c r="F1403" s="5">
        <v>0.43</v>
      </c>
      <c r="G1403" s="5">
        <v>53.917391990694583</v>
      </c>
      <c r="I1403" s="28"/>
    </row>
    <row r="1404" spans="2:9" x14ac:dyDescent="0.35">
      <c r="B1404" s="4">
        <v>45226</v>
      </c>
      <c r="C1404" s="6" t="s">
        <v>7</v>
      </c>
      <c r="D14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4" s="7">
        <v>20.43</v>
      </c>
      <c r="F1404" s="5">
        <v>0.35</v>
      </c>
      <c r="G1404" s="5">
        <v>53.883059944820658</v>
      </c>
      <c r="I1404" s="28"/>
    </row>
    <row r="1405" spans="2:9" x14ac:dyDescent="0.35">
      <c r="B1405" s="4">
        <v>45227</v>
      </c>
      <c r="C1405" s="6" t="s">
        <v>7</v>
      </c>
      <c r="D14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5" s="7">
        <v>20.059999999999999</v>
      </c>
      <c r="F1405" s="5">
        <v>0.76</v>
      </c>
      <c r="G1405" s="5">
        <v>51.627301731996347</v>
      </c>
      <c r="I1405" s="28"/>
    </row>
    <row r="1406" spans="2:9" x14ac:dyDescent="0.35">
      <c r="B1406" s="4">
        <v>45229</v>
      </c>
      <c r="C1406" s="6" t="s">
        <v>7</v>
      </c>
      <c r="D14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6" s="7">
        <v>20.12</v>
      </c>
      <c r="F1406" s="5">
        <v>0.08</v>
      </c>
      <c r="G1406" s="5">
        <v>54.870765276511065</v>
      </c>
      <c r="I1406" s="28"/>
    </row>
    <row r="1407" spans="2:9" x14ac:dyDescent="0.35">
      <c r="B1407" s="4">
        <v>45230</v>
      </c>
      <c r="C1407" s="6" t="s">
        <v>7</v>
      </c>
      <c r="D14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7" s="7">
        <v>21.44</v>
      </c>
      <c r="F1407" s="5">
        <v>0.17</v>
      </c>
      <c r="G1407" s="5">
        <v>53.848672168042008</v>
      </c>
      <c r="I1407" s="28"/>
    </row>
    <row r="1408" spans="2:9" x14ac:dyDescent="0.35">
      <c r="B1408" s="4">
        <v>45201</v>
      </c>
      <c r="C1408" s="6" t="s">
        <v>7</v>
      </c>
      <c r="D14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8" s="7">
        <v>38.19</v>
      </c>
      <c r="F1408" s="5">
        <v>1.94</v>
      </c>
      <c r="G1408" s="5">
        <v>53.752933588548593</v>
      </c>
      <c r="I1408" s="28"/>
    </row>
    <row r="1409" spans="2:9" x14ac:dyDescent="0.35">
      <c r="B1409" s="4">
        <v>45202</v>
      </c>
      <c r="C1409" s="6" t="s">
        <v>7</v>
      </c>
      <c r="D14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09" s="7">
        <v>40.31</v>
      </c>
      <c r="F1409" s="5">
        <v>1.51</v>
      </c>
      <c r="G1409" s="5">
        <v>52.416526631657916</v>
      </c>
      <c r="I1409" s="28"/>
    </row>
    <row r="1410" spans="2:9" x14ac:dyDescent="0.35">
      <c r="B1410" s="4">
        <v>45204</v>
      </c>
      <c r="C1410" s="6" t="s">
        <v>7</v>
      </c>
      <c r="D14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0" s="7">
        <v>20.03</v>
      </c>
      <c r="F1410" s="5">
        <v>3.21</v>
      </c>
      <c r="G1410" s="5">
        <v>52.370435686372325</v>
      </c>
      <c r="I1410" s="28"/>
    </row>
    <row r="1411" spans="2:9" x14ac:dyDescent="0.35">
      <c r="B1411" s="4">
        <v>45205</v>
      </c>
      <c r="C1411" s="6" t="s">
        <v>3</v>
      </c>
      <c r="D14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1" s="7">
        <v>65.290000000000006</v>
      </c>
      <c r="F1411" s="5">
        <v>1.37</v>
      </c>
      <c r="G1411" s="5">
        <v>53.909820937786293</v>
      </c>
      <c r="I1411" s="28"/>
    </row>
    <row r="1412" spans="2:9" x14ac:dyDescent="0.35">
      <c r="B1412" s="4">
        <v>45206</v>
      </c>
      <c r="C1412" s="6" t="s">
        <v>3</v>
      </c>
      <c r="D14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2" s="7">
        <v>22.01</v>
      </c>
      <c r="F1412" s="5">
        <v>1.98</v>
      </c>
      <c r="G1412" s="5">
        <v>53.476622461665976</v>
      </c>
      <c r="I1412" s="28"/>
    </row>
    <row r="1413" spans="2:9" x14ac:dyDescent="0.35">
      <c r="B1413" s="4">
        <v>45207</v>
      </c>
      <c r="C1413" s="6" t="s">
        <v>3</v>
      </c>
      <c r="D14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3" s="7">
        <v>67.12</v>
      </c>
      <c r="F1413" s="5">
        <v>3.71</v>
      </c>
      <c r="G1413" s="5">
        <v>52.243778425655975</v>
      </c>
      <c r="I1413" s="28"/>
    </row>
    <row r="1414" spans="2:9" x14ac:dyDescent="0.35">
      <c r="B1414" s="4">
        <v>45208</v>
      </c>
      <c r="C1414" s="6" t="s">
        <v>3</v>
      </c>
      <c r="D14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4" s="7">
        <v>113.89</v>
      </c>
      <c r="F1414" s="5">
        <v>1.6</v>
      </c>
      <c r="G1414" s="5">
        <v>53.152055415617127</v>
      </c>
      <c r="I1414" s="28"/>
    </row>
    <row r="1415" spans="2:9" x14ac:dyDescent="0.35">
      <c r="B1415" s="4">
        <v>45210</v>
      </c>
      <c r="C1415" s="6" t="s">
        <v>3</v>
      </c>
      <c r="D14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5" s="7">
        <v>85.11</v>
      </c>
      <c r="F1415" s="5">
        <v>1.57</v>
      </c>
      <c r="G1415" s="5">
        <v>54.034039050219242</v>
      </c>
      <c r="I1415" s="28"/>
    </row>
    <row r="1416" spans="2:9" x14ac:dyDescent="0.35">
      <c r="B1416" s="4">
        <v>45211</v>
      </c>
      <c r="C1416" s="6" t="s">
        <v>3</v>
      </c>
      <c r="D14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6" s="7">
        <v>42.21</v>
      </c>
      <c r="F1416" s="5">
        <v>1.66</v>
      </c>
      <c r="G1416" s="5">
        <v>53.617306737295152</v>
      </c>
      <c r="I1416" s="28"/>
    </row>
    <row r="1417" spans="2:9" x14ac:dyDescent="0.35">
      <c r="B1417" s="4">
        <v>45212</v>
      </c>
      <c r="C1417" s="6" t="s">
        <v>3</v>
      </c>
      <c r="D14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7" s="7">
        <v>86.44</v>
      </c>
      <c r="F1417" s="5">
        <v>2.4900000000000002</v>
      </c>
      <c r="G1417" s="5">
        <v>53.244178782088561</v>
      </c>
      <c r="I1417" s="28"/>
    </row>
    <row r="1418" spans="2:9" x14ac:dyDescent="0.35">
      <c r="B1418" s="4">
        <v>45213</v>
      </c>
      <c r="C1418" s="6" t="s">
        <v>3</v>
      </c>
      <c r="D14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8" s="7">
        <v>88.04</v>
      </c>
      <c r="F1418" s="5">
        <v>2.62</v>
      </c>
      <c r="G1418" s="5">
        <v>46.450062282012951</v>
      </c>
      <c r="I1418" s="28"/>
    </row>
    <row r="1419" spans="2:9" x14ac:dyDescent="0.35">
      <c r="B1419" s="4">
        <v>45216</v>
      </c>
      <c r="C1419" s="6" t="s">
        <v>3</v>
      </c>
      <c r="D14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19" s="7">
        <v>88.02</v>
      </c>
      <c r="F1419" s="5">
        <v>2.62</v>
      </c>
      <c r="G1419" s="5">
        <v>46.450062282012951</v>
      </c>
      <c r="I1419" s="28"/>
    </row>
    <row r="1420" spans="2:9" x14ac:dyDescent="0.35">
      <c r="B1420" s="4">
        <v>45217</v>
      </c>
      <c r="C1420" s="6" t="s">
        <v>3</v>
      </c>
      <c r="D14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0" s="7">
        <v>89.96</v>
      </c>
      <c r="F1420" s="5">
        <v>3.22</v>
      </c>
      <c r="G1420" s="5">
        <v>52.584800464614617</v>
      </c>
      <c r="I1420" s="28"/>
    </row>
    <row r="1421" spans="2:9" x14ac:dyDescent="0.35">
      <c r="B1421" s="4">
        <v>45218</v>
      </c>
      <c r="C1421" s="6" t="s">
        <v>3</v>
      </c>
      <c r="D14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1" s="7">
        <v>89.96</v>
      </c>
      <c r="F1421" s="5">
        <v>3.63</v>
      </c>
      <c r="G1421" s="5">
        <v>52.46219929836284</v>
      </c>
      <c r="I1421" s="28"/>
    </row>
    <row r="1422" spans="2:9" x14ac:dyDescent="0.35">
      <c r="B1422" s="4">
        <v>45219</v>
      </c>
      <c r="C1422" s="6" t="s">
        <v>3</v>
      </c>
      <c r="D14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2" s="7">
        <v>94.1</v>
      </c>
      <c r="F1422" s="5">
        <v>3.12</v>
      </c>
      <c r="G1422" s="5">
        <v>52.562229673093043</v>
      </c>
      <c r="I1422" s="28"/>
    </row>
    <row r="1423" spans="2:9" x14ac:dyDescent="0.35">
      <c r="B1423" s="4">
        <v>45220</v>
      </c>
      <c r="C1423" s="6" t="s">
        <v>3</v>
      </c>
      <c r="D14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3" s="7">
        <v>87.07</v>
      </c>
      <c r="F1423" s="5">
        <v>1.75</v>
      </c>
      <c r="G1423" s="5">
        <v>53.7265462283044</v>
      </c>
      <c r="I1423" s="28"/>
    </row>
    <row r="1424" spans="2:9" x14ac:dyDescent="0.35">
      <c r="B1424" s="4">
        <v>45222</v>
      </c>
      <c r="C1424" s="6" t="s">
        <v>3</v>
      </c>
      <c r="D14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4" s="7">
        <v>90.82</v>
      </c>
      <c r="F1424" s="5">
        <v>3.38</v>
      </c>
      <c r="G1424" s="5">
        <v>52.802833444481493</v>
      </c>
      <c r="I1424" s="28"/>
    </row>
    <row r="1425" spans="2:9" x14ac:dyDescent="0.35">
      <c r="B1425" s="4">
        <v>45225</v>
      </c>
      <c r="C1425" s="6" t="s">
        <v>3</v>
      </c>
      <c r="D14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5" s="7">
        <v>67.930000000000007</v>
      </c>
      <c r="F1425" s="9">
        <v>2.84</v>
      </c>
      <c r="G1425" s="10">
        <v>52.318211654387142</v>
      </c>
      <c r="I1425" s="28"/>
    </row>
    <row r="1426" spans="2:9" x14ac:dyDescent="0.35">
      <c r="B1426" s="4">
        <v>45226</v>
      </c>
      <c r="C1426" s="6" t="s">
        <v>3</v>
      </c>
      <c r="D14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6" s="7">
        <v>64.73</v>
      </c>
      <c r="F1426" s="9">
        <v>1.94</v>
      </c>
      <c r="G1426" s="10">
        <v>53.672607246980427</v>
      </c>
      <c r="I1426" s="28"/>
    </row>
    <row r="1427" spans="2:9" x14ac:dyDescent="0.35">
      <c r="B1427" s="4">
        <v>45229</v>
      </c>
      <c r="C1427" s="1" t="s">
        <v>4</v>
      </c>
      <c r="D1427" s="1" t="str">
        <f>IF(ISNUMBER(MATCH(ING_PRV[[#This Row],[Proveedor]],PARAMETROS!$A$2:$A$8,0)),"COMPRADA",
                    IF(ISNUMBER(MATCH(ING_PRV[[#This Row],[Proveedor]],PARAMETROS!$B$2:$B$8,0)),"PROPIA","NA")
)</f>
        <v>COMPRADA</v>
      </c>
      <c r="E1427" s="7">
        <v>52.7</v>
      </c>
      <c r="F1427" s="9">
        <v>2.04</v>
      </c>
      <c r="G1427" s="10">
        <v>53.455303913405494</v>
      </c>
      <c r="I1427" s="28"/>
    </row>
    <row r="1428" spans="2:9" x14ac:dyDescent="0.35">
      <c r="B1428" s="4">
        <v>45230</v>
      </c>
      <c r="C1428" s="6" t="s">
        <v>5</v>
      </c>
      <c r="D14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8" s="7">
        <v>33.79</v>
      </c>
      <c r="F1428" s="9">
        <v>2.33</v>
      </c>
      <c r="G1428" s="10">
        <v>53.291595434474708</v>
      </c>
      <c r="I1428" s="28"/>
    </row>
    <row r="1429" spans="2:9" x14ac:dyDescent="0.35">
      <c r="B1429" s="4">
        <v>45201</v>
      </c>
      <c r="C1429" s="6" t="s">
        <v>2</v>
      </c>
      <c r="D14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29" s="7">
        <v>125.48</v>
      </c>
      <c r="F1429" s="5">
        <v>1.43</v>
      </c>
      <c r="G1429" s="5">
        <v>53.309153615461518</v>
      </c>
      <c r="I1429" s="28"/>
    </row>
    <row r="1430" spans="2:9" x14ac:dyDescent="0.35">
      <c r="B1430" s="4">
        <v>45202</v>
      </c>
      <c r="C1430" s="6" t="s">
        <v>2</v>
      </c>
      <c r="D14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0" s="7">
        <v>154.47</v>
      </c>
      <c r="F1430" s="5">
        <v>1.81</v>
      </c>
      <c r="G1430" s="5">
        <v>51.495367377540823</v>
      </c>
      <c r="I1430" s="28"/>
    </row>
    <row r="1431" spans="2:9" x14ac:dyDescent="0.35">
      <c r="B1431" s="4">
        <v>45203</v>
      </c>
      <c r="C1431" s="6" t="s">
        <v>2</v>
      </c>
      <c r="D14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1" s="7">
        <v>352.67</v>
      </c>
      <c r="F1431" s="5">
        <v>1.28</v>
      </c>
      <c r="G1431" s="5">
        <v>48.978388566694278</v>
      </c>
      <c r="I1431" s="28"/>
    </row>
    <row r="1432" spans="2:9" x14ac:dyDescent="0.35">
      <c r="B1432" s="4">
        <v>45204</v>
      </c>
      <c r="C1432" s="6" t="s">
        <v>2</v>
      </c>
      <c r="D14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2" s="7">
        <v>220.07</v>
      </c>
      <c r="F1432" s="5">
        <v>5.52</v>
      </c>
      <c r="G1432" s="5">
        <v>47.973907284768217</v>
      </c>
      <c r="I1432" s="28"/>
    </row>
    <row r="1433" spans="2:9" x14ac:dyDescent="0.35">
      <c r="B1433" s="4">
        <v>45205</v>
      </c>
      <c r="C1433" s="6" t="s">
        <v>2</v>
      </c>
      <c r="D14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3" s="7">
        <v>224.19</v>
      </c>
      <c r="F1433" s="5">
        <v>3.29</v>
      </c>
      <c r="G1433" s="5">
        <v>51.427469387755096</v>
      </c>
      <c r="I1433" s="28"/>
    </row>
    <row r="1434" spans="2:9" x14ac:dyDescent="0.35">
      <c r="B1434" s="4">
        <v>45208</v>
      </c>
      <c r="C1434" s="6" t="s">
        <v>2</v>
      </c>
      <c r="D14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4" s="7">
        <v>194.75</v>
      </c>
      <c r="F1434" s="5">
        <v>3.28</v>
      </c>
      <c r="G1434" s="5">
        <v>51.557239309827459</v>
      </c>
      <c r="I1434" s="28"/>
    </row>
    <row r="1435" spans="2:9" x14ac:dyDescent="0.35">
      <c r="B1435" s="4">
        <v>45209</v>
      </c>
      <c r="C1435" s="6" t="s">
        <v>2</v>
      </c>
      <c r="D14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5" s="7">
        <v>235.72</v>
      </c>
      <c r="F1435" s="5">
        <v>6.43</v>
      </c>
      <c r="G1435" s="5">
        <v>49.401343893288875</v>
      </c>
      <c r="I1435" s="28"/>
    </row>
    <row r="1436" spans="2:9" x14ac:dyDescent="0.35">
      <c r="B1436" s="4">
        <v>45210</v>
      </c>
      <c r="C1436" s="6" t="s">
        <v>2</v>
      </c>
      <c r="D14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6" s="7">
        <v>162.44999999999999</v>
      </c>
      <c r="F1436" s="5">
        <v>0.03</v>
      </c>
      <c r="G1436" s="5">
        <v>53.149929671801736</v>
      </c>
      <c r="I1436" s="28"/>
    </row>
    <row r="1437" spans="2:9" x14ac:dyDescent="0.35">
      <c r="B1437" s="4">
        <v>45211</v>
      </c>
      <c r="C1437" s="6" t="s">
        <v>2</v>
      </c>
      <c r="D14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7" s="7">
        <v>287.05</v>
      </c>
      <c r="F1437" s="5">
        <v>0.72</v>
      </c>
      <c r="G1437" s="5">
        <v>53.087586379569352</v>
      </c>
      <c r="I1437" s="28"/>
    </row>
    <row r="1438" spans="2:9" x14ac:dyDescent="0.35">
      <c r="B1438" s="4">
        <v>45212</v>
      </c>
      <c r="C1438" s="6" t="s">
        <v>2</v>
      </c>
      <c r="D14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8" s="7">
        <v>286.61</v>
      </c>
      <c r="F1438" s="5">
        <v>1.67</v>
      </c>
      <c r="G1438" s="5">
        <v>53.648912806767733</v>
      </c>
      <c r="I1438" s="28"/>
    </row>
    <row r="1439" spans="2:9" x14ac:dyDescent="0.35">
      <c r="B1439" s="4">
        <v>45216</v>
      </c>
      <c r="C1439" s="6" t="s">
        <v>2</v>
      </c>
      <c r="D14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39" s="7">
        <v>266.7</v>
      </c>
      <c r="F1439" s="5">
        <v>1.46</v>
      </c>
      <c r="G1439" s="5">
        <v>53.939416445623337</v>
      </c>
      <c r="I1439" s="28"/>
    </row>
    <row r="1440" spans="2:9" x14ac:dyDescent="0.35">
      <c r="B1440" s="4">
        <v>45217</v>
      </c>
      <c r="C1440" s="6" t="s">
        <v>2</v>
      </c>
      <c r="D14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0" s="7">
        <v>328.76</v>
      </c>
      <c r="F1440" s="5">
        <v>3.45</v>
      </c>
      <c r="G1440" s="5">
        <v>51.033214136867549</v>
      </c>
      <c r="I1440" s="28"/>
    </row>
    <row r="1441" spans="2:9" x14ac:dyDescent="0.35">
      <c r="B1441" s="4">
        <v>45218</v>
      </c>
      <c r="C1441" s="6" t="s">
        <v>2</v>
      </c>
      <c r="D14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1" s="7">
        <v>217.18</v>
      </c>
      <c r="F1441" s="5">
        <v>0.1</v>
      </c>
      <c r="G1441" s="5">
        <v>55.316079346557764</v>
      </c>
      <c r="I1441" s="28"/>
    </row>
    <row r="1442" spans="2:9" x14ac:dyDescent="0.35">
      <c r="B1442" s="4">
        <v>45219</v>
      </c>
      <c r="C1442" s="6" t="s">
        <v>2</v>
      </c>
      <c r="D14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2" s="7">
        <v>391.23</v>
      </c>
      <c r="F1442" s="5">
        <v>0.1</v>
      </c>
      <c r="G1442" s="5">
        <v>55.316079346557764</v>
      </c>
      <c r="I1442" s="28"/>
    </row>
    <row r="1443" spans="2:9" x14ac:dyDescent="0.35">
      <c r="B1443" s="4">
        <v>45220</v>
      </c>
      <c r="C1443" s="6" t="s">
        <v>2</v>
      </c>
      <c r="D14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3" s="7">
        <v>41.03</v>
      </c>
      <c r="F1443" s="5">
        <v>2.75</v>
      </c>
      <c r="G1443" s="5">
        <v>51.841337112370788</v>
      </c>
      <c r="I1443" s="28"/>
    </row>
    <row r="1444" spans="2:9" x14ac:dyDescent="0.35">
      <c r="B1444" s="4">
        <v>45222</v>
      </c>
      <c r="C1444" s="6" t="s">
        <v>2</v>
      </c>
      <c r="D14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4" s="7">
        <v>290.52</v>
      </c>
      <c r="F1444" s="5">
        <v>1.7</v>
      </c>
      <c r="G1444" s="5">
        <v>52.400928101307997</v>
      </c>
      <c r="I1444" s="28"/>
    </row>
    <row r="1445" spans="2:9" x14ac:dyDescent="0.35">
      <c r="B1445" s="4">
        <v>45223</v>
      </c>
      <c r="C1445" s="6" t="s">
        <v>2</v>
      </c>
      <c r="D14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5" s="7">
        <v>329.63</v>
      </c>
      <c r="F1445" s="5">
        <v>2.0099999999999998</v>
      </c>
      <c r="G1445" s="5">
        <v>52.784205786708917</v>
      </c>
      <c r="I1445" s="28"/>
    </row>
    <row r="1446" spans="2:9" x14ac:dyDescent="0.35">
      <c r="B1446" s="4">
        <v>45224</v>
      </c>
      <c r="C1446" s="6" t="s">
        <v>2</v>
      </c>
      <c r="D14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6" s="7">
        <v>238.1</v>
      </c>
      <c r="F1446" s="5">
        <v>0.32</v>
      </c>
      <c r="G1446" s="5">
        <v>54.457895131710572</v>
      </c>
      <c r="I1446" s="28"/>
    </row>
    <row r="1447" spans="2:9" x14ac:dyDescent="0.35">
      <c r="B1447" s="4">
        <v>45225</v>
      </c>
      <c r="C1447" s="6" t="s">
        <v>2</v>
      </c>
      <c r="D14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7" s="7">
        <v>278.10000000000002</v>
      </c>
      <c r="F1447" s="5">
        <v>0.43</v>
      </c>
      <c r="G1447" s="5">
        <v>53.917391990694583</v>
      </c>
      <c r="I1447" s="28"/>
    </row>
    <row r="1448" spans="2:9" x14ac:dyDescent="0.35">
      <c r="B1448" s="4">
        <v>45226</v>
      </c>
      <c r="C1448" s="6" t="s">
        <v>2</v>
      </c>
      <c r="D14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8" s="7">
        <v>276.7</v>
      </c>
      <c r="F1448" s="5">
        <v>0.35</v>
      </c>
      <c r="G1448" s="5">
        <v>53.883059944820658</v>
      </c>
      <c r="I1448" s="28"/>
    </row>
    <row r="1449" spans="2:9" x14ac:dyDescent="0.35">
      <c r="B1449" s="4">
        <v>45227</v>
      </c>
      <c r="C1449" s="6" t="s">
        <v>2</v>
      </c>
      <c r="D14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49" s="7">
        <v>58.3</v>
      </c>
      <c r="F1449" s="5">
        <v>0.76</v>
      </c>
      <c r="G1449" s="5">
        <v>51.627301731996347</v>
      </c>
      <c r="I1449" s="28"/>
    </row>
    <row r="1450" spans="2:9" x14ac:dyDescent="0.35">
      <c r="B1450" s="4">
        <v>45229</v>
      </c>
      <c r="C1450" s="6" t="s">
        <v>2</v>
      </c>
      <c r="D14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0" s="7">
        <v>109.55</v>
      </c>
      <c r="F1450" s="5">
        <v>0.08</v>
      </c>
      <c r="G1450" s="5">
        <v>54.870765276511065</v>
      </c>
      <c r="I1450" s="28"/>
    </row>
    <row r="1451" spans="2:9" x14ac:dyDescent="0.35">
      <c r="B1451" s="4">
        <v>45230</v>
      </c>
      <c r="C1451" s="6" t="s">
        <v>2</v>
      </c>
      <c r="D14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1" s="7">
        <v>65.349999999999994</v>
      </c>
      <c r="F1451" s="5">
        <v>0.17</v>
      </c>
      <c r="G1451" s="5">
        <v>53.848672168042008</v>
      </c>
      <c r="I1451" s="28"/>
    </row>
    <row r="1452" spans="2:9" x14ac:dyDescent="0.35">
      <c r="B1452" s="4">
        <v>45201</v>
      </c>
      <c r="C1452" s="6" t="s">
        <v>6</v>
      </c>
      <c r="D14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2" s="7">
        <v>276.98</v>
      </c>
      <c r="F1452" s="5">
        <v>1.94</v>
      </c>
      <c r="G1452" s="5">
        <v>53.752933588548593</v>
      </c>
      <c r="I1452" s="28"/>
    </row>
    <row r="1453" spans="2:9" x14ac:dyDescent="0.35">
      <c r="B1453" s="4">
        <v>45202</v>
      </c>
      <c r="C1453" s="6" t="s">
        <v>6</v>
      </c>
      <c r="D14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3" s="7">
        <v>207.73</v>
      </c>
      <c r="F1453" s="5">
        <v>1.51</v>
      </c>
      <c r="G1453" s="5">
        <v>52.416526631657916</v>
      </c>
      <c r="I1453" s="28"/>
    </row>
    <row r="1454" spans="2:9" x14ac:dyDescent="0.35">
      <c r="B1454" s="4">
        <v>45204</v>
      </c>
      <c r="C1454" s="6" t="s">
        <v>6</v>
      </c>
      <c r="D14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4" s="7">
        <v>459.66</v>
      </c>
      <c r="F1454" s="5">
        <v>3.21</v>
      </c>
      <c r="G1454" s="5">
        <v>52.370435686372325</v>
      </c>
      <c r="I1454" s="28"/>
    </row>
    <row r="1455" spans="2:9" x14ac:dyDescent="0.35">
      <c r="B1455" s="4">
        <v>45205</v>
      </c>
      <c r="C1455" s="6" t="s">
        <v>6</v>
      </c>
      <c r="D14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5" s="7">
        <v>170.86</v>
      </c>
      <c r="F1455" s="5">
        <v>1.37</v>
      </c>
      <c r="G1455" s="5">
        <v>53.909820937786293</v>
      </c>
      <c r="I1455" s="28"/>
    </row>
    <row r="1456" spans="2:9" x14ac:dyDescent="0.35">
      <c r="B1456" s="4">
        <v>45206</v>
      </c>
      <c r="C1456" s="6" t="s">
        <v>6</v>
      </c>
      <c r="D14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6" s="7">
        <v>207.47</v>
      </c>
      <c r="F1456" s="5">
        <v>1.98</v>
      </c>
      <c r="G1456" s="5">
        <v>53.476622461665976</v>
      </c>
      <c r="I1456" s="28"/>
    </row>
    <row r="1457" spans="2:9" x14ac:dyDescent="0.35">
      <c r="B1457" s="4">
        <v>45207</v>
      </c>
      <c r="C1457" s="6" t="s">
        <v>6</v>
      </c>
      <c r="D14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7" s="7">
        <v>139.71</v>
      </c>
      <c r="F1457" s="5">
        <v>3.71</v>
      </c>
      <c r="G1457" s="5">
        <v>52.243778425655975</v>
      </c>
      <c r="I1457" s="28"/>
    </row>
    <row r="1458" spans="2:9" x14ac:dyDescent="0.35">
      <c r="B1458" s="4">
        <v>45208</v>
      </c>
      <c r="C1458" s="6" t="s">
        <v>6</v>
      </c>
      <c r="D14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8" s="7">
        <v>134.57</v>
      </c>
      <c r="F1458" s="5">
        <v>1.6</v>
      </c>
      <c r="G1458" s="5">
        <v>53.152055415617127</v>
      </c>
      <c r="I1458" s="28"/>
    </row>
    <row r="1459" spans="2:9" x14ac:dyDescent="0.35">
      <c r="B1459" s="4">
        <v>45210</v>
      </c>
      <c r="C1459" s="6" t="s">
        <v>6</v>
      </c>
      <c r="D14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59" s="7">
        <v>173.11</v>
      </c>
      <c r="F1459" s="5">
        <v>1.57</v>
      </c>
      <c r="G1459" s="5">
        <v>54.034039050219242</v>
      </c>
      <c r="I1459" s="28"/>
    </row>
    <row r="1460" spans="2:9" x14ac:dyDescent="0.35">
      <c r="B1460" s="4">
        <v>45211</v>
      </c>
      <c r="C1460" s="6" t="s">
        <v>6</v>
      </c>
      <c r="D14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0" s="7">
        <v>510.34</v>
      </c>
      <c r="F1460" s="5">
        <v>1.66</v>
      </c>
      <c r="G1460" s="5">
        <v>53.617306737295152</v>
      </c>
      <c r="I1460" s="28"/>
    </row>
    <row r="1461" spans="2:9" x14ac:dyDescent="0.35">
      <c r="B1461" s="4">
        <v>45212</v>
      </c>
      <c r="C1461" s="6" t="s">
        <v>6</v>
      </c>
      <c r="D14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1" s="7">
        <v>69.569000000000003</v>
      </c>
      <c r="F1461" s="5">
        <v>2.4900000000000002</v>
      </c>
      <c r="G1461" s="5">
        <v>53.244178782088561</v>
      </c>
      <c r="I1461" s="28"/>
    </row>
    <row r="1462" spans="2:9" x14ac:dyDescent="0.35">
      <c r="B1462" s="4">
        <v>45213</v>
      </c>
      <c r="C1462" s="6" t="s">
        <v>6</v>
      </c>
      <c r="D14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2" s="7">
        <v>103.24</v>
      </c>
      <c r="F1462" s="5">
        <v>2.62</v>
      </c>
      <c r="G1462" s="5">
        <v>46.450062282012951</v>
      </c>
      <c r="I1462" s="28"/>
    </row>
    <row r="1463" spans="2:9" x14ac:dyDescent="0.35">
      <c r="B1463" s="4">
        <v>45216</v>
      </c>
      <c r="C1463" s="6" t="s">
        <v>6</v>
      </c>
      <c r="D14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3" s="7">
        <v>35.79</v>
      </c>
      <c r="F1463" s="5">
        <v>2.62</v>
      </c>
      <c r="G1463" s="5">
        <v>46.450062282012951</v>
      </c>
      <c r="I1463" s="28"/>
    </row>
    <row r="1464" spans="2:9" x14ac:dyDescent="0.35">
      <c r="B1464" s="4">
        <v>45217</v>
      </c>
      <c r="C1464" s="6" t="s">
        <v>6</v>
      </c>
      <c r="D14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4" s="7">
        <v>105.44</v>
      </c>
      <c r="F1464" s="5">
        <v>3.22</v>
      </c>
      <c r="G1464" s="5">
        <v>52.584800464614617</v>
      </c>
      <c r="I1464" s="28"/>
    </row>
    <row r="1465" spans="2:9" x14ac:dyDescent="0.35">
      <c r="B1465" s="4">
        <v>45218</v>
      </c>
      <c r="C1465" s="6" t="s">
        <v>6</v>
      </c>
      <c r="D14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5" s="7">
        <v>102.88</v>
      </c>
      <c r="F1465" s="5">
        <v>3.63</v>
      </c>
      <c r="G1465" s="5">
        <v>52.46219929836284</v>
      </c>
      <c r="I1465" s="28"/>
    </row>
    <row r="1466" spans="2:9" x14ac:dyDescent="0.35">
      <c r="B1466" s="4">
        <v>45219</v>
      </c>
      <c r="C1466" s="6" t="s">
        <v>6</v>
      </c>
      <c r="D14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6" s="7">
        <v>310.94</v>
      </c>
      <c r="F1466" s="5">
        <v>3.12</v>
      </c>
      <c r="G1466" s="5">
        <v>52.562229673093043</v>
      </c>
      <c r="I1466" s="28"/>
    </row>
    <row r="1467" spans="2:9" x14ac:dyDescent="0.35">
      <c r="B1467" s="4">
        <v>45220</v>
      </c>
      <c r="C1467" s="6" t="s">
        <v>6</v>
      </c>
      <c r="D14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7" s="7">
        <v>138.94999999999999</v>
      </c>
      <c r="F1467" s="5">
        <v>1.75</v>
      </c>
      <c r="G1467" s="5">
        <v>53.7265462283044</v>
      </c>
      <c r="I1467" s="28"/>
    </row>
    <row r="1468" spans="2:9" x14ac:dyDescent="0.35">
      <c r="B1468" s="4">
        <v>45222</v>
      </c>
      <c r="C1468" s="6" t="s">
        <v>6</v>
      </c>
      <c r="D14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8" s="7">
        <v>71.03</v>
      </c>
      <c r="F1468" s="5">
        <v>3.38</v>
      </c>
      <c r="G1468" s="5">
        <v>52.802833444481493</v>
      </c>
      <c r="I1468" s="28"/>
    </row>
    <row r="1469" spans="2:9" x14ac:dyDescent="0.35">
      <c r="B1469" s="4">
        <v>45225</v>
      </c>
      <c r="C1469" s="6" t="s">
        <v>6</v>
      </c>
      <c r="D14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69" s="7">
        <v>101.08</v>
      </c>
      <c r="F1469" s="9">
        <v>2.84</v>
      </c>
      <c r="G1469" s="10">
        <v>52.318211654387142</v>
      </c>
      <c r="I1469" s="28"/>
    </row>
    <row r="1470" spans="2:9" x14ac:dyDescent="0.35">
      <c r="B1470" s="4">
        <v>45226</v>
      </c>
      <c r="C1470" s="6" t="s">
        <v>6</v>
      </c>
      <c r="D14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0" s="7">
        <v>103.2</v>
      </c>
      <c r="F1470" s="9">
        <v>1.94</v>
      </c>
      <c r="G1470" s="10">
        <v>53.672607246980427</v>
      </c>
      <c r="I1470" s="28"/>
    </row>
    <row r="1471" spans="2:9" x14ac:dyDescent="0.35">
      <c r="B1471" s="4">
        <v>45229</v>
      </c>
      <c r="C1471" s="6" t="s">
        <v>6</v>
      </c>
      <c r="D14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1" s="7">
        <v>200.4</v>
      </c>
      <c r="F1471" s="9">
        <v>2.04</v>
      </c>
      <c r="G1471" s="10">
        <v>53.455303913405494</v>
      </c>
      <c r="I1471" s="28"/>
    </row>
    <row r="1472" spans="2:9" x14ac:dyDescent="0.35">
      <c r="B1472" s="4">
        <v>45230</v>
      </c>
      <c r="C1472" s="6" t="s">
        <v>6</v>
      </c>
      <c r="D14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2" s="7">
        <v>0.373</v>
      </c>
      <c r="F1472" s="9">
        <v>2.33</v>
      </c>
      <c r="G1472" s="10">
        <v>53.291595434474708</v>
      </c>
      <c r="I1472" s="28"/>
    </row>
    <row r="1473" spans="2:9" x14ac:dyDescent="0.35">
      <c r="B1473" s="4">
        <v>45201</v>
      </c>
      <c r="C1473" s="6" t="s">
        <v>7</v>
      </c>
      <c r="D14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3" s="7">
        <v>20.85</v>
      </c>
      <c r="F1473" s="5">
        <v>2.83</v>
      </c>
      <c r="G1473" s="5">
        <v>52.28996419352152</v>
      </c>
      <c r="I1473" s="28"/>
    </row>
    <row r="1474" spans="2:9" x14ac:dyDescent="0.35">
      <c r="B1474" s="4">
        <v>45203</v>
      </c>
      <c r="C1474" s="6" t="s">
        <v>7</v>
      </c>
      <c r="D14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4" s="7">
        <v>21.15</v>
      </c>
      <c r="F1474" s="5">
        <v>1.83</v>
      </c>
      <c r="G1474" s="5">
        <v>51.098666666666659</v>
      </c>
      <c r="I1474" s="28"/>
    </row>
    <row r="1475" spans="2:9" x14ac:dyDescent="0.35">
      <c r="B1475" s="4">
        <v>45204</v>
      </c>
      <c r="C1475" s="6" t="s">
        <v>7</v>
      </c>
      <c r="D14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5" s="7">
        <v>20.43</v>
      </c>
      <c r="F1475" s="5">
        <v>1.45</v>
      </c>
      <c r="G1475" s="5">
        <v>50.046798241976937</v>
      </c>
      <c r="I1475" s="28"/>
    </row>
    <row r="1476" spans="2:9" x14ac:dyDescent="0.35">
      <c r="B1476" s="4">
        <v>45206</v>
      </c>
      <c r="C1476" s="6" t="s">
        <v>7</v>
      </c>
      <c r="D14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6" s="7">
        <v>20.059999999999999</v>
      </c>
      <c r="F1476" s="5">
        <v>1.82</v>
      </c>
      <c r="G1476" s="5">
        <v>53.454670219853433</v>
      </c>
      <c r="I1476" s="28"/>
    </row>
    <row r="1477" spans="2:9" x14ac:dyDescent="0.35">
      <c r="B1477" s="4">
        <v>45209</v>
      </c>
      <c r="C1477" s="6" t="s">
        <v>7</v>
      </c>
      <c r="D14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7" s="7">
        <v>20.12</v>
      </c>
      <c r="F1477" s="5">
        <v>0.2</v>
      </c>
      <c r="G1477" s="5">
        <v>54.777380952380952</v>
      </c>
      <c r="I1477" s="28"/>
    </row>
    <row r="1478" spans="2:9" x14ac:dyDescent="0.35">
      <c r="B1478" s="4">
        <v>45210</v>
      </c>
      <c r="C1478" s="6" t="s">
        <v>7</v>
      </c>
      <c r="D14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8" s="7">
        <v>21.44</v>
      </c>
      <c r="F1478" s="5">
        <v>2.2200000000000002</v>
      </c>
      <c r="G1478" s="5">
        <v>52.611320786281887</v>
      </c>
      <c r="I1478" s="28"/>
    </row>
    <row r="1479" spans="2:9" x14ac:dyDescent="0.35">
      <c r="B1479" s="4">
        <v>45218</v>
      </c>
      <c r="C1479" s="6" t="s">
        <v>7</v>
      </c>
      <c r="D14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79" s="7">
        <v>38.19</v>
      </c>
      <c r="F1479" s="5">
        <v>0.11</v>
      </c>
      <c r="G1479" s="5">
        <v>54.789919602154995</v>
      </c>
      <c r="I1479" s="28"/>
    </row>
    <row r="1480" spans="2:9" x14ac:dyDescent="0.35">
      <c r="B1480" s="4">
        <v>45219</v>
      </c>
      <c r="C1480" s="6" t="s">
        <v>7</v>
      </c>
      <c r="D14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0" s="7">
        <v>40.31</v>
      </c>
      <c r="F1480" s="5">
        <v>1.65</v>
      </c>
      <c r="G1480" s="5">
        <v>53.76828609536512</v>
      </c>
      <c r="I1480" s="28"/>
    </row>
    <row r="1481" spans="2:9" x14ac:dyDescent="0.35">
      <c r="B1481" s="4">
        <v>45220</v>
      </c>
      <c r="C1481" s="6" t="s">
        <v>7</v>
      </c>
      <c r="D14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1" s="7">
        <v>20.03</v>
      </c>
      <c r="F1481" s="5">
        <v>0.62</v>
      </c>
      <c r="G1481" s="5">
        <v>53.452765922112427</v>
      </c>
      <c r="I1481" s="28"/>
    </row>
    <row r="1482" spans="2:9" x14ac:dyDescent="0.35">
      <c r="B1482" s="4">
        <v>45222</v>
      </c>
      <c r="C1482" s="6" t="s">
        <v>7</v>
      </c>
      <c r="D14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2" s="7">
        <v>21.86</v>
      </c>
      <c r="F1482" s="9">
        <v>3.82</v>
      </c>
      <c r="G1482" s="11">
        <v>52.332355733200096</v>
      </c>
      <c r="I1482" s="28"/>
    </row>
    <row r="1483" spans="2:9" x14ac:dyDescent="0.35">
      <c r="B1483" s="4">
        <v>45223</v>
      </c>
      <c r="C1483" s="6" t="s">
        <v>7</v>
      </c>
      <c r="D14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3" s="7">
        <v>21.47</v>
      </c>
      <c r="F1483" s="9">
        <v>1.07</v>
      </c>
      <c r="G1483" s="11">
        <v>54.311447631754504</v>
      </c>
      <c r="I1483" s="28"/>
    </row>
    <row r="1484" spans="2:9" x14ac:dyDescent="0.35">
      <c r="B1484" s="4">
        <v>45201</v>
      </c>
      <c r="C1484" s="6" t="s">
        <v>3</v>
      </c>
      <c r="D14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4" s="7">
        <v>65.290000000000006</v>
      </c>
      <c r="F1484" s="5">
        <v>4.83</v>
      </c>
      <c r="G1484" s="5">
        <v>51.378068473845644</v>
      </c>
      <c r="I1484" s="28"/>
    </row>
    <row r="1485" spans="2:9" x14ac:dyDescent="0.35">
      <c r="B1485" s="4">
        <v>45202</v>
      </c>
      <c r="C1485" s="6" t="s">
        <v>3</v>
      </c>
      <c r="D14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5" s="7">
        <v>22.01</v>
      </c>
      <c r="F1485" s="5">
        <v>1.66</v>
      </c>
      <c r="G1485" s="5">
        <v>52.407165111629446</v>
      </c>
      <c r="I1485" s="28"/>
    </row>
    <row r="1486" spans="2:9" x14ac:dyDescent="0.35">
      <c r="B1486" s="4">
        <v>45203</v>
      </c>
      <c r="C1486" s="6" t="s">
        <v>3</v>
      </c>
      <c r="D14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6" s="7">
        <v>67.12</v>
      </c>
      <c r="F1486" s="5">
        <v>3.64</v>
      </c>
      <c r="G1486" s="5">
        <v>51.829389788293895</v>
      </c>
      <c r="I1486" s="28"/>
    </row>
    <row r="1487" spans="2:9" x14ac:dyDescent="0.35">
      <c r="B1487" s="4">
        <v>45204</v>
      </c>
      <c r="C1487" s="6" t="s">
        <v>3</v>
      </c>
      <c r="D14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7" s="7">
        <v>113.89</v>
      </c>
      <c r="F1487" s="5">
        <v>1.35</v>
      </c>
      <c r="G1487" s="5">
        <v>53.876884426297806</v>
      </c>
      <c r="I1487" s="28"/>
    </row>
    <row r="1488" spans="2:9" x14ac:dyDescent="0.35">
      <c r="B1488" s="4">
        <v>45205</v>
      </c>
      <c r="C1488" s="6" t="s">
        <v>3</v>
      </c>
      <c r="D14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8" s="7">
        <v>85.11</v>
      </c>
      <c r="F1488" s="5">
        <v>1.85</v>
      </c>
      <c r="G1488" s="5">
        <v>53.388731361932521</v>
      </c>
      <c r="I1488" s="28"/>
    </row>
    <row r="1489" spans="2:9" x14ac:dyDescent="0.35">
      <c r="B1489" s="4">
        <v>45206</v>
      </c>
      <c r="C1489" s="6" t="s">
        <v>3</v>
      </c>
      <c r="D14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89" s="7">
        <v>42.21</v>
      </c>
      <c r="F1489" s="5">
        <v>3.67</v>
      </c>
      <c r="G1489" s="5">
        <v>51.858547221530031</v>
      </c>
      <c r="I1489" s="28"/>
    </row>
    <row r="1490" spans="2:9" x14ac:dyDescent="0.35">
      <c r="B1490" s="4">
        <v>45208</v>
      </c>
      <c r="C1490" s="6" t="s">
        <v>3</v>
      </c>
      <c r="D14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0" s="7">
        <v>86.44</v>
      </c>
      <c r="F1490" s="5">
        <v>2.11</v>
      </c>
      <c r="G1490" s="5">
        <v>52.193620361953556</v>
      </c>
      <c r="I1490" s="28"/>
    </row>
    <row r="1491" spans="2:9" x14ac:dyDescent="0.35">
      <c r="B1491" s="4">
        <v>45209</v>
      </c>
      <c r="C1491" s="6" t="s">
        <v>3</v>
      </c>
      <c r="D14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1" s="7">
        <v>88.04</v>
      </c>
      <c r="F1491" s="5">
        <v>2.67</v>
      </c>
      <c r="G1491" s="5">
        <v>52.827267836450922</v>
      </c>
      <c r="I1491" s="28"/>
    </row>
    <row r="1492" spans="2:9" x14ac:dyDescent="0.35">
      <c r="B1492" s="4">
        <v>45210</v>
      </c>
      <c r="C1492" s="6" t="s">
        <v>3</v>
      </c>
      <c r="D14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2" s="7">
        <v>88.02</v>
      </c>
      <c r="F1492" s="5">
        <v>2.2999999999999998</v>
      </c>
      <c r="G1492" s="5">
        <v>53.234239785666446</v>
      </c>
      <c r="I1492" s="28"/>
    </row>
    <row r="1493" spans="2:9" x14ac:dyDescent="0.35">
      <c r="B1493" s="4">
        <v>45212</v>
      </c>
      <c r="C1493" s="6" t="s">
        <v>3</v>
      </c>
      <c r="D14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3" s="7">
        <v>89.96</v>
      </c>
      <c r="F1493" s="5">
        <v>1.0900000000000001</v>
      </c>
      <c r="G1493" s="5">
        <v>54.259940936694115</v>
      </c>
      <c r="I1493" s="28"/>
    </row>
    <row r="1494" spans="2:9" x14ac:dyDescent="0.35">
      <c r="B1494" s="4">
        <v>45213</v>
      </c>
      <c r="C1494" s="6" t="s">
        <v>3</v>
      </c>
      <c r="D14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4" s="7">
        <v>89.96</v>
      </c>
      <c r="F1494" s="5">
        <v>1.36</v>
      </c>
      <c r="G1494" s="5">
        <v>53.859219022325497</v>
      </c>
      <c r="I1494" s="28"/>
    </row>
    <row r="1495" spans="2:9" x14ac:dyDescent="0.35">
      <c r="B1495" s="4">
        <v>45216</v>
      </c>
      <c r="C1495" s="6" t="s">
        <v>3</v>
      </c>
      <c r="D14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5" s="7">
        <v>94.1</v>
      </c>
      <c r="F1495" s="5">
        <v>1.36</v>
      </c>
      <c r="G1495" s="5">
        <v>53.859219022325497</v>
      </c>
      <c r="I1495" s="28"/>
    </row>
    <row r="1496" spans="2:9" x14ac:dyDescent="0.35">
      <c r="B1496" s="4">
        <v>45217</v>
      </c>
      <c r="C1496" s="6" t="s">
        <v>3</v>
      </c>
      <c r="D14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6" s="7">
        <v>87.07</v>
      </c>
      <c r="F1496" s="5">
        <v>4.75</v>
      </c>
      <c r="G1496" s="5">
        <v>50.369244655186762</v>
      </c>
      <c r="I1496" s="28"/>
    </row>
    <row r="1497" spans="2:9" x14ac:dyDescent="0.35">
      <c r="B1497" s="4">
        <v>45218</v>
      </c>
      <c r="C1497" s="6" t="s">
        <v>3</v>
      </c>
      <c r="D14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7" s="7">
        <v>90.82</v>
      </c>
      <c r="F1497" s="5">
        <v>1.3</v>
      </c>
      <c r="G1497" s="5">
        <v>54.083649265499211</v>
      </c>
      <c r="I1497" s="28"/>
    </row>
    <row r="1498" spans="2:9" x14ac:dyDescent="0.35">
      <c r="B1498" s="4">
        <v>45219</v>
      </c>
      <c r="C1498" s="6" t="s">
        <v>3</v>
      </c>
      <c r="D14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8" s="7">
        <v>67.930000000000007</v>
      </c>
      <c r="F1498" s="5">
        <v>2.0499999999999998</v>
      </c>
      <c r="G1498" s="5">
        <v>52.890271433300235</v>
      </c>
      <c r="I1498" s="28"/>
    </row>
    <row r="1499" spans="2:9" x14ac:dyDescent="0.35">
      <c r="B1499" s="4">
        <v>45221</v>
      </c>
      <c r="C1499" s="6" t="s">
        <v>3</v>
      </c>
      <c r="D14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499" s="7">
        <v>86.68</v>
      </c>
      <c r="F1499" s="5">
        <v>2.0499999999999998</v>
      </c>
      <c r="G1499" s="5">
        <v>52.890271433300235</v>
      </c>
      <c r="I1499" s="28"/>
    </row>
    <row r="1500" spans="2:9" x14ac:dyDescent="0.35">
      <c r="B1500" s="4">
        <v>45222</v>
      </c>
      <c r="C1500" s="6" t="s">
        <v>3</v>
      </c>
      <c r="D15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0" s="7">
        <v>64.73</v>
      </c>
      <c r="F1500" s="5">
        <v>1.86</v>
      </c>
      <c r="G1500" s="5">
        <v>53.580669999999998</v>
      </c>
      <c r="I1500" s="28"/>
    </row>
    <row r="1501" spans="2:9" x14ac:dyDescent="0.35">
      <c r="B1501" s="4">
        <v>45224</v>
      </c>
      <c r="C1501" s="6" t="s">
        <v>3</v>
      </c>
      <c r="D15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1" s="7">
        <v>88.1</v>
      </c>
      <c r="F1501" s="11">
        <v>8.2100000000000009</v>
      </c>
      <c r="G1501" s="11">
        <v>48.99606060606061</v>
      </c>
      <c r="I1501" s="28"/>
    </row>
    <row r="1502" spans="2:9" x14ac:dyDescent="0.35">
      <c r="B1502" s="4">
        <v>45225</v>
      </c>
      <c r="C1502" s="6" t="s">
        <v>3</v>
      </c>
      <c r="D15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2" s="7">
        <v>69.36</v>
      </c>
      <c r="F1502" s="11">
        <v>2.2400000000000002</v>
      </c>
      <c r="G1502" s="11">
        <v>53.487208253278752</v>
      </c>
      <c r="I1502" s="28"/>
    </row>
    <row r="1503" spans="2:9" x14ac:dyDescent="0.35">
      <c r="B1503" s="4">
        <v>45226</v>
      </c>
      <c r="C1503" s="6" t="s">
        <v>3</v>
      </c>
      <c r="D15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3" s="7">
        <v>93.24</v>
      </c>
      <c r="F1503" s="11">
        <v>1.47</v>
      </c>
      <c r="G1503" s="11">
        <v>53.782609970674493</v>
      </c>
      <c r="I1503" s="28"/>
    </row>
    <row r="1504" spans="2:9" x14ac:dyDescent="0.35">
      <c r="B1504" s="4">
        <v>45227</v>
      </c>
      <c r="C1504" s="6" t="s">
        <v>3</v>
      </c>
      <c r="D15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4" s="7">
        <v>121.47</v>
      </c>
      <c r="F1504" s="11">
        <v>1.93</v>
      </c>
      <c r="G1504" s="11">
        <v>53.361376268929938</v>
      </c>
      <c r="I1504" s="28"/>
    </row>
    <row r="1505" spans="2:9" x14ac:dyDescent="0.35">
      <c r="B1505" s="4">
        <v>45229</v>
      </c>
      <c r="C1505" s="6" t="s">
        <v>3</v>
      </c>
      <c r="D15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5" s="7">
        <v>68.22</v>
      </c>
      <c r="F1505" s="11">
        <v>1.73</v>
      </c>
      <c r="G1505" s="11">
        <v>53.517782217782219</v>
      </c>
      <c r="I1505" s="28"/>
    </row>
    <row r="1506" spans="2:9" x14ac:dyDescent="0.35">
      <c r="B1506" s="4">
        <v>45202</v>
      </c>
      <c r="C1506" s="6" t="s">
        <v>4</v>
      </c>
      <c r="D15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6" s="7">
        <v>17.5</v>
      </c>
      <c r="F1506" s="5">
        <v>3.98</v>
      </c>
      <c r="G1506" s="5">
        <v>52.157237169905329</v>
      </c>
      <c r="I1506" s="28"/>
    </row>
    <row r="1507" spans="2:9" x14ac:dyDescent="0.35">
      <c r="B1507" s="4">
        <v>45219</v>
      </c>
      <c r="C1507" s="6" t="s">
        <v>4</v>
      </c>
      <c r="D15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7" s="7">
        <v>52.7</v>
      </c>
      <c r="F1507" s="5">
        <v>3.49</v>
      </c>
      <c r="G1507" s="5">
        <v>52.777276538655038</v>
      </c>
      <c r="I1507" s="28"/>
    </row>
    <row r="1508" spans="2:9" x14ac:dyDescent="0.35">
      <c r="B1508" s="4">
        <v>45222</v>
      </c>
      <c r="C1508" s="6" t="s">
        <v>4</v>
      </c>
      <c r="D15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8" s="7">
        <v>51.68</v>
      </c>
      <c r="F1508" s="5">
        <v>3.49</v>
      </c>
      <c r="G1508" s="5">
        <v>52.777276538655038</v>
      </c>
      <c r="I1508" s="28"/>
    </row>
    <row r="1509" spans="2:9" x14ac:dyDescent="0.35">
      <c r="B1509" s="4">
        <v>45211</v>
      </c>
      <c r="C1509" s="6" t="s">
        <v>5</v>
      </c>
      <c r="D15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09" s="7">
        <v>33.79</v>
      </c>
      <c r="F1509" s="5">
        <v>2.2200000000000002</v>
      </c>
      <c r="G1509" s="5">
        <v>51.770412740765444</v>
      </c>
      <c r="I1509" s="28"/>
    </row>
    <row r="1510" spans="2:9" x14ac:dyDescent="0.35">
      <c r="B1510" s="4">
        <v>45218</v>
      </c>
      <c r="C1510" s="6" t="s">
        <v>5</v>
      </c>
      <c r="D15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10" s="7">
        <v>127.74</v>
      </c>
      <c r="F1510" s="5">
        <v>0</v>
      </c>
      <c r="G1510" s="5">
        <v>54.314681243193426</v>
      </c>
      <c r="I1510" s="28"/>
    </row>
    <row r="1511" spans="2:9" x14ac:dyDescent="0.35">
      <c r="B1511" s="4">
        <v>45220</v>
      </c>
      <c r="C1511" s="6" t="s">
        <v>5</v>
      </c>
      <c r="D15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11" s="7">
        <v>136.9</v>
      </c>
      <c r="F1511" s="5">
        <v>0.2</v>
      </c>
      <c r="G1511" s="5">
        <v>54.481666666666669</v>
      </c>
      <c r="I1511" s="28"/>
    </row>
    <row r="1512" spans="2:9" x14ac:dyDescent="0.35">
      <c r="B1512" s="4">
        <v>45202</v>
      </c>
      <c r="C1512" s="6" t="s">
        <v>11</v>
      </c>
      <c r="D1512" s="6" t="str">
        <f>IF(ISNUMBER(MATCH(ING_PRV[[#This Row],[Proveedor]],PARAMETROS!$A$2:$A$8,0)),"COMPRADA",
                    IF(ISNUMBER(MATCH(ING_PRV[[#This Row],[Proveedor]],PARAMETROS!$B$2:$B$8,0)),"PROPIA","NA")
)</f>
        <v>NA</v>
      </c>
      <c r="E1512" s="7">
        <v>36.51</v>
      </c>
      <c r="F1512" s="5">
        <v>1.84</v>
      </c>
      <c r="G1512" s="5">
        <v>53.460183211192536</v>
      </c>
      <c r="I1512" s="28"/>
    </row>
    <row r="1513" spans="2:9" x14ac:dyDescent="0.35">
      <c r="B1513" s="4">
        <v>45203</v>
      </c>
      <c r="C1513" s="6" t="s">
        <v>11</v>
      </c>
      <c r="D1513" s="6" t="str">
        <f>IF(ISNUMBER(MATCH(ING_PRV[[#This Row],[Proveedor]],PARAMETROS!$A$2:$A$8,0)),"COMPRADA",
                    IF(ISNUMBER(MATCH(ING_PRV[[#This Row],[Proveedor]],PARAMETROS!$B$2:$B$8,0)),"PROPIA","NA")
)</f>
        <v>NA</v>
      </c>
      <c r="E1513" s="7">
        <v>35.54</v>
      </c>
      <c r="F1513" s="5">
        <v>2.66</v>
      </c>
      <c r="G1513" s="5">
        <v>52.851514292857736</v>
      </c>
      <c r="I1513" s="28"/>
    </row>
    <row r="1514" spans="2:9" x14ac:dyDescent="0.35">
      <c r="B1514" s="4">
        <v>45204</v>
      </c>
      <c r="C1514" s="6" t="s">
        <v>11</v>
      </c>
      <c r="D1514" s="6" t="str">
        <f>IF(ISNUMBER(MATCH(ING_PRV[[#This Row],[Proveedor]],PARAMETROS!$A$2:$A$8,0)),"COMPRADA",
                    IF(ISNUMBER(MATCH(ING_PRV[[#This Row],[Proveedor]],PARAMETROS!$B$2:$B$8,0)),"PROPIA","NA")
)</f>
        <v>NA</v>
      </c>
      <c r="E1514" s="7">
        <v>70.41</v>
      </c>
      <c r="F1514" s="5">
        <v>2.2799999999999998</v>
      </c>
      <c r="G1514" s="5">
        <v>52.753047389023067</v>
      </c>
      <c r="I1514" s="28"/>
    </row>
    <row r="1515" spans="2:9" x14ac:dyDescent="0.35">
      <c r="B1515" s="4">
        <v>45210</v>
      </c>
      <c r="C1515" s="6" t="s">
        <v>11</v>
      </c>
      <c r="D1515" s="6" t="str">
        <f>IF(ISNUMBER(MATCH(ING_PRV[[#This Row],[Proveedor]],PARAMETROS!$A$2:$A$8,0)),"COMPRADA",
                    IF(ISNUMBER(MATCH(ING_PRV[[#This Row],[Proveedor]],PARAMETROS!$B$2:$B$8,0)),"PROPIA","NA")
)</f>
        <v>NA</v>
      </c>
      <c r="E1515" s="7">
        <v>33.68</v>
      </c>
      <c r="F1515" s="5">
        <v>2.58</v>
      </c>
      <c r="G1515" s="5">
        <v>52.593333333333334</v>
      </c>
      <c r="I1515" s="28"/>
    </row>
    <row r="1516" spans="2:9" x14ac:dyDescent="0.35">
      <c r="B1516" s="4">
        <v>45212</v>
      </c>
      <c r="C1516" s="6" t="s">
        <v>11</v>
      </c>
      <c r="D1516" s="6" t="str">
        <f>IF(ISNUMBER(MATCH(ING_PRV[[#This Row],[Proveedor]],PARAMETROS!$A$2:$A$8,0)),"COMPRADA",
                    IF(ISNUMBER(MATCH(ING_PRV[[#This Row],[Proveedor]],PARAMETROS!$B$2:$B$8,0)),"PROPIA","NA")
)</f>
        <v>NA</v>
      </c>
      <c r="E1516" s="7">
        <v>28.75</v>
      </c>
      <c r="F1516" s="5">
        <v>1.73</v>
      </c>
      <c r="G1516" s="5">
        <v>53.290986913395017</v>
      </c>
      <c r="I1516" s="28"/>
    </row>
    <row r="1517" spans="2:9" x14ac:dyDescent="0.35">
      <c r="B1517" s="4">
        <v>45213</v>
      </c>
      <c r="C1517" s="6" t="s">
        <v>11</v>
      </c>
      <c r="D1517" s="6" t="str">
        <f>IF(ISNUMBER(MATCH(ING_PRV[[#This Row],[Proveedor]],PARAMETROS!$A$2:$A$8,0)),"COMPRADA",
                    IF(ISNUMBER(MATCH(ING_PRV[[#This Row],[Proveedor]],PARAMETROS!$B$2:$B$8,0)),"PROPIA","NA")
)</f>
        <v>NA</v>
      </c>
      <c r="E1517" s="7">
        <v>29.17</v>
      </c>
      <c r="F1517" s="5">
        <v>1.73</v>
      </c>
      <c r="G1517" s="5">
        <v>53.290986913395017</v>
      </c>
      <c r="I1517" s="28"/>
    </row>
    <row r="1518" spans="2:9" x14ac:dyDescent="0.35">
      <c r="B1518" s="4">
        <v>45217</v>
      </c>
      <c r="C1518" s="6" t="s">
        <v>11</v>
      </c>
      <c r="D1518" s="6" t="str">
        <f>IF(ISNUMBER(MATCH(ING_PRV[[#This Row],[Proveedor]],PARAMETROS!$A$2:$A$8,0)),"COMPRADA",
                    IF(ISNUMBER(MATCH(ING_PRV[[#This Row],[Proveedor]],PARAMETROS!$B$2:$B$8,0)),"PROPIA","NA")
)</f>
        <v>NA</v>
      </c>
      <c r="E1518" s="7">
        <v>100.3</v>
      </c>
      <c r="F1518" s="5">
        <v>2.27</v>
      </c>
      <c r="G1518" s="5">
        <v>53.206336235766912</v>
      </c>
      <c r="I1518" s="28"/>
    </row>
    <row r="1519" spans="2:9" x14ac:dyDescent="0.35">
      <c r="B1519" s="4">
        <v>45218</v>
      </c>
      <c r="C1519" s="6" t="s">
        <v>11</v>
      </c>
      <c r="D1519" s="6" t="str">
        <f>IF(ISNUMBER(MATCH(ING_PRV[[#This Row],[Proveedor]],PARAMETROS!$A$2:$A$8,0)),"COMPRADA",
                    IF(ISNUMBER(MATCH(ING_PRV[[#This Row],[Proveedor]],PARAMETROS!$B$2:$B$8,0)),"PROPIA","NA")
)</f>
        <v>NA</v>
      </c>
      <c r="E1519" s="7">
        <v>32.26</v>
      </c>
      <c r="F1519" s="5">
        <v>2.27</v>
      </c>
      <c r="G1519" s="5">
        <v>53.206336235766912</v>
      </c>
      <c r="I1519" s="28"/>
    </row>
    <row r="1520" spans="2:9" x14ac:dyDescent="0.35">
      <c r="B1520" s="4">
        <v>45219</v>
      </c>
      <c r="C1520" s="6" t="s">
        <v>11</v>
      </c>
      <c r="D1520" s="6" t="str">
        <f>IF(ISNUMBER(MATCH(ING_PRV[[#This Row],[Proveedor]],PARAMETROS!$A$2:$A$8,0)),"COMPRADA",
                    IF(ISNUMBER(MATCH(ING_PRV[[#This Row],[Proveedor]],PARAMETROS!$B$2:$B$8,0)),"PROPIA","NA")
)</f>
        <v>NA</v>
      </c>
      <c r="E1520" s="7">
        <v>36.35</v>
      </c>
      <c r="F1520" s="5">
        <v>2.11</v>
      </c>
      <c r="G1520" s="5">
        <v>53.283982683982686</v>
      </c>
      <c r="I1520" s="28"/>
    </row>
    <row r="1521" spans="2:9" x14ac:dyDescent="0.35">
      <c r="B1521" s="4">
        <v>45220</v>
      </c>
      <c r="C1521" s="6" t="s">
        <v>11</v>
      </c>
      <c r="D1521" s="6" t="str">
        <f>IF(ISNUMBER(MATCH(ING_PRV[[#This Row],[Proveedor]],PARAMETROS!$A$2:$A$8,0)),"COMPRADA",
                    IF(ISNUMBER(MATCH(ING_PRV[[#This Row],[Proveedor]],PARAMETROS!$B$2:$B$8,0)),"PROPIA","NA")
)</f>
        <v>NA</v>
      </c>
      <c r="E1521" s="7">
        <v>35.96</v>
      </c>
      <c r="F1521" s="5">
        <v>2.0699999999999998</v>
      </c>
      <c r="G1521" s="5">
        <v>52.654678899082569</v>
      </c>
      <c r="I1521" s="28"/>
    </row>
    <row r="1522" spans="2:9" x14ac:dyDescent="0.35">
      <c r="B1522" s="4">
        <v>45221</v>
      </c>
      <c r="C1522" s="6" t="s">
        <v>11</v>
      </c>
      <c r="D1522" s="6" t="str">
        <f>IF(ISNUMBER(MATCH(ING_PRV[[#This Row],[Proveedor]],PARAMETROS!$A$2:$A$8,0)),"COMPRADA",
                    IF(ISNUMBER(MATCH(ING_PRV[[#This Row],[Proveedor]],PARAMETROS!$B$2:$B$8,0)),"PROPIA","NA")
)</f>
        <v>NA</v>
      </c>
      <c r="E1522" s="7">
        <v>36.72</v>
      </c>
      <c r="F1522" s="5">
        <v>2.4500000000000002</v>
      </c>
      <c r="G1522" s="5">
        <v>52.757857797782776</v>
      </c>
      <c r="I1522" s="28"/>
    </row>
    <row r="1523" spans="2:9" x14ac:dyDescent="0.35">
      <c r="B1523" s="4">
        <v>45208</v>
      </c>
      <c r="C1523" s="6" t="s">
        <v>15</v>
      </c>
      <c r="D1523" s="6" t="str">
        <f>IF(ISNUMBER(MATCH(ING_PRV[[#This Row],[Proveedor]],PARAMETROS!$A$2:$A$8,0)),"COMPRADA",
                    IF(ISNUMBER(MATCH(ING_PRV[[#This Row],[Proveedor]],PARAMETROS!$B$2:$B$8,0)),"PROPIA","NA")
)</f>
        <v>NA</v>
      </c>
      <c r="E1523" s="7">
        <v>59.23</v>
      </c>
      <c r="F1523" s="5">
        <v>4.12</v>
      </c>
      <c r="G1523" s="5">
        <v>51.992659238316982</v>
      </c>
      <c r="I1523" s="28"/>
    </row>
    <row r="1524" spans="2:9" x14ac:dyDescent="0.35">
      <c r="B1524" s="4">
        <v>45209</v>
      </c>
      <c r="C1524" s="6" t="s">
        <v>15</v>
      </c>
      <c r="D1524" s="6" t="str">
        <f>IF(ISNUMBER(MATCH(ING_PRV[[#This Row],[Proveedor]],PARAMETROS!$A$2:$A$8,0)),"COMPRADA",
                    IF(ISNUMBER(MATCH(ING_PRV[[#This Row],[Proveedor]],PARAMETROS!$B$2:$B$8,0)),"PROPIA","NA")
)</f>
        <v>NA</v>
      </c>
      <c r="E1524" s="7">
        <v>90.61</v>
      </c>
      <c r="F1524" s="5">
        <v>2.75</v>
      </c>
      <c r="G1524" s="5">
        <v>52.653296984717059</v>
      </c>
      <c r="I1524" s="28"/>
    </row>
    <row r="1525" spans="2:9" x14ac:dyDescent="0.35">
      <c r="B1525" s="4">
        <v>45216</v>
      </c>
      <c r="C1525" s="6" t="s">
        <v>15</v>
      </c>
      <c r="D1525" s="6" t="str">
        <f>IF(ISNUMBER(MATCH(ING_PRV[[#This Row],[Proveedor]],PARAMETROS!$A$2:$A$8,0)),"COMPRADA",
                    IF(ISNUMBER(MATCH(ING_PRV[[#This Row],[Proveedor]],PARAMETROS!$B$2:$B$8,0)),"PROPIA","NA")
)</f>
        <v>NA</v>
      </c>
      <c r="E1525" s="7">
        <v>92.7</v>
      </c>
      <c r="F1525" s="5">
        <v>5.07</v>
      </c>
      <c r="G1525" s="5">
        <v>51.312735613010844</v>
      </c>
      <c r="I1525" s="28"/>
    </row>
    <row r="1526" spans="2:9" x14ac:dyDescent="0.35">
      <c r="B1526" s="4">
        <v>45217</v>
      </c>
      <c r="C1526" s="6" t="s">
        <v>15</v>
      </c>
      <c r="D1526" s="6" t="str">
        <f>IF(ISNUMBER(MATCH(ING_PRV[[#This Row],[Proveedor]],PARAMETROS!$A$2:$A$8,0)),"COMPRADA",
                    IF(ISNUMBER(MATCH(ING_PRV[[#This Row],[Proveedor]],PARAMETROS!$B$2:$B$8,0)),"PROPIA","NA")
)</f>
        <v>NA</v>
      </c>
      <c r="E1526" s="7">
        <v>61.67</v>
      </c>
      <c r="F1526" s="5">
        <v>3.52</v>
      </c>
      <c r="G1526" s="5">
        <v>51.878583569405102</v>
      </c>
      <c r="I1526" s="28"/>
    </row>
    <row r="1527" spans="2:9" x14ac:dyDescent="0.35">
      <c r="B1527" s="4">
        <v>45222</v>
      </c>
      <c r="C1527" s="6" t="s">
        <v>15</v>
      </c>
      <c r="D1527" s="6" t="str">
        <f>IF(ISNUMBER(MATCH(ING_PRV[[#This Row],[Proveedor]],PARAMETROS!$A$2:$A$8,0)),"COMPRADA",
                    IF(ISNUMBER(MATCH(ING_PRV[[#This Row],[Proveedor]],PARAMETROS!$B$2:$B$8,0)),"PROPIA","NA")
)</f>
        <v>NA</v>
      </c>
      <c r="E1527" s="7">
        <v>92.66</v>
      </c>
      <c r="F1527" s="5">
        <v>4.25</v>
      </c>
      <c r="G1527" s="5">
        <v>50.941594384557533</v>
      </c>
      <c r="I1527" s="28"/>
    </row>
    <row r="1528" spans="2:9" x14ac:dyDescent="0.35">
      <c r="B1528" s="4">
        <v>45224</v>
      </c>
      <c r="C1528" s="6" t="s">
        <v>15</v>
      </c>
      <c r="D1528" s="6" t="str">
        <f>IF(ISNUMBER(MATCH(ING_PRV[[#This Row],[Proveedor]],PARAMETROS!$A$2:$A$8,0)),"COMPRADA",
                    IF(ISNUMBER(MATCH(ING_PRV[[#This Row],[Proveedor]],PARAMETROS!$B$2:$B$8,0)),"PROPIA","NA")
)</f>
        <v>NA</v>
      </c>
      <c r="E1528" s="7">
        <v>27.92</v>
      </c>
      <c r="F1528" s="9">
        <v>3.33</v>
      </c>
      <c r="G1528" s="11">
        <v>52.85084318295322</v>
      </c>
      <c r="I1528" s="28"/>
    </row>
    <row r="1529" spans="2:9" x14ac:dyDescent="0.35">
      <c r="B1529" s="4">
        <v>45226</v>
      </c>
      <c r="C1529" s="6" t="s">
        <v>15</v>
      </c>
      <c r="D1529" s="6" t="str">
        <f>IF(ISNUMBER(MATCH(ING_PRV[[#This Row],[Proveedor]],PARAMETROS!$A$2:$A$8,0)),"COMPRADA",
                    IF(ISNUMBER(MATCH(ING_PRV[[#This Row],[Proveedor]],PARAMETROS!$B$2:$B$8,0)),"PROPIA","NA")
)</f>
        <v>NA</v>
      </c>
      <c r="E1529" s="7">
        <v>31.71</v>
      </c>
      <c r="F1529" s="9">
        <v>2.72</v>
      </c>
      <c r="G1529" s="11">
        <v>52.879373124374787</v>
      </c>
      <c r="I1529" s="28"/>
    </row>
    <row r="1530" spans="2:9" x14ac:dyDescent="0.35">
      <c r="B1530" s="4">
        <v>45227</v>
      </c>
      <c r="C1530" s="6" t="s">
        <v>15</v>
      </c>
      <c r="D1530" s="6" t="str">
        <f>IF(ISNUMBER(MATCH(ING_PRV[[#This Row],[Proveedor]],PARAMETROS!$A$2:$A$8,0)),"COMPRADA",
                    IF(ISNUMBER(MATCH(ING_PRV[[#This Row],[Proveedor]],PARAMETROS!$B$2:$B$8,0)),"PROPIA","NA")
)</f>
        <v>NA</v>
      </c>
      <c r="E1530" s="7">
        <v>30.86</v>
      </c>
      <c r="F1530" s="9">
        <v>1.85</v>
      </c>
      <c r="G1530" s="11">
        <v>53.435662020905916</v>
      </c>
      <c r="I1530" s="28"/>
    </row>
    <row r="1531" spans="2:9" x14ac:dyDescent="0.35">
      <c r="B1531" s="4">
        <v>45231</v>
      </c>
      <c r="C1531" s="6" t="s">
        <v>2</v>
      </c>
      <c r="D15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1" s="7">
        <v>50.35</v>
      </c>
      <c r="F1531" s="5">
        <v>1.7</v>
      </c>
      <c r="G1531" s="5">
        <v>53.673174180668774</v>
      </c>
      <c r="I1531" s="28"/>
    </row>
    <row r="1532" spans="2:9" x14ac:dyDescent="0.35">
      <c r="B1532" s="4">
        <v>45232</v>
      </c>
      <c r="C1532" s="6" t="s">
        <v>2</v>
      </c>
      <c r="D15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2" s="7">
        <v>203.17</v>
      </c>
      <c r="F1532" s="5">
        <v>0.93</v>
      </c>
      <c r="G1532" s="5">
        <v>53.190946069850789</v>
      </c>
      <c r="I1532" s="28"/>
    </row>
    <row r="1533" spans="2:9" x14ac:dyDescent="0.35">
      <c r="B1533" s="4">
        <v>45233</v>
      </c>
      <c r="C1533" s="6" t="s">
        <v>2</v>
      </c>
      <c r="D15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3" s="7">
        <v>173.55</v>
      </c>
      <c r="F1533" s="5">
        <v>2.13</v>
      </c>
      <c r="G1533" s="5">
        <v>51.875090818196966</v>
      </c>
      <c r="I1533" s="28"/>
    </row>
    <row r="1534" spans="2:9" x14ac:dyDescent="0.35">
      <c r="B1534" s="4">
        <v>45234</v>
      </c>
      <c r="C1534" s="6" t="s">
        <v>2</v>
      </c>
      <c r="D15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4" s="7">
        <v>31.26</v>
      </c>
      <c r="F1534" s="5">
        <v>1.01</v>
      </c>
      <c r="G1534" s="5">
        <v>54.163013980263159</v>
      </c>
      <c r="I1534" s="28"/>
    </row>
    <row r="1535" spans="2:9" x14ac:dyDescent="0.35">
      <c r="B1535" s="4">
        <v>45237</v>
      </c>
      <c r="C1535" s="6" t="s">
        <v>2</v>
      </c>
      <c r="D15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5" s="7">
        <v>101.46</v>
      </c>
      <c r="F1535" s="5">
        <v>0</v>
      </c>
      <c r="G1535" s="5">
        <v>54.099544887261835</v>
      </c>
      <c r="I1535" s="28"/>
    </row>
    <row r="1536" spans="2:9" x14ac:dyDescent="0.35">
      <c r="B1536" s="4">
        <v>45239</v>
      </c>
      <c r="C1536" s="6" t="s">
        <v>2</v>
      </c>
      <c r="D15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6" s="7">
        <v>227.46</v>
      </c>
      <c r="F1536" s="5">
        <v>0.75</v>
      </c>
      <c r="G1536" s="5">
        <v>53.727278854955486</v>
      </c>
      <c r="I1536" s="28"/>
    </row>
    <row r="1537" spans="2:9" x14ac:dyDescent="0.35">
      <c r="B1537" s="4">
        <v>45240</v>
      </c>
      <c r="C1537" s="6" t="s">
        <v>2</v>
      </c>
      <c r="D15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7" s="7">
        <v>219.82</v>
      </c>
      <c r="F1537" s="5">
        <v>3.74</v>
      </c>
      <c r="G1537" s="5">
        <v>51.45136687075955</v>
      </c>
      <c r="I1537" s="28"/>
    </row>
    <row r="1538" spans="2:9" x14ac:dyDescent="0.35">
      <c r="B1538" s="4">
        <v>45244</v>
      </c>
      <c r="C1538" s="6" t="s">
        <v>2</v>
      </c>
      <c r="D15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8" s="7">
        <v>166.56</v>
      </c>
      <c r="F1538" s="5">
        <v>0.34</v>
      </c>
      <c r="G1538" s="5">
        <v>54.03962490622655</v>
      </c>
      <c r="I1538" s="28"/>
    </row>
    <row r="1539" spans="2:9" x14ac:dyDescent="0.35">
      <c r="B1539" s="4">
        <v>45246</v>
      </c>
      <c r="C1539" s="6" t="s">
        <v>2</v>
      </c>
      <c r="D15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39" s="7">
        <v>338.9</v>
      </c>
      <c r="F1539" s="5">
        <v>0.59117500000000001</v>
      </c>
      <c r="G1539" s="5">
        <v>53.10867066466767</v>
      </c>
      <c r="I1539" s="28"/>
    </row>
    <row r="1540" spans="2:9" x14ac:dyDescent="0.35">
      <c r="B1540" s="4">
        <v>45247</v>
      </c>
      <c r="C1540" s="6" t="s">
        <v>2</v>
      </c>
      <c r="D15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0" s="7">
        <v>291.16000000000003</v>
      </c>
      <c r="F1540" s="5">
        <v>0.15</v>
      </c>
      <c r="G1540" s="5">
        <v>54.141431903373594</v>
      </c>
      <c r="I1540" s="28"/>
    </row>
    <row r="1541" spans="2:9" x14ac:dyDescent="0.35">
      <c r="B1541" s="4">
        <v>45248</v>
      </c>
      <c r="C1541" s="6" t="s">
        <v>2</v>
      </c>
      <c r="D15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1" s="7">
        <v>121.49</v>
      </c>
      <c r="F1541" s="5">
        <v>0.69817499999999999</v>
      </c>
      <c r="G1541" s="5">
        <v>53.342885791637421</v>
      </c>
      <c r="I1541" s="28"/>
    </row>
    <row r="1542" spans="2:9" x14ac:dyDescent="0.35">
      <c r="B1542" s="4">
        <v>45250</v>
      </c>
      <c r="C1542" s="6" t="s">
        <v>2</v>
      </c>
      <c r="D15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2" s="7">
        <v>229.18</v>
      </c>
      <c r="F1542" s="5">
        <v>0.6</v>
      </c>
      <c r="G1542" s="5">
        <v>52.85669251938954</v>
      </c>
      <c r="I1542" s="28"/>
    </row>
    <row r="1543" spans="2:9" x14ac:dyDescent="0.35">
      <c r="B1543" s="4">
        <v>45252</v>
      </c>
      <c r="C1543" s="6" t="s">
        <v>2</v>
      </c>
      <c r="D15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3" s="7">
        <v>365.7</v>
      </c>
      <c r="F1543" s="5">
        <v>0.59117500000000001</v>
      </c>
      <c r="G1543" s="5">
        <v>53.10867066466767</v>
      </c>
      <c r="I1543" s="28"/>
    </row>
    <row r="1544" spans="2:9" x14ac:dyDescent="0.35">
      <c r="B1544" s="4">
        <v>45253</v>
      </c>
      <c r="C1544" s="6" t="s">
        <v>2</v>
      </c>
      <c r="D15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4" s="7">
        <v>399.58</v>
      </c>
      <c r="F1544" s="5">
        <v>0.15</v>
      </c>
      <c r="G1544" s="5">
        <v>54.141431903373594</v>
      </c>
      <c r="I1544" s="28"/>
    </row>
    <row r="1545" spans="2:9" x14ac:dyDescent="0.35">
      <c r="B1545" s="4">
        <v>45254</v>
      </c>
      <c r="C1545" s="6" t="s">
        <v>2</v>
      </c>
      <c r="D15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5" s="7">
        <v>371.38</v>
      </c>
      <c r="F1545" s="5">
        <v>0.69817499999999999</v>
      </c>
      <c r="G1545" s="5">
        <v>53.342885791637421</v>
      </c>
      <c r="I1545" s="28"/>
    </row>
    <row r="1546" spans="2:9" x14ac:dyDescent="0.35">
      <c r="B1546" s="4">
        <v>45255</v>
      </c>
      <c r="C1546" s="6" t="s">
        <v>2</v>
      </c>
      <c r="D15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6" s="7">
        <v>30.42</v>
      </c>
      <c r="F1546" s="5">
        <v>0.6</v>
      </c>
      <c r="G1546" s="5">
        <v>52.85669251938954</v>
      </c>
      <c r="I1546" s="28"/>
    </row>
    <row r="1547" spans="2:9" x14ac:dyDescent="0.35">
      <c r="B1547" s="4">
        <v>45257</v>
      </c>
      <c r="C1547" s="6" t="s">
        <v>2</v>
      </c>
      <c r="D15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7" s="7">
        <v>281.02</v>
      </c>
      <c r="F1547" s="9">
        <v>1.67</v>
      </c>
      <c r="G1547" s="11">
        <v>51.815405630518072</v>
      </c>
      <c r="I1547" s="28"/>
    </row>
    <row r="1548" spans="2:9" x14ac:dyDescent="0.35">
      <c r="B1548" s="4">
        <v>45258</v>
      </c>
      <c r="C1548" s="6" t="s">
        <v>2</v>
      </c>
      <c r="D15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8" s="7">
        <v>231.08</v>
      </c>
      <c r="F1548" s="9">
        <v>0.54</v>
      </c>
      <c r="G1548" s="11">
        <v>53.93950438779774</v>
      </c>
      <c r="I1548" s="28"/>
    </row>
    <row r="1549" spans="2:9" x14ac:dyDescent="0.35">
      <c r="B1549" s="4">
        <v>45259</v>
      </c>
      <c r="C1549" s="6" t="s">
        <v>2</v>
      </c>
      <c r="D15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49" s="7">
        <v>305.7</v>
      </c>
      <c r="F1549" s="9">
        <v>0.17</v>
      </c>
      <c r="G1549" s="11">
        <v>54.697570225889805</v>
      </c>
      <c r="I1549" s="28"/>
    </row>
    <row r="1550" spans="2:9" x14ac:dyDescent="0.35">
      <c r="B1550" s="4">
        <v>45260</v>
      </c>
      <c r="C1550" s="6" t="s">
        <v>2</v>
      </c>
      <c r="D15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0" s="7">
        <v>285.86</v>
      </c>
      <c r="F1550" s="9">
        <v>0.47</v>
      </c>
      <c r="G1550" s="11">
        <v>54.286610878661087</v>
      </c>
      <c r="I1550" s="28"/>
    </row>
    <row r="1551" spans="2:9" x14ac:dyDescent="0.35">
      <c r="B1551" s="4">
        <v>45261</v>
      </c>
      <c r="C1551" s="6" t="s">
        <v>2</v>
      </c>
      <c r="D15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1" s="7">
        <v>240.54</v>
      </c>
      <c r="F1551" s="9">
        <v>0.11</v>
      </c>
      <c r="G1551" s="11">
        <v>54.454834056037356</v>
      </c>
      <c r="I1551" s="28"/>
    </row>
    <row r="1552" spans="2:9" x14ac:dyDescent="0.35">
      <c r="B1552" s="4">
        <v>45262</v>
      </c>
      <c r="C1552" s="6" t="s">
        <v>2</v>
      </c>
      <c r="D15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2" s="7">
        <v>75.819999999999993</v>
      </c>
      <c r="F1552" s="9">
        <v>0.45</v>
      </c>
      <c r="G1552" s="11">
        <v>54.218161434977574</v>
      </c>
      <c r="I1552" s="28"/>
    </row>
    <row r="1553" spans="2:9" x14ac:dyDescent="0.35">
      <c r="B1553" s="4">
        <v>45264</v>
      </c>
      <c r="C1553" s="6" t="s">
        <v>2</v>
      </c>
      <c r="D15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3" s="7">
        <v>293.04000000000002</v>
      </c>
      <c r="F1553" s="9">
        <v>0.28000000000000003</v>
      </c>
      <c r="G1553" s="11">
        <v>53.214085259030611</v>
      </c>
      <c r="I1553" s="28"/>
    </row>
    <row r="1554" spans="2:9" x14ac:dyDescent="0.35">
      <c r="B1554" s="4">
        <v>45231</v>
      </c>
      <c r="C1554" s="6" t="s">
        <v>6</v>
      </c>
      <c r="D15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4" s="7">
        <v>493.42</v>
      </c>
      <c r="F1554" s="9">
        <v>1.89</v>
      </c>
      <c r="G1554" s="10">
        <v>53.87061975575309</v>
      </c>
      <c r="I1554" s="28"/>
    </row>
    <row r="1555" spans="2:9" x14ac:dyDescent="0.35">
      <c r="B1555" s="4">
        <v>45232</v>
      </c>
      <c r="C1555" s="6" t="s">
        <v>6</v>
      </c>
      <c r="D15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5" s="7">
        <v>465.18</v>
      </c>
      <c r="F1555" s="9">
        <v>4.92</v>
      </c>
      <c r="G1555" s="10">
        <v>50.334501995344191</v>
      </c>
      <c r="I1555" s="28"/>
    </row>
    <row r="1556" spans="2:9" x14ac:dyDescent="0.35">
      <c r="B1556" s="4">
        <v>45233</v>
      </c>
      <c r="C1556" s="6" t="s">
        <v>6</v>
      </c>
      <c r="D15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6" s="7">
        <v>135.83000000000001</v>
      </c>
      <c r="F1556" s="9">
        <v>1.76</v>
      </c>
      <c r="G1556" s="10">
        <v>53.974835512617638</v>
      </c>
      <c r="I1556" s="28"/>
    </row>
    <row r="1557" spans="2:9" x14ac:dyDescent="0.35">
      <c r="B1557" s="4">
        <v>45234</v>
      </c>
      <c r="C1557" s="6" t="s">
        <v>6</v>
      </c>
      <c r="D15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7" s="7">
        <v>275.58</v>
      </c>
      <c r="F1557" s="9">
        <v>2.72</v>
      </c>
      <c r="G1557" s="10">
        <v>53.116275816122588</v>
      </c>
      <c r="I1557" s="28"/>
    </row>
    <row r="1558" spans="2:9" x14ac:dyDescent="0.35">
      <c r="B1558" s="4">
        <v>45237</v>
      </c>
      <c r="C1558" s="6" t="s">
        <v>6</v>
      </c>
      <c r="D15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8" s="7">
        <v>345.62</v>
      </c>
      <c r="F1558" s="9">
        <v>2.36</v>
      </c>
      <c r="G1558" s="10">
        <v>53.429436807464796</v>
      </c>
      <c r="I1558" s="28"/>
    </row>
    <row r="1559" spans="2:9" x14ac:dyDescent="0.35">
      <c r="B1559" s="4">
        <v>45238</v>
      </c>
      <c r="C1559" s="6" t="s">
        <v>6</v>
      </c>
      <c r="D15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59" s="7">
        <v>69.459999999999994</v>
      </c>
      <c r="F1559" s="9">
        <v>2.36</v>
      </c>
      <c r="G1559" s="10">
        <v>53.429436807464796</v>
      </c>
      <c r="I1559" s="28"/>
    </row>
    <row r="1560" spans="2:9" x14ac:dyDescent="0.35">
      <c r="B1560" s="4">
        <v>45239</v>
      </c>
      <c r="C1560" s="6" t="s">
        <v>6</v>
      </c>
      <c r="D15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0" s="7">
        <v>102.22</v>
      </c>
      <c r="F1560" s="9">
        <v>2.0099999999999998</v>
      </c>
      <c r="G1560" s="10">
        <v>53.55052386495926</v>
      </c>
      <c r="I1560" s="28"/>
    </row>
    <row r="1561" spans="2:9" x14ac:dyDescent="0.35">
      <c r="B1561" s="4">
        <v>45240</v>
      </c>
      <c r="C1561" s="6" t="s">
        <v>6</v>
      </c>
      <c r="D15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1" s="7">
        <v>135.44</v>
      </c>
      <c r="F1561" s="9">
        <v>2.1800000000000002</v>
      </c>
      <c r="G1561" s="10">
        <v>53.415585525769778</v>
      </c>
      <c r="I1561" s="28"/>
    </row>
    <row r="1562" spans="2:9" x14ac:dyDescent="0.35">
      <c r="B1562" s="4">
        <v>45241</v>
      </c>
      <c r="C1562" s="6" t="s">
        <v>6</v>
      </c>
      <c r="D15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2" s="7">
        <v>378.8</v>
      </c>
      <c r="F1562" s="9">
        <v>2.02</v>
      </c>
      <c r="G1562" s="10">
        <v>53.603451730418946</v>
      </c>
      <c r="I1562" s="28"/>
    </row>
    <row r="1563" spans="2:9" x14ac:dyDescent="0.35">
      <c r="B1563" s="4">
        <v>45244</v>
      </c>
      <c r="C1563" s="6" t="s">
        <v>6</v>
      </c>
      <c r="D15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3" s="7">
        <v>349.94</v>
      </c>
      <c r="F1563" s="9">
        <v>1.54</v>
      </c>
      <c r="G1563" s="10">
        <v>52.900882450882456</v>
      </c>
      <c r="I1563" s="28"/>
    </row>
    <row r="1564" spans="2:9" x14ac:dyDescent="0.35">
      <c r="B1564" s="4">
        <v>45245</v>
      </c>
      <c r="C1564" s="6" t="s">
        <v>6</v>
      </c>
      <c r="D15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4" s="7">
        <v>746.42</v>
      </c>
      <c r="F1564" s="9">
        <v>2.39</v>
      </c>
      <c r="G1564" s="10">
        <v>52.901873963515754</v>
      </c>
      <c r="I1564" s="28"/>
    </row>
    <row r="1565" spans="2:9" x14ac:dyDescent="0.35">
      <c r="B1565" s="4">
        <v>45246</v>
      </c>
      <c r="C1565" s="6" t="s">
        <v>6</v>
      </c>
      <c r="D15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5" s="7">
        <v>310.27999999999997</v>
      </c>
      <c r="F1565" s="9">
        <v>2.4743750000000002</v>
      </c>
      <c r="G1565" s="10">
        <v>53.137347368831037</v>
      </c>
      <c r="I1565" s="28"/>
    </row>
    <row r="1566" spans="2:9" x14ac:dyDescent="0.35">
      <c r="B1566" s="4">
        <v>45248</v>
      </c>
      <c r="C1566" s="6" t="s">
        <v>6</v>
      </c>
      <c r="D15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6" s="7">
        <v>172.75</v>
      </c>
      <c r="F1566" s="9">
        <v>1.9474000000000002</v>
      </c>
      <c r="G1566" s="10">
        <v>53.57801774852927</v>
      </c>
      <c r="I1566" s="28"/>
    </row>
    <row r="1567" spans="2:9" x14ac:dyDescent="0.35">
      <c r="B1567" s="4">
        <v>45251</v>
      </c>
      <c r="C1567" s="6" t="s">
        <v>6</v>
      </c>
      <c r="D15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7" s="7">
        <v>206.94</v>
      </c>
      <c r="F1567" s="9">
        <v>1.98</v>
      </c>
      <c r="G1567" s="10">
        <v>53.126467889908255</v>
      </c>
      <c r="I1567" s="28"/>
    </row>
    <row r="1568" spans="2:9" x14ac:dyDescent="0.35">
      <c r="B1568" s="4">
        <v>45252</v>
      </c>
      <c r="C1568" s="6" t="s">
        <v>6</v>
      </c>
      <c r="D15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8" s="7">
        <v>281.04000000000002</v>
      </c>
      <c r="F1568" s="9">
        <v>2.1293000000000002</v>
      </c>
      <c r="G1568" s="10">
        <v>53.398622868495309</v>
      </c>
      <c r="I1568" s="28"/>
    </row>
    <row r="1569" spans="2:9" x14ac:dyDescent="0.35">
      <c r="B1569" s="4">
        <v>45253</v>
      </c>
      <c r="C1569" s="6" t="s">
        <v>6</v>
      </c>
      <c r="D15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69" s="7">
        <v>177.46</v>
      </c>
      <c r="F1569" s="9">
        <v>2.63</v>
      </c>
      <c r="G1569" s="10">
        <v>52.91416365461847</v>
      </c>
      <c r="I1569" s="28"/>
    </row>
    <row r="1570" spans="2:9" x14ac:dyDescent="0.35">
      <c r="B1570" s="4">
        <v>45254</v>
      </c>
      <c r="C1570" s="6" t="s">
        <v>6</v>
      </c>
      <c r="D15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0" s="7">
        <v>71.98</v>
      </c>
      <c r="F1570" s="9">
        <v>2.0099999999999998</v>
      </c>
      <c r="G1570" s="10">
        <v>53.281981163527249</v>
      </c>
      <c r="I1570" s="28"/>
    </row>
    <row r="1571" spans="2:9" x14ac:dyDescent="0.35">
      <c r="B1571" s="4">
        <v>45255</v>
      </c>
      <c r="C1571" s="6" t="s">
        <v>7</v>
      </c>
      <c r="D15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1" s="7">
        <v>63.44</v>
      </c>
      <c r="F1571" s="9">
        <v>3.88</v>
      </c>
      <c r="G1571" s="11">
        <v>52.226376884003656</v>
      </c>
      <c r="I1571" s="28"/>
    </row>
    <row r="1572" spans="2:9" x14ac:dyDescent="0.35">
      <c r="B1572" s="4">
        <v>45256</v>
      </c>
      <c r="C1572" s="6" t="s">
        <v>7</v>
      </c>
      <c r="D15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2" s="7">
        <v>20.260000000000002</v>
      </c>
      <c r="F1572" s="9">
        <v>3.88</v>
      </c>
      <c r="G1572" s="11">
        <v>52.226376884003656</v>
      </c>
      <c r="I1572" s="28"/>
    </row>
    <row r="1573" spans="2:9" x14ac:dyDescent="0.35">
      <c r="B1573" s="4">
        <v>45231</v>
      </c>
      <c r="C1573" s="6" t="s">
        <v>3</v>
      </c>
      <c r="D15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3" s="7">
        <v>89.3</v>
      </c>
      <c r="F1573" s="11">
        <v>3.74</v>
      </c>
      <c r="G1573" s="11">
        <v>50.681486587492735</v>
      </c>
      <c r="I1573" s="28"/>
    </row>
    <row r="1574" spans="2:9" x14ac:dyDescent="0.35">
      <c r="B1574" s="4">
        <v>45232</v>
      </c>
      <c r="C1574" s="6" t="s">
        <v>3</v>
      </c>
      <c r="D15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4" s="7">
        <v>22.29</v>
      </c>
      <c r="F1574" s="11">
        <v>2.48</v>
      </c>
      <c r="G1574" s="11">
        <v>52.693431356352228</v>
      </c>
      <c r="I1574" s="28"/>
    </row>
    <row r="1575" spans="2:9" x14ac:dyDescent="0.35">
      <c r="B1575" s="4">
        <v>45233</v>
      </c>
      <c r="C1575" s="6" t="s">
        <v>3</v>
      </c>
      <c r="D15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5" s="7">
        <v>21.07</v>
      </c>
      <c r="F1575" s="11">
        <v>2.48</v>
      </c>
      <c r="G1575" s="11">
        <v>52.693431356352228</v>
      </c>
      <c r="I1575" s="28"/>
    </row>
    <row r="1576" spans="2:9" x14ac:dyDescent="0.35">
      <c r="B1576" s="4">
        <v>45234</v>
      </c>
      <c r="C1576" s="6" t="s">
        <v>3</v>
      </c>
      <c r="D15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6" s="7">
        <v>22.94</v>
      </c>
      <c r="F1576" s="11">
        <v>4.05</v>
      </c>
      <c r="G1576" s="11">
        <v>51.838425925925925</v>
      </c>
      <c r="I1576" s="28"/>
    </row>
    <row r="1577" spans="2:9" x14ac:dyDescent="0.35">
      <c r="B1577" s="4">
        <v>45237</v>
      </c>
      <c r="C1577" s="6" t="s">
        <v>3</v>
      </c>
      <c r="D15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7" s="7">
        <v>43.3</v>
      </c>
      <c r="F1577" s="11">
        <v>1.1599999999999999</v>
      </c>
      <c r="G1577" s="11">
        <v>53.18534744209299</v>
      </c>
      <c r="I1577" s="28"/>
    </row>
    <row r="1578" spans="2:9" x14ac:dyDescent="0.35">
      <c r="B1578" s="4">
        <v>45238</v>
      </c>
      <c r="C1578" s="6" t="s">
        <v>3</v>
      </c>
      <c r="D15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8" s="7">
        <v>6.88</v>
      </c>
      <c r="F1578" s="11">
        <v>2.74</v>
      </c>
      <c r="G1578" s="11">
        <v>51.636688851913476</v>
      </c>
      <c r="I1578" s="28"/>
    </row>
    <row r="1579" spans="2:9" x14ac:dyDescent="0.35">
      <c r="B1579" s="4">
        <v>45239</v>
      </c>
      <c r="C1579" s="6" t="s">
        <v>3</v>
      </c>
      <c r="D15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79" s="7">
        <v>89.3</v>
      </c>
      <c r="F1579" s="11">
        <v>5.14</v>
      </c>
      <c r="G1579" s="11">
        <v>51.030268176896811</v>
      </c>
      <c r="I1579" s="28"/>
    </row>
    <row r="1580" spans="2:9" x14ac:dyDescent="0.35">
      <c r="B1580" s="4">
        <v>45240</v>
      </c>
      <c r="C1580" s="6" t="s">
        <v>3</v>
      </c>
      <c r="D15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0" s="7">
        <v>45.38</v>
      </c>
      <c r="F1580" s="11">
        <v>1.86</v>
      </c>
      <c r="G1580" s="11">
        <v>52.21394734649671</v>
      </c>
      <c r="I1580" s="28"/>
    </row>
    <row r="1581" spans="2:9" x14ac:dyDescent="0.35">
      <c r="B1581" s="4">
        <v>45241</v>
      </c>
      <c r="C1581" s="6" t="s">
        <v>3</v>
      </c>
      <c r="D15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1" s="7">
        <v>21.56</v>
      </c>
      <c r="F1581" s="11">
        <v>4</v>
      </c>
      <c r="G1581" s="11">
        <v>51.663706004140785</v>
      </c>
      <c r="I1581" s="28"/>
    </row>
    <row r="1582" spans="2:9" x14ac:dyDescent="0.35">
      <c r="B1582" s="4">
        <v>45244</v>
      </c>
      <c r="C1582" s="6" t="s">
        <v>3</v>
      </c>
      <c r="D15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2" s="7">
        <v>44.74</v>
      </c>
      <c r="F1582" s="11">
        <v>3.91</v>
      </c>
      <c r="G1582" s="11">
        <v>50.813404539385843</v>
      </c>
      <c r="I1582" s="28"/>
    </row>
    <row r="1583" spans="2:9" x14ac:dyDescent="0.35">
      <c r="B1583" s="4">
        <v>45245</v>
      </c>
      <c r="C1583" s="6" t="s">
        <v>3</v>
      </c>
      <c r="D15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3" s="7">
        <v>66.12</v>
      </c>
      <c r="F1583" s="11">
        <v>1.9367000000000001</v>
      </c>
      <c r="G1583" s="11">
        <v>53.497790717421672</v>
      </c>
      <c r="I1583" s="28"/>
    </row>
    <row r="1584" spans="2:9" x14ac:dyDescent="0.35">
      <c r="B1584" s="4">
        <v>45246</v>
      </c>
      <c r="C1584" s="6" t="s">
        <v>3</v>
      </c>
      <c r="D15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4" s="7">
        <v>43.2</v>
      </c>
      <c r="F1584" s="11">
        <v>1.9367000000000001</v>
      </c>
      <c r="G1584" s="11">
        <v>53.497790717421672</v>
      </c>
      <c r="I1584" s="28"/>
    </row>
    <row r="1585" spans="2:9" x14ac:dyDescent="0.35">
      <c r="B1585" s="4">
        <v>45247</v>
      </c>
      <c r="C1585" s="6" t="s">
        <v>3</v>
      </c>
      <c r="D15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5" s="7">
        <v>66.92</v>
      </c>
      <c r="F1585" s="11">
        <v>1.9367000000000001</v>
      </c>
      <c r="G1585" s="11">
        <v>53.497790717421672</v>
      </c>
      <c r="I1585" s="28"/>
    </row>
    <row r="1586" spans="2:9" x14ac:dyDescent="0.35">
      <c r="B1586" s="4">
        <v>45248</v>
      </c>
      <c r="C1586" s="6" t="s">
        <v>3</v>
      </c>
      <c r="D15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6" s="7">
        <v>43.2</v>
      </c>
      <c r="F1586" s="11">
        <v>2.02765</v>
      </c>
      <c r="G1586" s="11">
        <v>53.406313345429972</v>
      </c>
      <c r="I1586" s="28"/>
    </row>
    <row r="1587" spans="2:9" x14ac:dyDescent="0.35">
      <c r="B1587" s="4">
        <v>45250</v>
      </c>
      <c r="C1587" s="6" t="s">
        <v>3</v>
      </c>
      <c r="D15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7" s="7">
        <v>66.44</v>
      </c>
      <c r="F1587" s="11">
        <v>3.07</v>
      </c>
      <c r="G1587" s="11">
        <v>52.005301264980019</v>
      </c>
      <c r="I1587" s="28"/>
    </row>
    <row r="1588" spans="2:9" x14ac:dyDescent="0.35">
      <c r="B1588" s="4">
        <v>45251</v>
      </c>
      <c r="C1588" s="6" t="s">
        <v>3</v>
      </c>
      <c r="D15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8" s="7">
        <v>44.82</v>
      </c>
      <c r="F1588" s="11">
        <v>2</v>
      </c>
      <c r="G1588" s="11">
        <v>46.524443981674303</v>
      </c>
      <c r="I1588" s="28"/>
    </row>
    <row r="1589" spans="2:9" x14ac:dyDescent="0.35">
      <c r="B1589" s="4">
        <v>45252</v>
      </c>
      <c r="C1589" s="6" t="s">
        <v>3</v>
      </c>
      <c r="D15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89" s="7">
        <v>90.48</v>
      </c>
      <c r="F1589" s="11">
        <v>4.1302000000000003</v>
      </c>
      <c r="G1589" s="11">
        <v>52.40678359839626</v>
      </c>
      <c r="I1589" s="28"/>
    </row>
    <row r="1590" spans="2:9" x14ac:dyDescent="0.35">
      <c r="B1590" s="4">
        <v>45253</v>
      </c>
      <c r="C1590" s="6" t="s">
        <v>3</v>
      </c>
      <c r="D15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0" s="7">
        <v>88.22</v>
      </c>
      <c r="F1590" s="11">
        <v>0.11</v>
      </c>
      <c r="G1590" s="11">
        <v>53.592741126930015</v>
      </c>
      <c r="I1590" s="28"/>
    </row>
    <row r="1591" spans="2:9" x14ac:dyDescent="0.35">
      <c r="B1591" s="4">
        <v>45254</v>
      </c>
      <c r="C1591" s="6" t="s">
        <v>3</v>
      </c>
      <c r="D15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1" s="7">
        <v>86.58</v>
      </c>
      <c r="F1591" s="11">
        <v>1.9</v>
      </c>
      <c r="G1591" s="11">
        <v>53.292325562031635</v>
      </c>
      <c r="I1591" s="28"/>
    </row>
    <row r="1592" spans="2:9" x14ac:dyDescent="0.35">
      <c r="B1592" s="4">
        <v>45255</v>
      </c>
      <c r="C1592" s="6" t="s">
        <v>3</v>
      </c>
      <c r="D15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2" s="7">
        <v>22.34</v>
      </c>
      <c r="F1592" s="11">
        <v>3.16</v>
      </c>
      <c r="G1592" s="11">
        <v>51.664548182727572</v>
      </c>
      <c r="I1592" s="28"/>
    </row>
    <row r="1593" spans="2:9" x14ac:dyDescent="0.35">
      <c r="B1593" s="4">
        <v>45257</v>
      </c>
      <c r="C1593" s="6" t="s">
        <v>3</v>
      </c>
      <c r="D15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3" s="7">
        <v>87.14</v>
      </c>
      <c r="F1593" s="11">
        <v>3.9</v>
      </c>
      <c r="G1593" s="11">
        <v>51.437577121894286</v>
      </c>
      <c r="I1593" s="28"/>
    </row>
    <row r="1594" spans="2:9" x14ac:dyDescent="0.35">
      <c r="B1594" s="4">
        <v>45258</v>
      </c>
      <c r="C1594" s="6" t="s">
        <v>3</v>
      </c>
      <c r="D15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4" s="7">
        <v>86.5</v>
      </c>
      <c r="F1594" s="11">
        <v>3.92</v>
      </c>
      <c r="G1594" s="11">
        <v>50.348392224693185</v>
      </c>
      <c r="I1594" s="28"/>
    </row>
    <row r="1595" spans="2:9" x14ac:dyDescent="0.35">
      <c r="B1595" s="4">
        <v>45259</v>
      </c>
      <c r="C1595" s="6" t="s">
        <v>3</v>
      </c>
      <c r="D15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5" s="7">
        <v>66.88</v>
      </c>
      <c r="F1595" s="11">
        <v>1.64</v>
      </c>
      <c r="G1595" s="11">
        <v>52.693861048782516</v>
      </c>
      <c r="I1595" s="28"/>
    </row>
    <row r="1596" spans="2:9" x14ac:dyDescent="0.35">
      <c r="B1596" s="4">
        <v>45260</v>
      </c>
      <c r="C1596" s="6" t="s">
        <v>3</v>
      </c>
      <c r="D15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6" s="7">
        <v>90.12</v>
      </c>
      <c r="F1596" s="11">
        <v>2.12</v>
      </c>
      <c r="G1596" s="11">
        <v>53.612648896293216</v>
      </c>
      <c r="I1596" s="28"/>
    </row>
    <row r="1597" spans="2:9" x14ac:dyDescent="0.35">
      <c r="B1597" s="4">
        <v>45261</v>
      </c>
      <c r="C1597" s="6" t="s">
        <v>3</v>
      </c>
      <c r="D15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7" s="7">
        <v>157.06</v>
      </c>
      <c r="F1597" s="11">
        <v>1.34</v>
      </c>
      <c r="G1597" s="11">
        <v>54.283733432736916</v>
      </c>
      <c r="I1597" s="28"/>
    </row>
    <row r="1598" spans="2:9" x14ac:dyDescent="0.35">
      <c r="B1598" s="4">
        <v>45262</v>
      </c>
      <c r="C1598" s="6" t="s">
        <v>3</v>
      </c>
      <c r="D15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8" s="7">
        <v>21.18</v>
      </c>
      <c r="F1598" s="11">
        <v>1.29</v>
      </c>
      <c r="G1598" s="11">
        <v>54.217254245796035</v>
      </c>
      <c r="I1598" s="28"/>
    </row>
    <row r="1599" spans="2:9" x14ac:dyDescent="0.35">
      <c r="B1599" s="4">
        <v>45264</v>
      </c>
      <c r="C1599" s="6" t="s">
        <v>3</v>
      </c>
      <c r="D15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599" s="7">
        <v>84.3</v>
      </c>
      <c r="F1599" s="11">
        <v>1.69</v>
      </c>
      <c r="G1599" s="11">
        <v>53.530007482540739</v>
      </c>
      <c r="I1599" s="28"/>
    </row>
    <row r="1600" spans="2:9" x14ac:dyDescent="0.35">
      <c r="B1600" s="4">
        <v>45233</v>
      </c>
      <c r="C1600" s="6" t="s">
        <v>5</v>
      </c>
      <c r="D16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00" s="7">
        <v>131.9</v>
      </c>
      <c r="F1600" s="9">
        <v>6.94</v>
      </c>
      <c r="G1600" s="10">
        <v>48.325558694026753</v>
      </c>
      <c r="I1600" s="28"/>
    </row>
    <row r="1601" spans="2:9" x14ac:dyDescent="0.35">
      <c r="B1601" s="4">
        <v>45237</v>
      </c>
      <c r="C1601" s="6" t="s">
        <v>5</v>
      </c>
      <c r="D16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01" s="7">
        <v>129.9</v>
      </c>
      <c r="F1601" s="9">
        <v>0.43</v>
      </c>
      <c r="G1601" s="10">
        <v>54.049213090182363</v>
      </c>
      <c r="I1601" s="28"/>
    </row>
    <row r="1602" spans="2:9" x14ac:dyDescent="0.35">
      <c r="B1602" s="4">
        <v>45239</v>
      </c>
      <c r="C1602" s="6" t="s">
        <v>5</v>
      </c>
      <c r="D16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02" s="7">
        <v>132.9</v>
      </c>
      <c r="F1602" s="9">
        <v>0.02</v>
      </c>
      <c r="G1602" s="10">
        <v>55.036248438930983</v>
      </c>
      <c r="I1602" s="28"/>
    </row>
    <row r="1603" spans="2:9" x14ac:dyDescent="0.35">
      <c r="B1603" s="4">
        <v>45253</v>
      </c>
      <c r="C1603" s="6" t="s">
        <v>5</v>
      </c>
      <c r="D16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03" s="7">
        <v>126.3</v>
      </c>
      <c r="F1603" s="9">
        <v>5.81</v>
      </c>
      <c r="G1603" s="10">
        <v>51.056842000199623</v>
      </c>
      <c r="I1603" s="28"/>
    </row>
    <row r="1604" spans="2:9" x14ac:dyDescent="0.35">
      <c r="B1604" s="4">
        <v>45255</v>
      </c>
      <c r="C1604" s="6" t="s">
        <v>5</v>
      </c>
      <c r="D16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04" s="7">
        <v>137.19999999999999</v>
      </c>
      <c r="F1604" s="9">
        <v>0.38</v>
      </c>
      <c r="G1604" s="10">
        <v>54.408884084483617</v>
      </c>
      <c r="I1604" s="28"/>
    </row>
    <row r="1605" spans="2:9" x14ac:dyDescent="0.35">
      <c r="B1605" s="4">
        <v>45255</v>
      </c>
      <c r="C1605" s="6" t="s">
        <v>11</v>
      </c>
      <c r="D1605" s="6" t="str">
        <f>IF(ISNUMBER(MATCH(ING_PRV[[#This Row],[Proveedor]],PARAMETROS!$A$2:$A$8,0)),"COMPRADA",
                    IF(ISNUMBER(MATCH(ING_PRV[[#This Row],[Proveedor]],PARAMETROS!$B$2:$B$8,0)),"PROPIA","NA")
)</f>
        <v>NA</v>
      </c>
      <c r="E1605" s="7">
        <v>64.16</v>
      </c>
      <c r="F1605" s="14">
        <v>2.14</v>
      </c>
      <c r="G1605" s="15">
        <v>52.740596952793275</v>
      </c>
      <c r="I1605" s="28"/>
    </row>
    <row r="1606" spans="2:9" x14ac:dyDescent="0.35">
      <c r="B1606" s="4">
        <v>45257</v>
      </c>
      <c r="C1606" s="6" t="s">
        <v>11</v>
      </c>
      <c r="D1606" s="6" t="str">
        <f>IF(ISNUMBER(MATCH(ING_PRV[[#This Row],[Proveedor]],PARAMETROS!$A$2:$A$8,0)),"COMPRADA",
                    IF(ISNUMBER(MATCH(ING_PRV[[#This Row],[Proveedor]],PARAMETROS!$B$2:$B$8,0)),"PROPIA","NA")
)</f>
        <v>NA</v>
      </c>
      <c r="E1606" s="7">
        <v>67.03</v>
      </c>
      <c r="F1606" s="14">
        <v>2.37</v>
      </c>
      <c r="G1606" s="15">
        <v>52.681530798605351</v>
      </c>
      <c r="I1606" s="28"/>
    </row>
    <row r="1607" spans="2:9" x14ac:dyDescent="0.35">
      <c r="B1607" s="4">
        <v>45232</v>
      </c>
      <c r="C1607" s="6" t="s">
        <v>11</v>
      </c>
      <c r="D1607" s="6" t="str">
        <f>IF(ISNUMBER(MATCH(ING_PRV[[#This Row],[Proveedor]],PARAMETROS!$A$2:$A$8,0)),"COMPRADA",
                    IF(ISNUMBER(MATCH(ING_PRV[[#This Row],[Proveedor]],PARAMETROS!$B$2:$B$8,0)),"PROPIA","NA")
)</f>
        <v>NA</v>
      </c>
      <c r="E1607" s="7">
        <v>37.049999999999997</v>
      </c>
      <c r="F1607" s="9">
        <v>4.57</v>
      </c>
      <c r="G1607" s="11">
        <v>50.73388842631141</v>
      </c>
      <c r="I1607" s="28"/>
    </row>
    <row r="1608" spans="2:9" x14ac:dyDescent="0.35">
      <c r="B1608" s="4">
        <v>45254</v>
      </c>
      <c r="C1608" s="6" t="s">
        <v>12</v>
      </c>
      <c r="D1608" s="6" t="str">
        <f>IF(ISNUMBER(MATCH(ING_PRV[[#This Row],[Proveedor]],PARAMETROS!$A$2:$A$8,0)),"COMPRADA",
                    IF(ISNUMBER(MATCH(ING_PRV[[#This Row],[Proveedor]],PARAMETROS!$B$2:$B$8,0)),"PROPIA","NA")
)</f>
        <v>NA</v>
      </c>
      <c r="E1608" s="7">
        <v>147.30000000000001</v>
      </c>
      <c r="F1608" s="9">
        <v>0.83</v>
      </c>
      <c r="G1608" s="11">
        <v>54.082058848045342</v>
      </c>
      <c r="I1608" s="28"/>
    </row>
    <row r="1609" spans="2:9" x14ac:dyDescent="0.35">
      <c r="B1609" s="4">
        <v>45255</v>
      </c>
      <c r="C1609" s="6" t="s">
        <v>12</v>
      </c>
      <c r="D1609" s="6" t="str">
        <f>IF(ISNUMBER(MATCH(ING_PRV[[#This Row],[Proveedor]],PARAMETROS!$A$2:$A$8,0)),"COMPRADA",
                    IF(ISNUMBER(MATCH(ING_PRV[[#This Row],[Proveedor]],PARAMETROS!$B$2:$B$8,0)),"PROPIA","NA")
)</f>
        <v>NA</v>
      </c>
      <c r="E1609" s="7">
        <v>246.68</v>
      </c>
      <c r="F1609" s="9">
        <v>1.17</v>
      </c>
      <c r="G1609" s="11">
        <v>53.636193158287085</v>
      </c>
      <c r="I1609" s="28"/>
    </row>
    <row r="1610" spans="2:9" x14ac:dyDescent="0.35">
      <c r="B1610" s="4">
        <v>45257</v>
      </c>
      <c r="C1610" s="6" t="s">
        <v>12</v>
      </c>
      <c r="D1610" s="6" t="str">
        <f>IF(ISNUMBER(MATCH(ING_PRV[[#This Row],[Proveedor]],PARAMETROS!$A$2:$A$8,0)),"COMPRADA",
                    IF(ISNUMBER(MATCH(ING_PRV[[#This Row],[Proveedor]],PARAMETROS!$B$2:$B$8,0)),"PROPIA","NA")
)</f>
        <v>NA</v>
      </c>
      <c r="E1610" s="7">
        <v>583.04</v>
      </c>
      <c r="F1610" s="9">
        <v>1.24</v>
      </c>
      <c r="G1610" s="11">
        <v>53.297332667332668</v>
      </c>
      <c r="I1610" s="28"/>
    </row>
    <row r="1611" spans="2:9" x14ac:dyDescent="0.35">
      <c r="B1611" s="4">
        <v>45258</v>
      </c>
      <c r="C1611" s="6" t="s">
        <v>12</v>
      </c>
      <c r="D1611" s="6" t="str">
        <f>IF(ISNUMBER(MATCH(ING_PRV[[#This Row],[Proveedor]],PARAMETROS!$A$2:$A$8,0)),"COMPRADA",
                    IF(ISNUMBER(MATCH(ING_PRV[[#This Row],[Proveedor]],PARAMETROS!$B$2:$B$8,0)),"PROPIA","NA")
)</f>
        <v>NA</v>
      </c>
      <c r="E1611" s="7">
        <v>1809.1</v>
      </c>
      <c r="F1611" s="9">
        <v>4.4800000000000004</v>
      </c>
      <c r="G1611" s="11">
        <v>50.128492878436568</v>
      </c>
      <c r="I1611" s="28"/>
    </row>
    <row r="1612" spans="2:9" x14ac:dyDescent="0.35">
      <c r="B1612" s="4">
        <v>45259</v>
      </c>
      <c r="C1612" s="6" t="s">
        <v>12</v>
      </c>
      <c r="D1612" s="6" t="str">
        <f>IF(ISNUMBER(MATCH(ING_PRV[[#This Row],[Proveedor]],PARAMETROS!$A$2:$A$8,0)),"COMPRADA",
                    IF(ISNUMBER(MATCH(ING_PRV[[#This Row],[Proveedor]],PARAMETROS!$B$2:$B$8,0)),"PROPIA","NA")
)</f>
        <v>NA</v>
      </c>
      <c r="E1612" s="7">
        <v>1726.56</v>
      </c>
      <c r="F1612" s="9">
        <v>1.1399999999999999</v>
      </c>
      <c r="G1612" s="11">
        <v>53.267229599933181</v>
      </c>
      <c r="I1612" s="28"/>
    </row>
    <row r="1613" spans="2:9" x14ac:dyDescent="0.35">
      <c r="B1613" s="4">
        <v>45260</v>
      </c>
      <c r="C1613" s="6" t="s">
        <v>12</v>
      </c>
      <c r="D1613" s="6" t="str">
        <f>IF(ISNUMBER(MATCH(ING_PRV[[#This Row],[Proveedor]],PARAMETROS!$A$2:$A$8,0)),"COMPRADA",
                    IF(ISNUMBER(MATCH(ING_PRV[[#This Row],[Proveedor]],PARAMETROS!$B$2:$B$8,0)),"PROPIA","NA")
)</f>
        <v>NA</v>
      </c>
      <c r="E1613" s="7">
        <v>1687.32</v>
      </c>
      <c r="F1613" s="9">
        <v>1.17</v>
      </c>
      <c r="G1613" s="11">
        <v>53.489403764822953</v>
      </c>
      <c r="I1613" s="28"/>
    </row>
    <row r="1614" spans="2:9" x14ac:dyDescent="0.35">
      <c r="B1614" s="16">
        <v>45295</v>
      </c>
      <c r="C1614" s="6" t="s">
        <v>5</v>
      </c>
      <c r="D16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14" s="7">
        <v>99</v>
      </c>
      <c r="F1614" s="9">
        <v>0.46277500000000005</v>
      </c>
      <c r="G1614" s="10">
        <v>53.837523762747452</v>
      </c>
      <c r="I1614" s="28"/>
    </row>
    <row r="1615" spans="2:9" x14ac:dyDescent="0.35">
      <c r="B1615" s="16">
        <v>45301</v>
      </c>
      <c r="C1615" s="6" t="s">
        <v>5</v>
      </c>
      <c r="D16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15" s="7">
        <v>108</v>
      </c>
      <c r="F1615" s="9">
        <v>7.0000000000000007E-2</v>
      </c>
      <c r="G1615" s="10">
        <v>54.879522856189517</v>
      </c>
      <c r="I1615" s="28"/>
    </row>
    <row r="1616" spans="2:9" x14ac:dyDescent="0.35">
      <c r="B1616" s="16">
        <v>45309</v>
      </c>
      <c r="C1616" s="6" t="s">
        <v>5</v>
      </c>
      <c r="D16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16" s="7">
        <v>105.4</v>
      </c>
      <c r="F1616" s="9">
        <v>0.63</v>
      </c>
      <c r="G1616" s="10">
        <v>54.306285666611046</v>
      </c>
      <c r="I1616" s="28"/>
    </row>
    <row r="1617" spans="2:9" x14ac:dyDescent="0.35">
      <c r="B1617" s="16">
        <v>45316</v>
      </c>
      <c r="C1617" s="6" t="s">
        <v>5</v>
      </c>
      <c r="D16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17" s="7">
        <v>99.99</v>
      </c>
      <c r="F1617" s="9">
        <v>0.34240000000000004</v>
      </c>
      <c r="G1617" s="10">
        <v>54.83995044871795</v>
      </c>
      <c r="I1617" s="28"/>
    </row>
    <row r="1618" spans="2:9" x14ac:dyDescent="0.35">
      <c r="B1618" s="16">
        <v>45318</v>
      </c>
      <c r="C1618" s="6" t="s">
        <v>5</v>
      </c>
      <c r="D16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18" s="7">
        <v>65.319999999999993</v>
      </c>
      <c r="F1618" s="9">
        <v>0.9068250000000001</v>
      </c>
      <c r="G1618" s="10">
        <v>53.69430746344883</v>
      </c>
      <c r="I1618" s="28"/>
    </row>
    <row r="1619" spans="2:9" x14ac:dyDescent="0.35">
      <c r="B1619" s="16">
        <v>45324</v>
      </c>
      <c r="C1619" s="6" t="s">
        <v>5</v>
      </c>
      <c r="D16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19" s="7">
        <v>36.159999999999997</v>
      </c>
      <c r="F1619" s="9">
        <v>0.24877500000000002</v>
      </c>
      <c r="G1619" s="10">
        <v>53.862931718843178</v>
      </c>
      <c r="I1619" s="28"/>
    </row>
    <row r="1620" spans="2:9" x14ac:dyDescent="0.35">
      <c r="B1620" s="16">
        <v>45325</v>
      </c>
      <c r="C1620" s="6" t="s">
        <v>5</v>
      </c>
      <c r="D16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0" s="7">
        <v>62.63</v>
      </c>
      <c r="F1620" s="9">
        <v>0.31832500000000002</v>
      </c>
      <c r="G1620" s="10">
        <v>54.709811775860338</v>
      </c>
      <c r="I1620" s="28"/>
    </row>
    <row r="1621" spans="2:9" x14ac:dyDescent="0.35">
      <c r="B1621" s="16">
        <v>45329</v>
      </c>
      <c r="C1621" s="6" t="s">
        <v>5</v>
      </c>
      <c r="D16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1" s="7">
        <v>100.89</v>
      </c>
      <c r="F1621" s="9">
        <v>0.31832500000000002</v>
      </c>
      <c r="G1621" s="10">
        <v>54</v>
      </c>
      <c r="I1621" s="28"/>
    </row>
    <row r="1622" spans="2:9" x14ac:dyDescent="0.35">
      <c r="B1622" s="16">
        <v>45332</v>
      </c>
      <c r="C1622" s="6" t="s">
        <v>5</v>
      </c>
      <c r="D16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2" s="7">
        <v>97.21</v>
      </c>
      <c r="F1622" s="9">
        <v>0.70352500000000007</v>
      </c>
      <c r="G1622" s="10">
        <v>52.547416703770558</v>
      </c>
      <c r="I1622" s="28"/>
    </row>
    <row r="1623" spans="2:9" x14ac:dyDescent="0.35">
      <c r="B1623" s="16">
        <v>45342</v>
      </c>
      <c r="C1623" s="6" t="s">
        <v>5</v>
      </c>
      <c r="D16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3" s="7">
        <v>99.19</v>
      </c>
      <c r="F1623" s="9">
        <v>0.27552500000000002</v>
      </c>
      <c r="G1623" s="10">
        <v>54.773344478616295</v>
      </c>
      <c r="I1623" s="28"/>
    </row>
    <row r="1624" spans="2:9" x14ac:dyDescent="0.35">
      <c r="B1624" s="16">
        <v>45344</v>
      </c>
      <c r="C1624" s="6" t="s">
        <v>5</v>
      </c>
      <c r="D16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4" s="7">
        <v>101.89</v>
      </c>
      <c r="F1624" s="9">
        <v>0.29960000000000003</v>
      </c>
      <c r="G1624" s="10">
        <v>54.92682659954977</v>
      </c>
      <c r="I1624" s="28"/>
    </row>
    <row r="1625" spans="2:9" x14ac:dyDescent="0.35">
      <c r="B1625" s="16">
        <v>45346</v>
      </c>
      <c r="C1625" s="6" t="s">
        <v>5</v>
      </c>
      <c r="D16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5" s="7">
        <v>99.32</v>
      </c>
      <c r="F1625" s="9">
        <v>0.48685000000000006</v>
      </c>
      <c r="G1625" s="10">
        <v>54.734629869015357</v>
      </c>
      <c r="I1625" s="28"/>
    </row>
    <row r="1626" spans="2:9" x14ac:dyDescent="0.35">
      <c r="B1626" s="16">
        <v>45350</v>
      </c>
      <c r="C1626" s="6" t="s">
        <v>5</v>
      </c>
      <c r="D16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6" s="7">
        <v>103.75</v>
      </c>
      <c r="F1626" s="9">
        <v>0.30762499999999998</v>
      </c>
      <c r="G1626" s="10">
        <v>54.735118351703406</v>
      </c>
      <c r="I1626" s="28"/>
    </row>
    <row r="1627" spans="2:9" x14ac:dyDescent="0.35">
      <c r="B1627" s="16">
        <v>45352</v>
      </c>
      <c r="C1627" s="6" t="s">
        <v>5</v>
      </c>
      <c r="D16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7" s="7">
        <v>103.04</v>
      </c>
      <c r="F1627" s="9">
        <v>1.0967499999999999</v>
      </c>
      <c r="G1627" s="10">
        <v>53.978445525404155</v>
      </c>
      <c r="I1627" s="28"/>
    </row>
    <row r="1628" spans="2:9" x14ac:dyDescent="0.35">
      <c r="B1628" s="16">
        <v>45358</v>
      </c>
      <c r="C1628" s="6" t="s">
        <v>5</v>
      </c>
      <c r="D16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8" s="7">
        <v>103.8</v>
      </c>
      <c r="F1628" s="9">
        <v>2.4663500000000003</v>
      </c>
      <c r="G1628" s="10">
        <v>52.840547769892048</v>
      </c>
      <c r="I1628" s="28"/>
    </row>
    <row r="1629" spans="2:9" x14ac:dyDescent="0.35">
      <c r="B1629" s="16">
        <v>45360</v>
      </c>
      <c r="C1629" s="6" t="s">
        <v>5</v>
      </c>
      <c r="D16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29" s="7">
        <v>101.45</v>
      </c>
      <c r="F1629" s="9">
        <v>0.35042500000000004</v>
      </c>
      <c r="G1629" s="10">
        <v>54.665059456958971</v>
      </c>
      <c r="I1629" s="28"/>
    </row>
    <row r="1630" spans="2:9" x14ac:dyDescent="0.35">
      <c r="B1630" s="16">
        <v>45364</v>
      </c>
      <c r="C1630" s="6" t="s">
        <v>5</v>
      </c>
      <c r="D16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0" s="7">
        <v>68.13</v>
      </c>
      <c r="F1630" s="9">
        <v>0.38787500000000003</v>
      </c>
      <c r="G1630" s="10">
        <v>54.252370879717688</v>
      </c>
      <c r="I1630" s="28"/>
    </row>
    <row r="1631" spans="2:9" x14ac:dyDescent="0.35">
      <c r="B1631" s="16">
        <v>45370</v>
      </c>
      <c r="C1631" s="6" t="s">
        <v>5</v>
      </c>
      <c r="D16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1" s="7">
        <v>103.75</v>
      </c>
      <c r="F1631" s="9">
        <v>0.575125</v>
      </c>
      <c r="G1631" s="10">
        <v>53.284387805427599</v>
      </c>
      <c r="I1631" s="28"/>
    </row>
    <row r="1632" spans="2:9" x14ac:dyDescent="0.35">
      <c r="B1632" s="16">
        <v>45373</v>
      </c>
      <c r="C1632" s="6" t="s">
        <v>5</v>
      </c>
      <c r="D16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2" s="7">
        <v>104.2</v>
      </c>
      <c r="F1632" s="9">
        <v>0.78377500000000011</v>
      </c>
      <c r="G1632" s="10">
        <v>53.328387810286337</v>
      </c>
      <c r="I1632" s="28"/>
    </row>
    <row r="1633" spans="2:9" x14ac:dyDescent="0.35">
      <c r="B1633" s="16">
        <v>45385</v>
      </c>
      <c r="C1633" s="6" t="s">
        <v>5</v>
      </c>
      <c r="D16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3" s="7">
        <v>69.33</v>
      </c>
      <c r="F1633" s="9">
        <v>0.59920000000000007</v>
      </c>
      <c r="G1633" s="10">
        <v>51.522552654690614</v>
      </c>
      <c r="I1633" s="28"/>
    </row>
    <row r="1634" spans="2:9" x14ac:dyDescent="0.35">
      <c r="B1634" s="16">
        <v>45306</v>
      </c>
      <c r="C1634" s="6" t="s">
        <v>3</v>
      </c>
      <c r="D16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4" s="7">
        <v>42.3</v>
      </c>
      <c r="F1634" s="11">
        <v>3.15</v>
      </c>
      <c r="G1634" s="11">
        <v>52.401965317919078</v>
      </c>
      <c r="I1634" s="28"/>
    </row>
    <row r="1635" spans="2:9" x14ac:dyDescent="0.35">
      <c r="B1635" s="16">
        <v>45307</v>
      </c>
      <c r="C1635" s="6" t="s">
        <v>3</v>
      </c>
      <c r="D16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5" s="7">
        <v>179</v>
      </c>
      <c r="F1635" s="11">
        <v>5.19</v>
      </c>
      <c r="G1635" s="11">
        <v>51.005849684070498</v>
      </c>
      <c r="I1635" s="28"/>
    </row>
    <row r="1636" spans="2:9" x14ac:dyDescent="0.35">
      <c r="B1636" s="16">
        <v>45308</v>
      </c>
      <c r="C1636" s="6" t="s">
        <v>3</v>
      </c>
      <c r="D16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6" s="7">
        <v>139.84</v>
      </c>
      <c r="F1636" s="11">
        <v>3.78</v>
      </c>
      <c r="G1636" s="11">
        <v>50.485398051729931</v>
      </c>
      <c r="I1636" s="28"/>
    </row>
    <row r="1637" spans="2:9" x14ac:dyDescent="0.35">
      <c r="B1637" s="16">
        <v>45309</v>
      </c>
      <c r="C1637" s="6" t="s">
        <v>3</v>
      </c>
      <c r="D16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7" s="7">
        <v>66.28</v>
      </c>
      <c r="F1637" s="11">
        <v>2.29</v>
      </c>
      <c r="G1637" s="11">
        <v>53.584966392830466</v>
      </c>
      <c r="I1637" s="28"/>
    </row>
    <row r="1638" spans="2:9" x14ac:dyDescent="0.35">
      <c r="B1638" s="16">
        <v>45310</v>
      </c>
      <c r="C1638" s="6" t="s">
        <v>3</v>
      </c>
      <c r="D16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8" s="7">
        <v>114.64</v>
      </c>
      <c r="F1638" s="11">
        <v>2.15</v>
      </c>
      <c r="G1638" s="11">
        <v>53.4775301050474</v>
      </c>
      <c r="I1638" s="28"/>
    </row>
    <row r="1639" spans="2:9" x14ac:dyDescent="0.35">
      <c r="B1639" s="16">
        <v>45311</v>
      </c>
      <c r="C1639" s="6" t="s">
        <v>3</v>
      </c>
      <c r="D16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39" s="7">
        <v>45.04</v>
      </c>
      <c r="F1639" s="11">
        <v>3.98</v>
      </c>
      <c r="G1639" s="11">
        <v>49.916387118416644</v>
      </c>
      <c r="I1639" s="28"/>
    </row>
    <row r="1640" spans="2:9" x14ac:dyDescent="0.35">
      <c r="B1640" s="16">
        <v>45313</v>
      </c>
      <c r="C1640" s="6" t="s">
        <v>3</v>
      </c>
      <c r="D16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0" s="7">
        <v>93.08</v>
      </c>
      <c r="F1640" s="11">
        <v>1.605</v>
      </c>
      <c r="G1640" s="11">
        <v>53.778981082089558</v>
      </c>
      <c r="I1640" s="28"/>
    </row>
    <row r="1641" spans="2:9" x14ac:dyDescent="0.35">
      <c r="B1641" s="16">
        <v>45314</v>
      </c>
      <c r="C1641" s="6" t="s">
        <v>3</v>
      </c>
      <c r="D16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1" s="7">
        <v>115.16</v>
      </c>
      <c r="F1641" s="11">
        <v>2.7927</v>
      </c>
      <c r="G1641" s="11">
        <v>53.096262842507031</v>
      </c>
      <c r="I1641" s="28"/>
    </row>
    <row r="1642" spans="2:9" x14ac:dyDescent="0.35">
      <c r="B1642" s="16">
        <v>45315</v>
      </c>
      <c r="C1642" s="6" t="s">
        <v>3</v>
      </c>
      <c r="D16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2" s="7">
        <v>89.78</v>
      </c>
      <c r="F1642" s="11">
        <v>3.1404500000000004</v>
      </c>
      <c r="G1642" s="11">
        <v>51.335080586355005</v>
      </c>
      <c r="I1642" s="28"/>
    </row>
    <row r="1643" spans="2:9" x14ac:dyDescent="0.35">
      <c r="B1643" s="16">
        <v>45316</v>
      </c>
      <c r="C1643" s="6" t="s">
        <v>3</v>
      </c>
      <c r="D16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3" s="7">
        <v>67.959999999999994</v>
      </c>
      <c r="F1643" s="11">
        <v>1.5434749999999999</v>
      </c>
      <c r="G1643" s="11">
        <v>54.013767377987556</v>
      </c>
      <c r="I1643" s="28"/>
    </row>
    <row r="1644" spans="2:9" x14ac:dyDescent="0.35">
      <c r="B1644" s="16">
        <v>45317</v>
      </c>
      <c r="C1644" s="6" t="s">
        <v>3</v>
      </c>
      <c r="D16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4" s="7">
        <v>113.76</v>
      </c>
      <c r="F1644" s="11">
        <v>1.4043750000000002</v>
      </c>
      <c r="G1644" s="11">
        <v>53.807503102197039</v>
      </c>
      <c r="I1644" s="28"/>
    </row>
    <row r="1645" spans="2:9" x14ac:dyDescent="0.35">
      <c r="B1645" s="16">
        <v>45318</v>
      </c>
      <c r="C1645" s="6" t="s">
        <v>3</v>
      </c>
      <c r="D16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5" s="7">
        <v>24.98</v>
      </c>
      <c r="F1645" s="11">
        <v>2.6268500000000001</v>
      </c>
      <c r="G1645" s="11">
        <v>52.783431092583378</v>
      </c>
      <c r="I1645" s="28"/>
    </row>
    <row r="1646" spans="2:9" x14ac:dyDescent="0.35">
      <c r="B1646" s="16">
        <v>45320</v>
      </c>
      <c r="C1646" s="6" t="s">
        <v>3</v>
      </c>
      <c r="D16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6" s="7">
        <v>113.82</v>
      </c>
      <c r="F1646" s="11">
        <v>2.2095500000000001</v>
      </c>
      <c r="G1646" s="11">
        <v>52.513409633119487</v>
      </c>
      <c r="I1646" s="28"/>
    </row>
    <row r="1647" spans="2:9" x14ac:dyDescent="0.35">
      <c r="B1647" s="16">
        <v>45321</v>
      </c>
      <c r="C1647" s="6" t="s">
        <v>3</v>
      </c>
      <c r="D16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7" s="7">
        <v>111.16</v>
      </c>
      <c r="F1647" s="11">
        <v>1.5996500000000002</v>
      </c>
      <c r="G1647" s="11">
        <v>54.035320013922039</v>
      </c>
      <c r="I1647" s="28"/>
    </row>
    <row r="1648" spans="2:9" x14ac:dyDescent="0.35">
      <c r="B1648" s="16">
        <v>45322</v>
      </c>
      <c r="C1648" s="6" t="s">
        <v>3</v>
      </c>
      <c r="D16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8" s="7">
        <v>21</v>
      </c>
      <c r="F1648" s="11">
        <v>4.3415250000000007</v>
      </c>
      <c r="G1648" s="11">
        <v>51.428928571428571</v>
      </c>
      <c r="I1648" s="28"/>
    </row>
    <row r="1649" spans="2:9" x14ac:dyDescent="0.35">
      <c r="B1649" s="16">
        <v>45323</v>
      </c>
      <c r="C1649" s="6" t="s">
        <v>3</v>
      </c>
      <c r="D16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49" s="7">
        <v>91.45</v>
      </c>
      <c r="F1649" s="11">
        <v>7.8966000000000003</v>
      </c>
      <c r="G1649" s="11">
        <v>48.087501917487806</v>
      </c>
      <c r="I1649" s="28"/>
    </row>
    <row r="1650" spans="2:9" x14ac:dyDescent="0.35">
      <c r="B1650" s="16">
        <v>45324</v>
      </c>
      <c r="C1650" s="6" t="s">
        <v>3</v>
      </c>
      <c r="D16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0" s="7">
        <v>87.54</v>
      </c>
      <c r="F1650" s="11">
        <v>1.98485</v>
      </c>
      <c r="G1650" s="11">
        <v>53.242763708873383</v>
      </c>
      <c r="I1650" s="28"/>
    </row>
    <row r="1651" spans="2:9" x14ac:dyDescent="0.35">
      <c r="B1651" s="16">
        <v>45325</v>
      </c>
      <c r="C1651" s="6" t="s">
        <v>3</v>
      </c>
      <c r="D16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1" s="7">
        <v>44.6</v>
      </c>
      <c r="F1651" s="11">
        <v>1.8992500000000001</v>
      </c>
      <c r="G1651" s="11">
        <v>53.503329682365823</v>
      </c>
      <c r="I1651" s="28"/>
    </row>
    <row r="1652" spans="2:9" x14ac:dyDescent="0.35">
      <c r="B1652" s="16">
        <v>45328</v>
      </c>
      <c r="C1652" s="6" t="s">
        <v>3</v>
      </c>
      <c r="D16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2" s="7">
        <v>64.52</v>
      </c>
      <c r="F1652" s="11">
        <v>2.6429000000000005</v>
      </c>
      <c r="G1652" s="11">
        <v>52.172282872553943</v>
      </c>
      <c r="I1652" s="28"/>
    </row>
    <row r="1653" spans="2:9" x14ac:dyDescent="0.35">
      <c r="B1653" s="16">
        <v>45329</v>
      </c>
      <c r="C1653" s="6" t="s">
        <v>3</v>
      </c>
      <c r="D16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3" s="7">
        <v>87.92</v>
      </c>
      <c r="F1653" s="11">
        <v>2.4128500000000002</v>
      </c>
      <c r="G1653" s="11">
        <v>52.57963550800801</v>
      </c>
      <c r="I1653" s="28"/>
    </row>
    <row r="1654" spans="2:9" x14ac:dyDescent="0.35">
      <c r="B1654" s="16">
        <v>45330</v>
      </c>
      <c r="C1654" s="6" t="s">
        <v>3</v>
      </c>
      <c r="D16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4" s="7">
        <v>90.64</v>
      </c>
      <c r="F1654" s="11">
        <v>2.233625</v>
      </c>
      <c r="G1654" s="11">
        <v>52.497272910372608</v>
      </c>
      <c r="I1654" s="28"/>
    </row>
    <row r="1655" spans="2:9" x14ac:dyDescent="0.35">
      <c r="B1655" s="16">
        <v>45331</v>
      </c>
      <c r="C1655" s="6" t="s">
        <v>3</v>
      </c>
      <c r="D16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5" s="7">
        <v>42.9</v>
      </c>
      <c r="F1655" s="11">
        <v>2.2015250000000002</v>
      </c>
      <c r="G1655" s="11">
        <v>52.755590881823636</v>
      </c>
      <c r="I1655" s="28"/>
    </row>
    <row r="1656" spans="2:9" x14ac:dyDescent="0.35">
      <c r="B1656" s="16">
        <v>45336</v>
      </c>
      <c r="C1656" s="6" t="s">
        <v>3</v>
      </c>
      <c r="D16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6" s="7">
        <v>21.3</v>
      </c>
      <c r="F1656" s="11">
        <v>3.1939500000000001</v>
      </c>
      <c r="G1656" s="11">
        <v>51.57915315286624</v>
      </c>
      <c r="I1656" s="28"/>
    </row>
    <row r="1657" spans="2:9" x14ac:dyDescent="0.35">
      <c r="B1657" s="16">
        <v>45339</v>
      </c>
      <c r="C1657" s="6" t="s">
        <v>3</v>
      </c>
      <c r="D16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7" s="7">
        <v>0</v>
      </c>
      <c r="F1657" s="11">
        <v>4.2291750000000006</v>
      </c>
      <c r="G1657" s="11">
        <v>52.130719999999997</v>
      </c>
      <c r="I1657" s="28"/>
    </row>
    <row r="1658" spans="2:9" x14ac:dyDescent="0.35">
      <c r="B1658" s="16">
        <v>45341</v>
      </c>
      <c r="C1658" s="6" t="s">
        <v>3</v>
      </c>
      <c r="D16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8" s="7">
        <v>66.38</v>
      </c>
      <c r="F1658" s="11">
        <v>2.4690250000000002</v>
      </c>
      <c r="G1658" s="11">
        <v>52.413121406171726</v>
      </c>
      <c r="I1658" s="28"/>
    </row>
    <row r="1659" spans="2:9" x14ac:dyDescent="0.35">
      <c r="B1659" s="16">
        <v>45342</v>
      </c>
      <c r="C1659" s="6" t="s">
        <v>3</v>
      </c>
      <c r="D16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59" s="7">
        <v>89.98</v>
      </c>
      <c r="F1659" s="11">
        <v>3.5122750000000003</v>
      </c>
      <c r="G1659" s="11">
        <v>51.858584211236632</v>
      </c>
      <c r="I1659" s="28"/>
    </row>
    <row r="1660" spans="2:9" x14ac:dyDescent="0.35">
      <c r="B1660" s="16">
        <v>45343</v>
      </c>
      <c r="C1660" s="6" t="s">
        <v>3</v>
      </c>
      <c r="D16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0" s="7">
        <v>113.84</v>
      </c>
      <c r="F1660" s="11">
        <v>3.1244000000000001</v>
      </c>
      <c r="G1660" s="11">
        <v>52.293504417293235</v>
      </c>
      <c r="I1660" s="28"/>
    </row>
    <row r="1661" spans="2:9" x14ac:dyDescent="0.35">
      <c r="B1661" s="16">
        <v>45344</v>
      </c>
      <c r="C1661" s="6" t="s">
        <v>3</v>
      </c>
      <c r="D16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1" s="7">
        <v>88.32</v>
      </c>
      <c r="F1661" s="11">
        <v>2.7953749999999999</v>
      </c>
      <c r="G1661" s="11">
        <v>52.554895769384494</v>
      </c>
      <c r="I1661" s="28"/>
    </row>
    <row r="1662" spans="2:9" x14ac:dyDescent="0.35">
      <c r="B1662" s="16">
        <v>45345</v>
      </c>
      <c r="C1662" s="6" t="s">
        <v>3</v>
      </c>
      <c r="D16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2" s="7">
        <v>109.8</v>
      </c>
      <c r="F1662" s="11">
        <v>6.4360499999999998</v>
      </c>
      <c r="G1662" s="11">
        <v>50.467249166332763</v>
      </c>
      <c r="I1662" s="28"/>
    </row>
    <row r="1663" spans="2:9" x14ac:dyDescent="0.35">
      <c r="B1663" s="16">
        <v>45346</v>
      </c>
      <c r="C1663" s="6" t="s">
        <v>3</v>
      </c>
      <c r="D16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3" s="7">
        <v>65.94</v>
      </c>
      <c r="F1663" s="11">
        <v>3.1137000000000001</v>
      </c>
      <c r="G1663" s="11">
        <v>49.847197194388784</v>
      </c>
      <c r="I1663" s="28"/>
    </row>
    <row r="1664" spans="2:9" x14ac:dyDescent="0.35">
      <c r="B1664" s="16">
        <v>45348</v>
      </c>
      <c r="C1664" s="6" t="s">
        <v>3</v>
      </c>
      <c r="D16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4" s="7">
        <v>21.7</v>
      </c>
      <c r="F1664" s="11">
        <v>1.9902000000000002</v>
      </c>
      <c r="G1664" s="11">
        <v>53.574699464374071</v>
      </c>
      <c r="I1664" s="28"/>
    </row>
    <row r="1665" spans="2:9" x14ac:dyDescent="0.35">
      <c r="B1665" s="16">
        <v>45349</v>
      </c>
      <c r="C1665" s="6" t="s">
        <v>3</v>
      </c>
      <c r="D16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5" s="7">
        <v>66.16</v>
      </c>
      <c r="F1665" s="11">
        <v>1.2519</v>
      </c>
      <c r="G1665" s="11">
        <v>54.084341565843417</v>
      </c>
      <c r="I1665" s="28"/>
    </row>
    <row r="1666" spans="2:9" x14ac:dyDescent="0.35">
      <c r="B1666" s="16">
        <v>45350</v>
      </c>
      <c r="C1666" s="6" t="s">
        <v>3</v>
      </c>
      <c r="D16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6" s="7">
        <v>64.599999999999994</v>
      </c>
      <c r="F1666" s="11">
        <v>2.5118250000000004</v>
      </c>
      <c r="G1666" s="11">
        <v>39.509852265921339</v>
      </c>
      <c r="I1666" s="28"/>
    </row>
    <row r="1667" spans="2:9" x14ac:dyDescent="0.35">
      <c r="B1667" s="16">
        <v>45352</v>
      </c>
      <c r="C1667" s="6" t="s">
        <v>3</v>
      </c>
      <c r="D16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7" s="7">
        <v>90.58</v>
      </c>
      <c r="F1667" s="11">
        <v>9.5657999999999994</v>
      </c>
      <c r="G1667" s="11">
        <v>48.011966248746234</v>
      </c>
      <c r="I1667" s="28"/>
    </row>
    <row r="1668" spans="2:9" x14ac:dyDescent="0.35">
      <c r="B1668" s="16">
        <v>45353</v>
      </c>
      <c r="C1668" s="6" t="s">
        <v>3</v>
      </c>
      <c r="D16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8" s="7">
        <v>66.14</v>
      </c>
      <c r="F1668" s="11">
        <v>1.6906000000000001</v>
      </c>
      <c r="G1668" s="11">
        <v>53.390033735329226</v>
      </c>
      <c r="I1668" s="28"/>
    </row>
    <row r="1669" spans="2:9" x14ac:dyDescent="0.35">
      <c r="B1669" s="16">
        <v>45356</v>
      </c>
      <c r="C1669" s="6" t="s">
        <v>3</v>
      </c>
      <c r="D16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69" s="7">
        <v>66.459999999999994</v>
      </c>
      <c r="F1669" s="11">
        <v>1.944725</v>
      </c>
      <c r="G1669" s="11">
        <v>53.753922575742422</v>
      </c>
      <c r="I1669" s="28"/>
    </row>
    <row r="1670" spans="2:9" x14ac:dyDescent="0.35">
      <c r="B1670" s="16">
        <v>45358</v>
      </c>
      <c r="C1670" s="6" t="s">
        <v>3</v>
      </c>
      <c r="D16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0" s="7">
        <v>89.06</v>
      </c>
      <c r="F1670" s="11">
        <v>2.9077250000000001</v>
      </c>
      <c r="G1670" s="11">
        <v>51.216606290330681</v>
      </c>
      <c r="I1670" s="28"/>
    </row>
    <row r="1671" spans="2:9" x14ac:dyDescent="0.35">
      <c r="B1671" s="16">
        <v>45359</v>
      </c>
      <c r="C1671" s="6" t="s">
        <v>3</v>
      </c>
      <c r="D16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1" s="7">
        <v>89.14</v>
      </c>
      <c r="F1671" s="11">
        <v>4.1890499999999999</v>
      </c>
      <c r="G1671" s="11">
        <v>49.81343790443006</v>
      </c>
      <c r="I1671" s="28"/>
    </row>
    <row r="1672" spans="2:9" x14ac:dyDescent="0.35">
      <c r="B1672" s="16">
        <v>45360</v>
      </c>
      <c r="C1672" s="6" t="s">
        <v>3</v>
      </c>
      <c r="D16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2" s="7">
        <v>45.52</v>
      </c>
      <c r="F1672" s="11">
        <v>3.062875</v>
      </c>
      <c r="G1672" s="11">
        <v>52.752345740472144</v>
      </c>
      <c r="I1672" s="28"/>
    </row>
    <row r="1673" spans="2:9" x14ac:dyDescent="0.35">
      <c r="B1673" s="16">
        <v>45362</v>
      </c>
      <c r="C1673" s="6" t="s">
        <v>3</v>
      </c>
      <c r="D16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3" s="7">
        <v>86.68</v>
      </c>
      <c r="F1673" s="11">
        <v>4.4137500000000003</v>
      </c>
      <c r="G1673" s="11">
        <v>51.004268476095625</v>
      </c>
      <c r="I1673" s="28"/>
    </row>
    <row r="1674" spans="2:9" x14ac:dyDescent="0.35">
      <c r="B1674" s="16">
        <v>45363</v>
      </c>
      <c r="C1674" s="6" t="s">
        <v>3</v>
      </c>
      <c r="D16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4" s="7">
        <v>88.64</v>
      </c>
      <c r="F1674" s="11">
        <v>1.8163250000000002</v>
      </c>
      <c r="G1674" s="11">
        <v>52.648378368135148</v>
      </c>
      <c r="I1674" s="28"/>
    </row>
    <row r="1675" spans="2:9" x14ac:dyDescent="0.35">
      <c r="B1675" s="16">
        <v>45364</v>
      </c>
      <c r="C1675" s="6" t="s">
        <v>3</v>
      </c>
      <c r="D16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5" s="7">
        <v>65.040000000000006</v>
      </c>
      <c r="F1675" s="11">
        <v>3.8279250000000005</v>
      </c>
      <c r="G1675" s="11">
        <v>52.071084586541346</v>
      </c>
      <c r="I1675" s="28"/>
    </row>
    <row r="1676" spans="2:9" x14ac:dyDescent="0.35">
      <c r="B1676" s="16">
        <v>45365</v>
      </c>
      <c r="C1676" s="6" t="s">
        <v>3</v>
      </c>
      <c r="D16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6" s="7">
        <v>127.78</v>
      </c>
      <c r="F1676" s="11">
        <v>2.8569</v>
      </c>
      <c r="G1676" s="11">
        <v>51.908652833866455</v>
      </c>
      <c r="I1676" s="28"/>
    </row>
    <row r="1677" spans="2:9" x14ac:dyDescent="0.35">
      <c r="B1677" s="16">
        <v>45366</v>
      </c>
      <c r="C1677" s="6" t="s">
        <v>3</v>
      </c>
      <c r="D16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7" s="7">
        <v>43.02</v>
      </c>
      <c r="F1677" s="11">
        <v>3.8332750000000004</v>
      </c>
      <c r="G1677" s="11">
        <v>50.016727045908183</v>
      </c>
      <c r="I1677" s="28"/>
    </row>
    <row r="1678" spans="2:9" x14ac:dyDescent="0.35">
      <c r="B1678" s="16">
        <v>45367</v>
      </c>
      <c r="C1678" s="6" t="s">
        <v>3</v>
      </c>
      <c r="D16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8" s="7">
        <v>21.2</v>
      </c>
      <c r="F1678" s="11">
        <v>3.2822249999999999</v>
      </c>
      <c r="G1678" s="11">
        <v>52.138852342653841</v>
      </c>
      <c r="I1678" s="28"/>
    </row>
    <row r="1679" spans="2:9" x14ac:dyDescent="0.35">
      <c r="B1679" s="16">
        <v>45369</v>
      </c>
      <c r="C1679" s="6" t="s">
        <v>3</v>
      </c>
      <c r="D16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79" s="7">
        <v>88.8</v>
      </c>
      <c r="F1679" s="11">
        <v>2.436925</v>
      </c>
      <c r="G1679" s="11">
        <v>52.338033607544141</v>
      </c>
      <c r="I1679" s="28"/>
    </row>
    <row r="1680" spans="2:9" x14ac:dyDescent="0.35">
      <c r="B1680" s="16">
        <v>45370</v>
      </c>
      <c r="C1680" s="6" t="s">
        <v>3</v>
      </c>
      <c r="D16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0" s="7">
        <v>105.82</v>
      </c>
      <c r="F1680" s="11">
        <v>3.9215500000000003</v>
      </c>
      <c r="G1680" s="11">
        <v>52.156696428571429</v>
      </c>
      <c r="I1680" s="28"/>
    </row>
    <row r="1681" spans="2:9" x14ac:dyDescent="0.35">
      <c r="B1681" s="16">
        <v>45371</v>
      </c>
      <c r="C1681" s="6" t="s">
        <v>3</v>
      </c>
      <c r="D16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1" s="7">
        <v>112.64</v>
      </c>
      <c r="F1681" s="11">
        <v>4.0873999999999997</v>
      </c>
      <c r="G1681" s="11">
        <v>50.225903110291185</v>
      </c>
      <c r="I1681" s="28"/>
    </row>
    <row r="1682" spans="2:9" x14ac:dyDescent="0.35">
      <c r="B1682" s="16">
        <v>45372</v>
      </c>
      <c r="C1682" s="6" t="s">
        <v>3</v>
      </c>
      <c r="D16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2" s="7">
        <v>67.72</v>
      </c>
      <c r="F1682" s="11">
        <v>2.6429000000000005</v>
      </c>
      <c r="G1682" s="11">
        <v>52.702887319747646</v>
      </c>
      <c r="I1682" s="28"/>
    </row>
    <row r="1683" spans="2:9" x14ac:dyDescent="0.35">
      <c r="B1683" s="16">
        <v>45373</v>
      </c>
      <c r="C1683" s="6" t="s">
        <v>3</v>
      </c>
      <c r="D16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3" s="7">
        <v>84.96</v>
      </c>
      <c r="F1683" s="11">
        <v>2.790025</v>
      </c>
      <c r="G1683" s="11">
        <v>51.084821710658119</v>
      </c>
      <c r="I1683" s="28"/>
    </row>
    <row r="1684" spans="2:9" x14ac:dyDescent="0.35">
      <c r="B1684" s="16">
        <v>45377</v>
      </c>
      <c r="C1684" s="6" t="s">
        <v>3</v>
      </c>
      <c r="D16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4" s="7">
        <v>45.14</v>
      </c>
      <c r="F1684" s="11">
        <v>4.0125000000000002</v>
      </c>
      <c r="G1684" s="11">
        <v>50.569964715142433</v>
      </c>
      <c r="I1684" s="28"/>
    </row>
    <row r="1685" spans="2:9" x14ac:dyDescent="0.35">
      <c r="B1685" s="16">
        <v>45385</v>
      </c>
      <c r="C1685" s="6" t="s">
        <v>3</v>
      </c>
      <c r="D16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5" s="7">
        <v>63.52</v>
      </c>
      <c r="F1685" s="11">
        <v>3.6406749999999999</v>
      </c>
      <c r="G1685" s="11">
        <v>52.633560707222053</v>
      </c>
      <c r="I1685" s="28"/>
    </row>
    <row r="1686" spans="2:9" x14ac:dyDescent="0.35">
      <c r="B1686" s="16">
        <v>45386</v>
      </c>
      <c r="C1686" s="6" t="s">
        <v>3</v>
      </c>
      <c r="D16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6" s="7">
        <v>43.33</v>
      </c>
      <c r="F1686" s="11">
        <v>2.372725</v>
      </c>
      <c r="G1686" s="11">
        <v>52.744502320464093</v>
      </c>
      <c r="I1686" s="28"/>
    </row>
    <row r="1687" spans="2:9" x14ac:dyDescent="0.35">
      <c r="B1687" s="16">
        <v>45387</v>
      </c>
      <c r="C1687" s="6" t="s">
        <v>3</v>
      </c>
      <c r="D16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7" s="7">
        <v>94.58</v>
      </c>
      <c r="F1687" s="11">
        <v>1.6290750000000001</v>
      </c>
      <c r="G1687" s="11">
        <v>53.608544086093701</v>
      </c>
      <c r="I1687" s="28"/>
    </row>
    <row r="1688" spans="2:9" x14ac:dyDescent="0.35">
      <c r="B1688" s="16">
        <v>45388</v>
      </c>
      <c r="C1688" s="6" t="s">
        <v>3</v>
      </c>
      <c r="D16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8" s="7">
        <v>45.510000000000005</v>
      </c>
      <c r="F1688" s="11">
        <v>1.875175</v>
      </c>
      <c r="G1688" s="11">
        <v>52.869621109284715</v>
      </c>
      <c r="I1688" s="28"/>
    </row>
    <row r="1689" spans="2:9" x14ac:dyDescent="0.35">
      <c r="B1689" s="16">
        <v>45390</v>
      </c>
      <c r="C1689" s="6" t="s">
        <v>3</v>
      </c>
      <c r="D16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89" s="7">
        <v>70.7</v>
      </c>
      <c r="F1689" s="11">
        <v>2.4900000000000002</v>
      </c>
      <c r="G1689" s="11">
        <v>53.327137974155896</v>
      </c>
      <c r="I1689" s="28"/>
    </row>
    <row r="1690" spans="2:9" x14ac:dyDescent="0.35">
      <c r="B1690" s="16">
        <v>45295</v>
      </c>
      <c r="C1690" s="6" t="s">
        <v>6</v>
      </c>
      <c r="D16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0" s="7">
        <v>0</v>
      </c>
      <c r="F1690" s="9">
        <v>1.8136500000000002</v>
      </c>
      <c r="G1690" s="10">
        <v>53.838946766669984</v>
      </c>
      <c r="I1690" s="28"/>
    </row>
    <row r="1691" spans="2:9" x14ac:dyDescent="0.35">
      <c r="B1691" s="16">
        <v>45296</v>
      </c>
      <c r="C1691" s="6" t="s">
        <v>6</v>
      </c>
      <c r="D16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1" s="7">
        <v>171.75</v>
      </c>
      <c r="F1691" s="9">
        <v>2.9746000000000001</v>
      </c>
      <c r="G1691" s="10">
        <v>52.259088632949421</v>
      </c>
      <c r="I1691" s="28"/>
    </row>
    <row r="1692" spans="2:9" x14ac:dyDescent="0.35">
      <c r="B1692" s="16">
        <v>45297</v>
      </c>
      <c r="C1692" s="6" t="s">
        <v>6</v>
      </c>
      <c r="D16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2" s="7">
        <v>33.619999999999997</v>
      </c>
      <c r="F1692" s="9">
        <v>2.0062500000000001</v>
      </c>
      <c r="G1692" s="10">
        <v>52.881570576540753</v>
      </c>
      <c r="I1692" s="28"/>
    </row>
    <row r="1693" spans="2:9" x14ac:dyDescent="0.35">
      <c r="B1693" s="16">
        <v>45300</v>
      </c>
      <c r="C1693" s="6" t="s">
        <v>6</v>
      </c>
      <c r="D16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3" s="7">
        <v>33.22</v>
      </c>
      <c r="F1693" s="9">
        <v>1.49265</v>
      </c>
      <c r="G1693" s="10">
        <v>52.55190416666666</v>
      </c>
      <c r="I1693" s="28"/>
    </row>
    <row r="1694" spans="2:9" x14ac:dyDescent="0.35">
      <c r="B1694" s="16">
        <v>45301</v>
      </c>
      <c r="C1694" s="6" t="s">
        <v>6</v>
      </c>
      <c r="D16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4" s="7">
        <v>0</v>
      </c>
      <c r="F1694" s="9">
        <v>1.1599999999999999</v>
      </c>
      <c r="G1694" s="10">
        <v>54.36642053504459</v>
      </c>
      <c r="I1694" s="28"/>
    </row>
    <row r="1695" spans="2:9" x14ac:dyDescent="0.35">
      <c r="B1695" s="16">
        <v>45302</v>
      </c>
      <c r="C1695" s="6" t="s">
        <v>6</v>
      </c>
      <c r="D16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5" s="7">
        <v>99.32</v>
      </c>
      <c r="F1695" s="9">
        <v>1.38</v>
      </c>
      <c r="G1695" s="10">
        <v>52.241666666666667</v>
      </c>
      <c r="I1695" s="28"/>
    </row>
    <row r="1696" spans="2:9" x14ac:dyDescent="0.35">
      <c r="B1696" s="16">
        <v>45303</v>
      </c>
      <c r="C1696" s="6" t="s">
        <v>6</v>
      </c>
      <c r="D16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6" s="7">
        <v>30.54</v>
      </c>
      <c r="F1696" s="9">
        <v>0.12</v>
      </c>
      <c r="G1696" s="10">
        <v>54.089749999999995</v>
      </c>
      <c r="I1696" s="28"/>
    </row>
    <row r="1697" spans="2:9" x14ac:dyDescent="0.35">
      <c r="B1697" s="16">
        <v>45304</v>
      </c>
      <c r="C1697" s="6" t="s">
        <v>6</v>
      </c>
      <c r="D16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7" s="7">
        <v>170.12</v>
      </c>
      <c r="F1697" s="9">
        <v>1.99</v>
      </c>
      <c r="G1697" s="10">
        <v>53.580669999999998</v>
      </c>
      <c r="I1697" s="28"/>
    </row>
    <row r="1698" spans="2:9" x14ac:dyDescent="0.35">
      <c r="B1698" s="16">
        <v>45307</v>
      </c>
      <c r="C1698" s="6" t="s">
        <v>6</v>
      </c>
      <c r="D16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8" s="7">
        <v>169.28</v>
      </c>
      <c r="F1698" s="9">
        <v>1.55</v>
      </c>
      <c r="G1698" s="10">
        <v>53.845971563981038</v>
      </c>
      <c r="I1698" s="28"/>
    </row>
    <row r="1699" spans="2:9" x14ac:dyDescent="0.35">
      <c r="B1699" s="16">
        <v>45308</v>
      </c>
      <c r="C1699" s="6" t="s">
        <v>6</v>
      </c>
      <c r="D16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699" s="7">
        <v>135.26</v>
      </c>
      <c r="F1699" s="9">
        <v>1.96</v>
      </c>
      <c r="G1699" s="10">
        <v>53.513441542184758</v>
      </c>
      <c r="I1699" s="28"/>
    </row>
    <row r="1700" spans="2:9" x14ac:dyDescent="0.35">
      <c r="B1700" s="16">
        <v>45309</v>
      </c>
      <c r="C1700" s="6" t="s">
        <v>6</v>
      </c>
      <c r="D17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0" s="7">
        <v>169.84</v>
      </c>
      <c r="F1700" s="9">
        <v>1.7</v>
      </c>
      <c r="G1700" s="10">
        <v>53.776171809841529</v>
      </c>
      <c r="I1700" s="28"/>
    </row>
    <row r="1701" spans="2:9" x14ac:dyDescent="0.35">
      <c r="B1701" s="16">
        <v>45310</v>
      </c>
      <c r="C1701" s="6" t="s">
        <v>6</v>
      </c>
      <c r="D17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1" s="7">
        <v>274.58</v>
      </c>
      <c r="F1701" s="9">
        <v>2.21</v>
      </c>
      <c r="G1701" s="10">
        <v>53.501416719846844</v>
      </c>
      <c r="I1701" s="28"/>
    </row>
    <row r="1702" spans="2:9" x14ac:dyDescent="0.35">
      <c r="B1702" s="16">
        <v>45311</v>
      </c>
      <c r="C1702" s="6" t="s">
        <v>6</v>
      </c>
      <c r="D17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2" s="7">
        <v>68.2</v>
      </c>
      <c r="F1702" s="9">
        <v>2.36</v>
      </c>
      <c r="G1702" s="10">
        <v>53.139449688049915</v>
      </c>
      <c r="I1702" s="28"/>
    </row>
    <row r="1703" spans="2:9" x14ac:dyDescent="0.35">
      <c r="B1703" s="16">
        <v>45313</v>
      </c>
      <c r="C1703" s="6" t="s">
        <v>6</v>
      </c>
      <c r="D17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3" s="7">
        <v>35.08</v>
      </c>
      <c r="F1703" s="9">
        <v>1.9661250000000001</v>
      </c>
      <c r="G1703" s="10">
        <v>53.298664015212175</v>
      </c>
      <c r="I1703" s="28"/>
    </row>
    <row r="1704" spans="2:9" x14ac:dyDescent="0.35">
      <c r="B1704" s="16">
        <v>45314</v>
      </c>
      <c r="C1704" s="6" t="s">
        <v>6</v>
      </c>
      <c r="D17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4" s="7">
        <v>207.1</v>
      </c>
      <c r="F1704" s="9">
        <v>2.0009000000000001</v>
      </c>
      <c r="G1704" s="10">
        <v>53.428248328176458</v>
      </c>
      <c r="I1704" s="28"/>
    </row>
    <row r="1705" spans="2:9" x14ac:dyDescent="0.35">
      <c r="B1705" s="16">
        <v>45315</v>
      </c>
      <c r="C1705" s="6" t="s">
        <v>6</v>
      </c>
      <c r="D17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5" s="7">
        <v>174.8</v>
      </c>
      <c r="F1705" s="9">
        <v>3.1832500000000001</v>
      </c>
      <c r="G1705" s="10">
        <v>51.799643681622001</v>
      </c>
      <c r="I1705" s="28"/>
    </row>
    <row r="1706" spans="2:9" x14ac:dyDescent="0.35">
      <c r="B1706" s="16">
        <v>45316</v>
      </c>
      <c r="C1706" s="6" t="s">
        <v>6</v>
      </c>
      <c r="D17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6" s="7">
        <v>206.15</v>
      </c>
      <c r="F1706" s="9">
        <v>2.164075</v>
      </c>
      <c r="G1706" s="10">
        <v>53.633016021422151</v>
      </c>
      <c r="I1706" s="28"/>
    </row>
    <row r="1707" spans="2:9" x14ac:dyDescent="0.35">
      <c r="B1707" s="16">
        <v>45317</v>
      </c>
      <c r="C1707" s="6" t="s">
        <v>6</v>
      </c>
      <c r="D17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7" s="7">
        <v>209.54</v>
      </c>
      <c r="F1707" s="9">
        <v>1.9233250000000002</v>
      </c>
      <c r="G1707" s="10">
        <v>53.720414212995308</v>
      </c>
      <c r="I1707" s="28"/>
    </row>
    <row r="1708" spans="2:9" x14ac:dyDescent="0.35">
      <c r="B1708" s="16">
        <v>45318</v>
      </c>
      <c r="C1708" s="6" t="s">
        <v>6</v>
      </c>
      <c r="D17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8" s="7">
        <v>309.93</v>
      </c>
      <c r="F1708" s="9">
        <v>3.6781250000000001</v>
      </c>
      <c r="G1708" s="10">
        <v>51.997342018845231</v>
      </c>
      <c r="I1708" s="28"/>
    </row>
    <row r="1709" spans="2:9" x14ac:dyDescent="0.35">
      <c r="B1709" s="16">
        <v>45320</v>
      </c>
      <c r="C1709" s="6" t="s">
        <v>6</v>
      </c>
      <c r="D17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09" s="7">
        <v>139.02000000000001</v>
      </c>
      <c r="F1709" s="9">
        <v>2.640225</v>
      </c>
      <c r="G1709" s="10">
        <v>53.200740962652283</v>
      </c>
      <c r="I1709" s="28"/>
    </row>
    <row r="1710" spans="2:9" x14ac:dyDescent="0.35">
      <c r="B1710" s="16">
        <v>45321</v>
      </c>
      <c r="C1710" s="6" t="s">
        <v>6</v>
      </c>
      <c r="D17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0" s="7">
        <v>414.75</v>
      </c>
      <c r="F1710" s="9">
        <v>2.5760250000000005</v>
      </c>
      <c r="G1710" s="10">
        <v>53.067092972636821</v>
      </c>
      <c r="I1710" s="28"/>
    </row>
    <row r="1711" spans="2:9" x14ac:dyDescent="0.35">
      <c r="B1711" s="16">
        <v>45322</v>
      </c>
      <c r="C1711" s="6" t="s">
        <v>6</v>
      </c>
      <c r="D17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1" s="7">
        <v>339.92</v>
      </c>
      <c r="F1711" s="9">
        <v>2.8943500000000002</v>
      </c>
      <c r="G1711" s="10">
        <v>52.75400781328257</v>
      </c>
      <c r="I1711" s="28"/>
    </row>
    <row r="1712" spans="2:9" x14ac:dyDescent="0.35">
      <c r="B1712" s="16">
        <v>45323</v>
      </c>
      <c r="C1712" s="6" t="s">
        <v>6</v>
      </c>
      <c r="D17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2" s="7">
        <v>170.47</v>
      </c>
      <c r="F1712" s="9">
        <v>2.0062500000000001</v>
      </c>
      <c r="G1712" s="10">
        <v>53.469887394120576</v>
      </c>
      <c r="I1712" s="28"/>
    </row>
    <row r="1713" spans="2:9" x14ac:dyDescent="0.35">
      <c r="B1713" s="16">
        <v>45324</v>
      </c>
      <c r="C1713" s="6" t="s">
        <v>6</v>
      </c>
      <c r="D17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3" s="7">
        <v>0</v>
      </c>
      <c r="F1713" s="9">
        <v>2.4021500000000002</v>
      </c>
      <c r="G1713" s="10">
        <v>53.082206441288257</v>
      </c>
      <c r="I1713" s="28"/>
    </row>
    <row r="1714" spans="2:9" x14ac:dyDescent="0.35">
      <c r="B1714" s="16">
        <v>45325</v>
      </c>
      <c r="C1714" s="6" t="s">
        <v>6</v>
      </c>
      <c r="D17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4" s="7">
        <v>239.6</v>
      </c>
      <c r="F1714" s="9">
        <v>2.0811500000000001</v>
      </c>
      <c r="G1714" s="10">
        <v>53.618850999999999</v>
      </c>
      <c r="I1714" s="28"/>
    </row>
    <row r="1715" spans="2:9" x14ac:dyDescent="0.35">
      <c r="B1715" s="16">
        <v>45327</v>
      </c>
      <c r="C1715" s="6" t="s">
        <v>6</v>
      </c>
      <c r="D17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5" s="7">
        <v>104.32</v>
      </c>
      <c r="F1715" s="9">
        <v>2.367375</v>
      </c>
      <c r="G1715" s="10">
        <v>52.015248999999997</v>
      </c>
      <c r="I1715" s="28"/>
    </row>
    <row r="1716" spans="2:9" x14ac:dyDescent="0.35">
      <c r="B1716" s="16">
        <v>45328</v>
      </c>
      <c r="C1716" s="6" t="s">
        <v>6</v>
      </c>
      <c r="D17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6" s="7">
        <v>69.959999999999994</v>
      </c>
      <c r="F1716" s="9">
        <v>2.1346500000000002</v>
      </c>
      <c r="G1716" s="10">
        <v>53.248334830787655</v>
      </c>
      <c r="I1716" s="28"/>
    </row>
    <row r="1717" spans="2:9" x14ac:dyDescent="0.35">
      <c r="B1717" s="16">
        <v>45329</v>
      </c>
      <c r="C1717" s="6" t="s">
        <v>6</v>
      </c>
      <c r="D17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7" s="7">
        <v>0</v>
      </c>
      <c r="F1717" s="9">
        <v>1.9955500000000002</v>
      </c>
      <c r="G1717" s="10">
        <v>53.381698666700075</v>
      </c>
      <c r="I1717" s="28"/>
    </row>
    <row r="1718" spans="2:9" x14ac:dyDescent="0.35">
      <c r="B1718" s="16">
        <v>45330</v>
      </c>
      <c r="C1718" s="6" t="s">
        <v>6</v>
      </c>
      <c r="D17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8" s="7">
        <v>828.7</v>
      </c>
      <c r="F1718" s="9">
        <v>1.8457500000000002</v>
      </c>
      <c r="G1718" s="10">
        <v>52.827615523104619</v>
      </c>
      <c r="I1718" s="28"/>
    </row>
    <row r="1719" spans="2:9" x14ac:dyDescent="0.35">
      <c r="B1719" s="16">
        <v>45331</v>
      </c>
      <c r="C1719" s="6" t="s">
        <v>6</v>
      </c>
      <c r="D17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19" s="7">
        <v>261.49</v>
      </c>
      <c r="F1719" s="9">
        <v>2.2095500000000001</v>
      </c>
      <c r="G1719" s="10">
        <v>52.484303066507366</v>
      </c>
      <c r="I1719" s="28"/>
    </row>
    <row r="1720" spans="2:9" x14ac:dyDescent="0.35">
      <c r="B1720" s="16">
        <v>45332</v>
      </c>
      <c r="C1720" s="6" t="s">
        <v>6</v>
      </c>
      <c r="D17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0" s="7">
        <v>448.3</v>
      </c>
      <c r="F1720" s="9">
        <v>1.6959500000000001</v>
      </c>
      <c r="G1720" s="10">
        <v>54.045460964292914</v>
      </c>
      <c r="I1720" s="28"/>
    </row>
    <row r="1721" spans="2:9" x14ac:dyDescent="0.35">
      <c r="B1721" s="16">
        <v>45334</v>
      </c>
      <c r="C1721" s="6" t="s">
        <v>6</v>
      </c>
      <c r="D17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1" s="7">
        <v>171.83</v>
      </c>
      <c r="F1721" s="9">
        <v>1.4739249999999999</v>
      </c>
      <c r="G1721" s="10">
        <v>54.172570060835739</v>
      </c>
      <c r="I1721" s="28"/>
    </row>
    <row r="1722" spans="2:9" x14ac:dyDescent="0.35">
      <c r="B1722" s="16">
        <v>45335</v>
      </c>
      <c r="C1722" s="6" t="s">
        <v>6</v>
      </c>
      <c r="D17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2" s="7">
        <v>206.38</v>
      </c>
      <c r="F1722" s="9">
        <v>1.5434749999999999</v>
      </c>
      <c r="G1722" s="10">
        <v>53.741060682298482</v>
      </c>
      <c r="I1722" s="28"/>
    </row>
    <row r="1723" spans="2:9" x14ac:dyDescent="0.35">
      <c r="B1723" s="16">
        <v>45336</v>
      </c>
      <c r="C1723" s="6" t="s">
        <v>6</v>
      </c>
      <c r="D17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3" s="7">
        <v>91.300000000000011</v>
      </c>
      <c r="F1723" s="9">
        <v>1.8270250000000001</v>
      </c>
      <c r="G1723" s="10">
        <v>52.771764828917227</v>
      </c>
      <c r="I1723" s="28"/>
    </row>
    <row r="1724" spans="2:9" x14ac:dyDescent="0.35">
      <c r="B1724" s="16">
        <v>45337</v>
      </c>
      <c r="C1724" s="6" t="s">
        <v>6</v>
      </c>
      <c r="D17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4" s="7">
        <v>406.03</v>
      </c>
      <c r="F1724" s="9">
        <v>2.083825</v>
      </c>
      <c r="G1724" s="10">
        <v>53.052806110135478</v>
      </c>
      <c r="I1724" s="28"/>
    </row>
    <row r="1725" spans="2:9" x14ac:dyDescent="0.35">
      <c r="B1725" s="16">
        <v>45338</v>
      </c>
      <c r="C1725" s="6" t="s">
        <v>6</v>
      </c>
      <c r="D17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5" s="7">
        <v>561.08000000000004</v>
      </c>
      <c r="F1725" s="9">
        <v>2.7124500000000005</v>
      </c>
      <c r="G1725" s="10">
        <v>52.608824722611658</v>
      </c>
      <c r="I1725" s="28"/>
    </row>
    <row r="1726" spans="2:9" x14ac:dyDescent="0.35">
      <c r="B1726" s="16">
        <v>45339</v>
      </c>
      <c r="C1726" s="6" t="s">
        <v>6</v>
      </c>
      <c r="D17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6" s="7">
        <v>0</v>
      </c>
      <c r="F1726" s="9">
        <v>2.78735</v>
      </c>
      <c r="G1726" s="10">
        <v>53.08853558576569</v>
      </c>
      <c r="I1726" s="28"/>
    </row>
    <row r="1727" spans="2:9" x14ac:dyDescent="0.35">
      <c r="B1727" s="16">
        <v>45341</v>
      </c>
      <c r="C1727" s="6" t="s">
        <v>6</v>
      </c>
      <c r="D17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7" s="7">
        <v>172.12</v>
      </c>
      <c r="F1727" s="9">
        <v>2.158725</v>
      </c>
      <c r="G1727" s="10">
        <v>53.355434176706822</v>
      </c>
      <c r="I1727" s="28"/>
    </row>
    <row r="1728" spans="2:9" x14ac:dyDescent="0.35">
      <c r="B1728" s="16">
        <v>45342</v>
      </c>
      <c r="C1728" s="6" t="s">
        <v>6</v>
      </c>
      <c r="D17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8" s="7">
        <v>298.82</v>
      </c>
      <c r="F1728" s="9">
        <v>3.0254250000000003</v>
      </c>
      <c r="G1728" s="10">
        <v>53.009628522956099</v>
      </c>
      <c r="I1728" s="28"/>
    </row>
    <row r="1729" spans="2:9" x14ac:dyDescent="0.35">
      <c r="B1729" s="16">
        <v>45343</v>
      </c>
      <c r="C1729" s="6" t="s">
        <v>6</v>
      </c>
      <c r="D17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29" s="7">
        <v>138.78</v>
      </c>
      <c r="F1729" s="9">
        <v>2.7498999999999998</v>
      </c>
      <c r="G1729" s="10">
        <v>51.494404108905947</v>
      </c>
      <c r="I1729" s="28"/>
    </row>
    <row r="1730" spans="2:9" x14ac:dyDescent="0.35">
      <c r="B1730" s="16">
        <v>45344</v>
      </c>
      <c r="C1730" s="6" t="s">
        <v>6</v>
      </c>
      <c r="D17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0" s="7">
        <v>174</v>
      </c>
      <c r="F1730" s="9">
        <v>1.8564500000000002</v>
      </c>
      <c r="G1730" s="10">
        <v>54.071621166733145</v>
      </c>
      <c r="I1730" s="28"/>
    </row>
    <row r="1731" spans="2:9" x14ac:dyDescent="0.35">
      <c r="B1731" s="16">
        <v>45345</v>
      </c>
      <c r="C1731" s="6" t="s">
        <v>6</v>
      </c>
      <c r="D17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1" s="7">
        <v>241.28</v>
      </c>
      <c r="F1731" s="9">
        <v>2.3379500000000002</v>
      </c>
      <c r="G1731" s="10">
        <v>53.371702106318963</v>
      </c>
      <c r="I1731" s="28"/>
    </row>
    <row r="1732" spans="2:9" x14ac:dyDescent="0.35">
      <c r="B1732" s="16">
        <v>45346</v>
      </c>
      <c r="C1732" s="6" t="s">
        <v>6</v>
      </c>
      <c r="D17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2" s="7">
        <v>105.86</v>
      </c>
      <c r="F1732" s="9">
        <v>2.0249750000000004</v>
      </c>
      <c r="G1732" s="10">
        <v>52.517658595157094</v>
      </c>
      <c r="I1732" s="28"/>
    </row>
    <row r="1733" spans="2:9" x14ac:dyDescent="0.35">
      <c r="B1733" s="16">
        <v>45348</v>
      </c>
      <c r="C1733" s="6" t="s">
        <v>6</v>
      </c>
      <c r="D17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3" s="7">
        <v>347.74</v>
      </c>
      <c r="F1733" s="9">
        <v>1.8591250000000001</v>
      </c>
      <c r="G1733" s="10">
        <v>53.859188405797092</v>
      </c>
      <c r="I1733" s="28"/>
    </row>
    <row r="1734" spans="2:9" x14ac:dyDescent="0.35">
      <c r="B1734" s="16">
        <v>45349</v>
      </c>
      <c r="C1734" s="6" t="s">
        <v>6</v>
      </c>
      <c r="D17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4" s="7">
        <v>206.57999999999998</v>
      </c>
      <c r="F1734" s="9">
        <v>3.0147249999999999</v>
      </c>
      <c r="G1734" s="10">
        <v>53.21433774834437</v>
      </c>
      <c r="I1734" s="28"/>
    </row>
    <row r="1735" spans="2:9" x14ac:dyDescent="0.35">
      <c r="B1735" s="16">
        <v>45350</v>
      </c>
      <c r="C1735" s="6" t="s">
        <v>6</v>
      </c>
      <c r="D17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5" s="7">
        <v>348.08</v>
      </c>
      <c r="F1735" s="9">
        <v>2.431575</v>
      </c>
      <c r="G1735" s="10">
        <v>52.929690680502894</v>
      </c>
      <c r="I1735" s="28"/>
    </row>
    <row r="1736" spans="2:9" x14ac:dyDescent="0.35">
      <c r="B1736" s="16">
        <v>45351</v>
      </c>
      <c r="C1736" s="6" t="s">
        <v>6</v>
      </c>
      <c r="D17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6" s="7">
        <v>277.92</v>
      </c>
      <c r="F1736" s="9">
        <v>1.885875</v>
      </c>
      <c r="G1736" s="10">
        <v>53.495462193289931</v>
      </c>
      <c r="I1736" s="28"/>
    </row>
    <row r="1737" spans="2:9" x14ac:dyDescent="0.35">
      <c r="B1737" s="16">
        <v>45352</v>
      </c>
      <c r="C1737" s="6" t="s">
        <v>6</v>
      </c>
      <c r="D17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7" s="7">
        <v>210.4</v>
      </c>
      <c r="F1737" s="9">
        <v>1.6290750000000001</v>
      </c>
      <c r="G1737" s="10">
        <v>53.225472736368182</v>
      </c>
      <c r="I1737" s="28"/>
    </row>
    <row r="1738" spans="2:9" x14ac:dyDescent="0.35">
      <c r="B1738" s="16">
        <v>45355</v>
      </c>
      <c r="C1738" s="6" t="s">
        <v>6</v>
      </c>
      <c r="D17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8" s="7">
        <v>138.62</v>
      </c>
      <c r="F1738" s="9">
        <v>3.4748250000000001</v>
      </c>
      <c r="G1738" s="10">
        <v>52.794608487746558</v>
      </c>
      <c r="I1738" s="28"/>
    </row>
    <row r="1739" spans="2:9" x14ac:dyDescent="0.35">
      <c r="B1739" s="16">
        <v>45356</v>
      </c>
      <c r="C1739" s="6" t="s">
        <v>6</v>
      </c>
      <c r="D17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39" s="7">
        <v>173.66</v>
      </c>
      <c r="F1739" s="9">
        <v>3.2420999999999998</v>
      </c>
      <c r="G1739" s="10">
        <v>51.759698038353974</v>
      </c>
      <c r="I1739" s="28"/>
    </row>
    <row r="1740" spans="2:9" x14ac:dyDescent="0.35">
      <c r="B1740" s="16">
        <v>45357</v>
      </c>
      <c r="C1740" s="6" t="s">
        <v>6</v>
      </c>
      <c r="D17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0" s="7">
        <v>208.76</v>
      </c>
      <c r="F1740" s="9">
        <v>2.3486500000000001</v>
      </c>
      <c r="G1740" s="10">
        <v>52.408290803562494</v>
      </c>
      <c r="I1740" s="28"/>
    </row>
    <row r="1741" spans="2:9" x14ac:dyDescent="0.35">
      <c r="B1741" s="16">
        <v>45358</v>
      </c>
      <c r="C1741" s="6" t="s">
        <v>6</v>
      </c>
      <c r="D17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1" s="7">
        <v>275.86</v>
      </c>
      <c r="F1741" s="9">
        <v>2.8007250000000004</v>
      </c>
      <c r="G1741" s="10">
        <v>53.056813715660724</v>
      </c>
      <c r="I1741" s="28"/>
    </row>
    <row r="1742" spans="2:9" x14ac:dyDescent="0.35">
      <c r="B1742" s="16">
        <v>45359</v>
      </c>
      <c r="C1742" s="6" t="s">
        <v>6</v>
      </c>
      <c r="D17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2" s="7">
        <v>208.22</v>
      </c>
      <c r="F1742" s="9">
        <v>2.6108000000000002</v>
      </c>
      <c r="G1742" s="10">
        <v>52.999410821643281</v>
      </c>
      <c r="I1742" s="28"/>
    </row>
    <row r="1743" spans="2:9" x14ac:dyDescent="0.35">
      <c r="B1743" s="16">
        <v>45360</v>
      </c>
      <c r="C1743" s="6" t="s">
        <v>6</v>
      </c>
      <c r="D17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3" s="7">
        <v>275.98</v>
      </c>
      <c r="F1743" s="9">
        <v>1.90995</v>
      </c>
      <c r="G1743" s="10">
        <v>54.001828193832594</v>
      </c>
      <c r="I1743" s="28"/>
    </row>
    <row r="1744" spans="2:9" x14ac:dyDescent="0.35">
      <c r="B1744" s="16">
        <v>45362</v>
      </c>
      <c r="C1744" s="6" t="s">
        <v>6</v>
      </c>
      <c r="D17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4" s="7">
        <v>244.39999999999998</v>
      </c>
      <c r="F1744" s="9">
        <v>2.0570750000000002</v>
      </c>
      <c r="G1744" s="10">
        <v>53.73892927006203</v>
      </c>
      <c r="I1744" s="28"/>
    </row>
    <row r="1745" spans="2:9" x14ac:dyDescent="0.35">
      <c r="B1745" s="16">
        <v>45363</v>
      </c>
      <c r="C1745" s="6" t="s">
        <v>6</v>
      </c>
      <c r="D17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5" s="7">
        <v>209.09</v>
      </c>
      <c r="F1745" s="9">
        <v>3.6059000000000001</v>
      </c>
      <c r="G1745" s="10">
        <v>52.385614446907113</v>
      </c>
      <c r="I1745" s="28"/>
    </row>
    <row r="1746" spans="2:9" x14ac:dyDescent="0.35">
      <c r="B1746" s="16">
        <v>45364</v>
      </c>
      <c r="C1746" s="6" t="s">
        <v>6</v>
      </c>
      <c r="D17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6" s="7">
        <v>242.22</v>
      </c>
      <c r="F1746" s="9">
        <v>2.7953749999999999</v>
      </c>
      <c r="G1746" s="10">
        <v>52.980464081658162</v>
      </c>
      <c r="I1746" s="28"/>
    </row>
    <row r="1747" spans="2:9" x14ac:dyDescent="0.35">
      <c r="B1747" s="16">
        <v>45365</v>
      </c>
      <c r="C1747" s="6" t="s">
        <v>6</v>
      </c>
      <c r="D17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7" s="7">
        <v>379.58</v>
      </c>
      <c r="F1747" s="9">
        <v>2.1533750000000005</v>
      </c>
      <c r="G1747" s="10">
        <v>53.393055916775033</v>
      </c>
      <c r="I1747" s="28"/>
    </row>
    <row r="1748" spans="2:9" x14ac:dyDescent="0.35">
      <c r="B1748" s="16">
        <v>45366</v>
      </c>
      <c r="C1748" s="6" t="s">
        <v>6</v>
      </c>
      <c r="D17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8" s="7">
        <v>313.24</v>
      </c>
      <c r="F1748" s="9">
        <v>2.1720999999999999</v>
      </c>
      <c r="G1748" s="10">
        <v>53.549781190832093</v>
      </c>
      <c r="I1748" s="28"/>
    </row>
    <row r="1749" spans="2:9" x14ac:dyDescent="0.35">
      <c r="B1749" s="16">
        <v>45367</v>
      </c>
      <c r="C1749" s="6" t="s">
        <v>6</v>
      </c>
      <c r="D17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49" s="7">
        <v>238.62</v>
      </c>
      <c r="F1749" s="9">
        <v>3.1618500000000003</v>
      </c>
      <c r="G1749" s="10">
        <v>52.160255020080321</v>
      </c>
      <c r="I1749" s="28"/>
    </row>
    <row r="1750" spans="2:9" x14ac:dyDescent="0.35">
      <c r="B1750" s="16">
        <v>45369</v>
      </c>
      <c r="C1750" s="6" t="s">
        <v>6</v>
      </c>
      <c r="D17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0" s="7">
        <v>207.03</v>
      </c>
      <c r="F1750" s="9">
        <v>1.7628250000000001</v>
      </c>
      <c r="G1750" s="10">
        <v>53.804222318746248</v>
      </c>
      <c r="I1750" s="28"/>
    </row>
    <row r="1751" spans="2:9" x14ac:dyDescent="0.35">
      <c r="B1751" s="16">
        <v>45370</v>
      </c>
      <c r="C1751" s="6" t="s">
        <v>6</v>
      </c>
      <c r="D17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1" s="7">
        <v>174.49</v>
      </c>
      <c r="F1751" s="9">
        <v>2.2202500000000005</v>
      </c>
      <c r="G1751" s="10">
        <v>53.540174999999998</v>
      </c>
      <c r="I1751" s="28"/>
    </row>
    <row r="1752" spans="2:9" x14ac:dyDescent="0.35">
      <c r="B1752" s="16">
        <v>45371</v>
      </c>
      <c r="C1752" s="6" t="s">
        <v>6</v>
      </c>
      <c r="D17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2" s="7">
        <v>240.01000000000002</v>
      </c>
      <c r="F1752" s="9">
        <v>1.6531500000000001</v>
      </c>
      <c r="G1752" s="10">
        <v>53.572759669981018</v>
      </c>
      <c r="I1752" s="28"/>
    </row>
    <row r="1753" spans="2:9" x14ac:dyDescent="0.35">
      <c r="B1753" s="16">
        <v>45372</v>
      </c>
      <c r="C1753" s="6" t="s">
        <v>6</v>
      </c>
      <c r="D17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3" s="7">
        <v>344.21</v>
      </c>
      <c r="F1753" s="9">
        <v>3.1752250000000002</v>
      </c>
      <c r="G1753" s="10">
        <v>52.781337128020773</v>
      </c>
      <c r="I1753" s="28"/>
    </row>
    <row r="1754" spans="2:9" x14ac:dyDescent="0.35">
      <c r="B1754" s="16">
        <v>45373</v>
      </c>
      <c r="C1754" s="6" t="s">
        <v>6</v>
      </c>
      <c r="D17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4" s="7">
        <v>210.42</v>
      </c>
      <c r="F1754" s="9">
        <v>2.8034000000000003</v>
      </c>
      <c r="G1754" s="10">
        <v>52.44349039615846</v>
      </c>
      <c r="I1754" s="28"/>
    </row>
    <row r="1755" spans="2:9" x14ac:dyDescent="0.35">
      <c r="B1755" s="16">
        <v>45374</v>
      </c>
      <c r="C1755" s="6" t="s">
        <v>6</v>
      </c>
      <c r="D17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5" s="7">
        <v>347.44</v>
      </c>
      <c r="F1755" s="9">
        <v>2.2202500000000005</v>
      </c>
      <c r="G1755" s="10">
        <v>52.731410730342695</v>
      </c>
      <c r="I1755" s="28"/>
    </row>
    <row r="1756" spans="2:9" x14ac:dyDescent="0.35">
      <c r="B1756" s="16">
        <v>45377</v>
      </c>
      <c r="C1756" s="6" t="s">
        <v>6</v>
      </c>
      <c r="D17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6" s="7">
        <v>487.33</v>
      </c>
      <c r="F1756" s="9">
        <v>2.0651000000000002</v>
      </c>
      <c r="G1756" s="10">
        <v>53.692986479968106</v>
      </c>
      <c r="I1756" s="28"/>
    </row>
    <row r="1757" spans="2:9" x14ac:dyDescent="0.35">
      <c r="B1757" s="16">
        <v>45378</v>
      </c>
      <c r="C1757" s="6" t="s">
        <v>6</v>
      </c>
      <c r="D17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7" s="7">
        <v>278.24</v>
      </c>
      <c r="F1757" s="9">
        <v>1.9688000000000001</v>
      </c>
      <c r="G1757" s="10">
        <v>53.511147785203221</v>
      </c>
      <c r="I1757" s="28"/>
    </row>
    <row r="1758" spans="2:9" x14ac:dyDescent="0.35">
      <c r="B1758" s="16">
        <v>45381</v>
      </c>
      <c r="C1758" s="6" t="s">
        <v>6</v>
      </c>
      <c r="D17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8" s="7">
        <v>139.05000000000001</v>
      </c>
      <c r="F1758" s="9">
        <v>2.7686250000000001</v>
      </c>
      <c r="G1758" s="10">
        <v>52.842133902371621</v>
      </c>
      <c r="I1758" s="28"/>
    </row>
    <row r="1759" spans="2:9" x14ac:dyDescent="0.35">
      <c r="B1759" s="16">
        <v>45383</v>
      </c>
      <c r="C1759" s="6" t="s">
        <v>6</v>
      </c>
      <c r="D17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59" s="7">
        <v>70.86</v>
      </c>
      <c r="F1759" s="9">
        <v>2.6054500000000003</v>
      </c>
      <c r="G1759" s="10">
        <v>53.260486007369778</v>
      </c>
      <c r="I1759" s="28"/>
    </row>
    <row r="1760" spans="2:9" x14ac:dyDescent="0.35">
      <c r="B1760" s="16">
        <v>45384</v>
      </c>
      <c r="C1760" s="6" t="s">
        <v>6</v>
      </c>
      <c r="D17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0" s="7">
        <v>449.42</v>
      </c>
      <c r="F1760" s="9">
        <v>2.7418750000000003</v>
      </c>
      <c r="G1760" s="10">
        <v>52.090317286652073</v>
      </c>
      <c r="I1760" s="28"/>
    </row>
    <row r="1761" spans="2:9" x14ac:dyDescent="0.35">
      <c r="B1761" s="16">
        <v>45385</v>
      </c>
      <c r="C1761" s="6" t="s">
        <v>6</v>
      </c>
      <c r="D17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1" s="7">
        <v>275.39999999999998</v>
      </c>
      <c r="F1761" s="9">
        <v>1.8029500000000001</v>
      </c>
      <c r="G1761" s="10">
        <v>53.743582224001599</v>
      </c>
      <c r="I1761" s="28"/>
    </row>
    <row r="1762" spans="2:9" x14ac:dyDescent="0.35">
      <c r="B1762" s="16">
        <v>45386</v>
      </c>
      <c r="C1762" s="6" t="s">
        <v>6</v>
      </c>
      <c r="D17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2" s="7">
        <v>242.6</v>
      </c>
      <c r="F1762" s="9">
        <v>2.2256</v>
      </c>
      <c r="G1762" s="10">
        <v>53.240286085825737</v>
      </c>
      <c r="I1762" s="28"/>
    </row>
    <row r="1763" spans="2:9" x14ac:dyDescent="0.35">
      <c r="B1763" s="16">
        <v>45387</v>
      </c>
      <c r="C1763" s="6" t="s">
        <v>6</v>
      </c>
      <c r="D17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3" s="7">
        <v>205.26</v>
      </c>
      <c r="F1763" s="9">
        <v>2.4075000000000002</v>
      </c>
      <c r="G1763" s="10">
        <v>53.108084825227202</v>
      </c>
      <c r="I1763" s="28"/>
    </row>
    <row r="1764" spans="2:9" x14ac:dyDescent="0.35">
      <c r="B1764" s="16">
        <v>45388</v>
      </c>
      <c r="C1764" s="6" t="s">
        <v>6</v>
      </c>
      <c r="D17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4" s="7">
        <v>174.59</v>
      </c>
      <c r="F1764" s="9">
        <v>2.4636750000000003</v>
      </c>
      <c r="G1764" s="10">
        <v>53.208485501998005</v>
      </c>
      <c r="I1764" s="28"/>
    </row>
    <row r="1765" spans="2:9" x14ac:dyDescent="0.35">
      <c r="B1765" s="16">
        <v>45390</v>
      </c>
      <c r="C1765" s="6" t="s">
        <v>6</v>
      </c>
      <c r="D17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5" s="7">
        <v>102.57</v>
      </c>
      <c r="F1765" s="9">
        <v>2.42</v>
      </c>
      <c r="G1765" s="10">
        <v>53.483195652173912</v>
      </c>
      <c r="I1765" s="28"/>
    </row>
    <row r="1766" spans="2:9" x14ac:dyDescent="0.35">
      <c r="B1766" s="16">
        <v>45391</v>
      </c>
      <c r="C1766" s="6" t="s">
        <v>6</v>
      </c>
      <c r="D17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6" s="7">
        <v>206.85</v>
      </c>
      <c r="F1766" s="9">
        <v>2.75</v>
      </c>
      <c r="G1766" s="10">
        <v>53.008320477730777</v>
      </c>
      <c r="I1766" s="28"/>
    </row>
    <row r="1767" spans="2:9" x14ac:dyDescent="0.35">
      <c r="B1767" s="16">
        <v>45294</v>
      </c>
      <c r="C1767" s="6" t="s">
        <v>2</v>
      </c>
      <c r="D17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7" s="7">
        <v>98.78</v>
      </c>
      <c r="F1767" s="9">
        <v>0.47882500000000006</v>
      </c>
      <c r="G1767" s="11">
        <v>50.760787738598964</v>
      </c>
      <c r="I1767" s="28"/>
    </row>
    <row r="1768" spans="2:9" x14ac:dyDescent="0.35">
      <c r="B1768" s="16">
        <v>45295</v>
      </c>
      <c r="C1768" s="6" t="s">
        <v>2</v>
      </c>
      <c r="D17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8" s="7">
        <v>63.08</v>
      </c>
      <c r="F1768" s="9">
        <v>0.32635000000000003</v>
      </c>
      <c r="G1768" s="11">
        <v>54.449581288189925</v>
      </c>
      <c r="I1768" s="28"/>
    </row>
    <row r="1769" spans="2:9" x14ac:dyDescent="0.35">
      <c r="B1769" s="16">
        <v>45296</v>
      </c>
      <c r="C1769" s="6" t="s">
        <v>2</v>
      </c>
      <c r="D17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69" s="7">
        <v>103.14</v>
      </c>
      <c r="F1769" s="9">
        <v>5.5319000000000003</v>
      </c>
      <c r="G1769" s="11">
        <v>49.115071335927368</v>
      </c>
      <c r="I1769" s="28"/>
    </row>
    <row r="1770" spans="2:9" x14ac:dyDescent="0.35">
      <c r="B1770" s="16">
        <v>45300</v>
      </c>
      <c r="C1770" s="6" t="s">
        <v>2</v>
      </c>
      <c r="D17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0" s="7">
        <v>132.62</v>
      </c>
      <c r="F1770" s="9">
        <v>2.2710750000000002</v>
      </c>
      <c r="G1770" s="11">
        <v>51.412795600366636</v>
      </c>
      <c r="I1770" s="28"/>
    </row>
    <row r="1771" spans="2:9" x14ac:dyDescent="0.35">
      <c r="B1771" s="16">
        <v>45301</v>
      </c>
      <c r="C1771" s="6" t="s">
        <v>2</v>
      </c>
      <c r="D17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1" s="7">
        <v>101.62</v>
      </c>
      <c r="F1771" s="9">
        <v>4.45</v>
      </c>
      <c r="G1771" s="11">
        <v>49.942781798519256</v>
      </c>
      <c r="I1771" s="28"/>
    </row>
    <row r="1772" spans="2:9" x14ac:dyDescent="0.35">
      <c r="B1772" s="16">
        <v>45302</v>
      </c>
      <c r="C1772" s="6" t="s">
        <v>2</v>
      </c>
      <c r="D17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2" s="7">
        <v>105.4</v>
      </c>
      <c r="F1772" s="9">
        <v>1.98</v>
      </c>
      <c r="G1772" s="11">
        <v>53.561666666666667</v>
      </c>
      <c r="I1772" s="28"/>
    </row>
    <row r="1773" spans="2:9" x14ac:dyDescent="0.35">
      <c r="B1773" s="16">
        <v>45303</v>
      </c>
      <c r="C1773" s="6" t="s">
        <v>2</v>
      </c>
      <c r="D17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3" s="7">
        <v>66.760000000000005</v>
      </c>
      <c r="F1773" s="9">
        <v>1.44</v>
      </c>
      <c r="G1773" s="11">
        <v>53.962479999999992</v>
      </c>
      <c r="I1773" s="28"/>
    </row>
    <row r="1774" spans="2:9" x14ac:dyDescent="0.35">
      <c r="B1774" s="16">
        <v>45304</v>
      </c>
      <c r="C1774" s="6" t="s">
        <v>2</v>
      </c>
      <c r="D17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4" s="7">
        <v>60.04</v>
      </c>
      <c r="F1774" s="9">
        <v>0</v>
      </c>
      <c r="G1774" s="11">
        <v>54.853369999999998</v>
      </c>
      <c r="I1774" s="28"/>
    </row>
    <row r="1775" spans="2:9" x14ac:dyDescent="0.35">
      <c r="B1775" s="16">
        <v>45306</v>
      </c>
      <c r="C1775" s="6" t="s">
        <v>2</v>
      </c>
      <c r="D17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5" s="7">
        <v>110.64</v>
      </c>
      <c r="F1775" s="9">
        <v>0.5</v>
      </c>
      <c r="G1775" s="11">
        <v>52.661969505517654</v>
      </c>
      <c r="I1775" s="28"/>
    </row>
    <row r="1776" spans="2:9" x14ac:dyDescent="0.35">
      <c r="B1776" s="16">
        <v>45307</v>
      </c>
      <c r="C1776" s="6" t="s">
        <v>2</v>
      </c>
      <c r="D17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6" s="7">
        <v>109.06</v>
      </c>
      <c r="F1776" s="9">
        <v>0.4</v>
      </c>
      <c r="G1776" s="11">
        <v>54.550346695557955</v>
      </c>
      <c r="I1776" s="28"/>
    </row>
    <row r="1777" spans="2:9" x14ac:dyDescent="0.35">
      <c r="B1777" s="16">
        <v>45308</v>
      </c>
      <c r="C1777" s="6" t="s">
        <v>2</v>
      </c>
      <c r="D17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7" s="7">
        <v>253.24</v>
      </c>
      <c r="F1777" s="9">
        <v>4.82</v>
      </c>
      <c r="G1777" s="11">
        <v>49.520544877151934</v>
      </c>
      <c r="I1777" s="28"/>
    </row>
    <row r="1778" spans="2:9" x14ac:dyDescent="0.35">
      <c r="B1778" s="16">
        <v>45309</v>
      </c>
      <c r="C1778" s="6" t="s">
        <v>2</v>
      </c>
      <c r="D17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8" s="7">
        <v>289.45999999999998</v>
      </c>
      <c r="F1778" s="9">
        <v>0.09</v>
      </c>
      <c r="G1778" s="11">
        <v>54.577579490594303</v>
      </c>
      <c r="I1778" s="28"/>
    </row>
    <row r="1779" spans="2:9" x14ac:dyDescent="0.35">
      <c r="B1779" s="16">
        <v>45310</v>
      </c>
      <c r="C1779" s="6" t="s">
        <v>2</v>
      </c>
      <c r="D17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79" s="7">
        <v>230.04</v>
      </c>
      <c r="F1779" s="9">
        <v>0.18</v>
      </c>
      <c r="G1779" s="11">
        <v>53.96585930543187</v>
      </c>
      <c r="I1779" s="28"/>
    </row>
    <row r="1780" spans="2:9" x14ac:dyDescent="0.35">
      <c r="B1780" s="16">
        <v>45311</v>
      </c>
      <c r="C1780" s="6" t="s">
        <v>2</v>
      </c>
      <c r="D17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0" s="7">
        <v>103.44</v>
      </c>
      <c r="F1780" s="9">
        <v>0.63</v>
      </c>
      <c r="G1780" s="11">
        <v>52.810362008563636</v>
      </c>
      <c r="I1780" s="28"/>
    </row>
    <row r="1781" spans="2:9" x14ac:dyDescent="0.35">
      <c r="B1781" s="16">
        <v>45313</v>
      </c>
      <c r="C1781" s="6" t="s">
        <v>2</v>
      </c>
      <c r="D17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1" s="7">
        <v>251.06</v>
      </c>
      <c r="F1781" s="9">
        <v>0.44940000000000002</v>
      </c>
      <c r="G1781" s="11">
        <v>53.568625961826719</v>
      </c>
      <c r="I1781" s="28"/>
    </row>
    <row r="1782" spans="2:9" x14ac:dyDescent="0.35">
      <c r="B1782" s="16">
        <v>45314</v>
      </c>
      <c r="C1782" s="6" t="s">
        <v>2</v>
      </c>
      <c r="D17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2" s="7">
        <v>345.2</v>
      </c>
      <c r="F1782" s="9">
        <v>0.49755000000000005</v>
      </c>
      <c r="G1782" s="11">
        <v>53.427946000000006</v>
      </c>
      <c r="I1782" s="28"/>
    </row>
    <row r="1783" spans="2:9" x14ac:dyDescent="0.35">
      <c r="B1783" s="16">
        <v>45315</v>
      </c>
      <c r="C1783" s="6" t="s">
        <v>2</v>
      </c>
      <c r="D17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3" s="7">
        <v>251.9</v>
      </c>
      <c r="F1783" s="9">
        <v>0.25145000000000001</v>
      </c>
      <c r="G1783" s="11">
        <v>54.90930134511143</v>
      </c>
      <c r="I1783" s="28"/>
    </row>
    <row r="1784" spans="2:9" x14ac:dyDescent="0.35">
      <c r="B1784" s="16">
        <v>45316</v>
      </c>
      <c r="C1784" s="6" t="s">
        <v>2</v>
      </c>
      <c r="D17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4" s="7">
        <v>218.92</v>
      </c>
      <c r="F1784" s="9">
        <v>6.0963250000000002</v>
      </c>
      <c r="G1784" s="11">
        <v>49.031438491952414</v>
      </c>
      <c r="I1784" s="28"/>
    </row>
    <row r="1785" spans="2:9" x14ac:dyDescent="0.35">
      <c r="B1785" s="16">
        <v>45317</v>
      </c>
      <c r="C1785" s="6" t="s">
        <v>2</v>
      </c>
      <c r="D17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5" s="7">
        <v>173.04</v>
      </c>
      <c r="F1785" s="9">
        <v>3.1351000000000004</v>
      </c>
      <c r="G1785" s="11">
        <v>49.935197283306579</v>
      </c>
      <c r="I1785" s="28"/>
    </row>
    <row r="1786" spans="2:9" x14ac:dyDescent="0.35">
      <c r="B1786" s="16">
        <v>45318</v>
      </c>
      <c r="C1786" s="6" t="s">
        <v>2</v>
      </c>
      <c r="D17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6" s="7">
        <v>78.8</v>
      </c>
      <c r="F1786" s="9">
        <v>4.3014000000000001</v>
      </c>
      <c r="G1786" s="11">
        <v>50.214631655337868</v>
      </c>
      <c r="I1786" s="28"/>
    </row>
    <row r="1787" spans="2:9" x14ac:dyDescent="0.35">
      <c r="B1787" s="16">
        <v>45320</v>
      </c>
      <c r="C1787" s="6" t="s">
        <v>2</v>
      </c>
      <c r="D17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7" s="7">
        <v>175.04</v>
      </c>
      <c r="F1787" s="9">
        <v>1.185025</v>
      </c>
      <c r="G1787" s="11">
        <v>53.22929941784929</v>
      </c>
      <c r="I1787" s="28"/>
    </row>
    <row r="1788" spans="2:9" x14ac:dyDescent="0.35">
      <c r="B1788" s="16">
        <v>45321</v>
      </c>
      <c r="C1788" s="6" t="s">
        <v>2</v>
      </c>
      <c r="D17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8" s="7">
        <v>107.96</v>
      </c>
      <c r="F1788" s="9">
        <v>0.87739999999999996</v>
      </c>
      <c r="G1788" s="11">
        <v>54.51330292702486</v>
      </c>
      <c r="I1788" s="28"/>
    </row>
    <row r="1789" spans="2:9" x14ac:dyDescent="0.35">
      <c r="B1789" s="16">
        <v>45322</v>
      </c>
      <c r="C1789" s="6" t="s">
        <v>2</v>
      </c>
      <c r="D17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89" s="7">
        <v>188.5</v>
      </c>
      <c r="F1789" s="9">
        <v>1.5301</v>
      </c>
      <c r="G1789" s="11">
        <v>52.616475942782834</v>
      </c>
      <c r="I1789" s="28"/>
    </row>
    <row r="1790" spans="2:9" x14ac:dyDescent="0.35">
      <c r="B1790" s="16">
        <v>45323</v>
      </c>
      <c r="C1790" s="6" t="s">
        <v>2</v>
      </c>
      <c r="D17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0" s="7">
        <v>184.52</v>
      </c>
      <c r="F1790" s="9">
        <v>0.48952500000000004</v>
      </c>
      <c r="G1790" s="11">
        <v>52.044248704663218</v>
      </c>
      <c r="I1790" s="28"/>
    </row>
    <row r="1791" spans="2:9" x14ac:dyDescent="0.35">
      <c r="B1791" s="16">
        <v>45324</v>
      </c>
      <c r="C1791" s="6" t="s">
        <v>2</v>
      </c>
      <c r="D17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1" s="7">
        <v>98.2</v>
      </c>
      <c r="F1791" s="9">
        <v>0.63397500000000007</v>
      </c>
      <c r="G1791" s="11">
        <v>52.64100571543166</v>
      </c>
      <c r="I1791" s="28"/>
    </row>
    <row r="1792" spans="2:9" x14ac:dyDescent="0.35">
      <c r="B1792" s="16">
        <v>45325</v>
      </c>
      <c r="C1792" s="6" t="s">
        <v>2</v>
      </c>
      <c r="D17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2" s="7">
        <v>102.12</v>
      </c>
      <c r="F1792" s="9">
        <v>2.5813750000000004</v>
      </c>
      <c r="G1792" s="11">
        <v>52.465060373216239</v>
      </c>
      <c r="I1792" s="28"/>
    </row>
    <row r="1793" spans="2:9" x14ac:dyDescent="0.35">
      <c r="B1793" s="16">
        <v>45327</v>
      </c>
      <c r="C1793" s="6" t="s">
        <v>2</v>
      </c>
      <c r="D17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3" s="7">
        <v>180.94</v>
      </c>
      <c r="F1793" s="9">
        <v>1.0272000000000001</v>
      </c>
      <c r="G1793" s="11">
        <v>51.088693554578171</v>
      </c>
      <c r="I1793" s="28"/>
    </row>
    <row r="1794" spans="2:9" x14ac:dyDescent="0.35">
      <c r="B1794" s="16">
        <v>45328</v>
      </c>
      <c r="C1794" s="6" t="s">
        <v>2</v>
      </c>
      <c r="D17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4" s="7">
        <v>239.38</v>
      </c>
      <c r="F1794" s="9">
        <v>9.3625E-2</v>
      </c>
      <c r="G1794" s="11">
        <v>52.762671687531288</v>
      </c>
      <c r="I1794" s="28"/>
    </row>
    <row r="1795" spans="2:9" x14ac:dyDescent="0.35">
      <c r="B1795" s="16">
        <v>45329</v>
      </c>
      <c r="C1795" s="6" t="s">
        <v>2</v>
      </c>
      <c r="D17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5" s="7">
        <v>180.44</v>
      </c>
      <c r="F1795" s="9">
        <v>0.54837499999999995</v>
      </c>
      <c r="G1795" s="11">
        <v>54.121539230807777</v>
      </c>
      <c r="I1795" s="28"/>
    </row>
    <row r="1796" spans="2:9" x14ac:dyDescent="0.35">
      <c r="B1796" s="16">
        <v>45330</v>
      </c>
      <c r="C1796" s="6" t="s">
        <v>2</v>
      </c>
      <c r="D17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6" s="7">
        <v>169.1</v>
      </c>
      <c r="F1796" s="9">
        <v>0.65537500000000004</v>
      </c>
      <c r="G1796" s="11">
        <v>51.895263263665598</v>
      </c>
      <c r="I1796" s="28"/>
    </row>
    <row r="1797" spans="2:9" x14ac:dyDescent="0.35">
      <c r="B1797" s="16">
        <v>45331</v>
      </c>
      <c r="C1797" s="6" t="s">
        <v>2</v>
      </c>
      <c r="D17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7" s="7">
        <v>42.02</v>
      </c>
      <c r="F1797" s="9">
        <v>0.714225</v>
      </c>
      <c r="G1797" s="11">
        <v>53.044071471592048</v>
      </c>
      <c r="I1797" s="28"/>
    </row>
    <row r="1798" spans="2:9" x14ac:dyDescent="0.35">
      <c r="B1798" s="16">
        <v>45332</v>
      </c>
      <c r="C1798" s="6" t="s">
        <v>2</v>
      </c>
      <c r="D17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8" s="7">
        <v>31.86</v>
      </c>
      <c r="F1798" s="9">
        <v>4.4859749999999998</v>
      </c>
      <c r="G1798" s="11">
        <v>49.689707727090834</v>
      </c>
      <c r="I1798" s="28"/>
    </row>
    <row r="1799" spans="2:9" x14ac:dyDescent="0.35">
      <c r="B1799" s="16">
        <v>45334</v>
      </c>
      <c r="C1799" s="6" t="s">
        <v>2</v>
      </c>
      <c r="D17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799" s="7">
        <v>164.38</v>
      </c>
      <c r="F1799" s="9">
        <v>3.2100000000000004E-2</v>
      </c>
      <c r="G1799" s="11">
        <v>54.631486810551557</v>
      </c>
      <c r="I1799" s="28"/>
    </row>
    <row r="1800" spans="2:9" x14ac:dyDescent="0.35">
      <c r="B1800" s="16">
        <v>45335</v>
      </c>
      <c r="C1800" s="6" t="s">
        <v>2</v>
      </c>
      <c r="D18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0" s="7">
        <v>173.68</v>
      </c>
      <c r="F1800" s="9">
        <v>7.4900000000000008E-2</v>
      </c>
      <c r="G1800" s="11">
        <v>54.35673675857965</v>
      </c>
      <c r="I1800" s="28"/>
    </row>
    <row r="1801" spans="2:9" x14ac:dyDescent="0.35">
      <c r="B1801" s="16">
        <v>45336</v>
      </c>
      <c r="C1801" s="6" t="s">
        <v>2</v>
      </c>
      <c r="D18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1" s="7">
        <v>202.16</v>
      </c>
      <c r="F1801" s="9">
        <v>0.73829999999999996</v>
      </c>
      <c r="G1801" s="11">
        <v>53.630816692996575</v>
      </c>
      <c r="I1801" s="28"/>
    </row>
    <row r="1802" spans="2:9" x14ac:dyDescent="0.35">
      <c r="B1802" s="16">
        <v>45337</v>
      </c>
      <c r="C1802" s="6" t="s">
        <v>2</v>
      </c>
      <c r="D18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2" s="7">
        <v>208.04</v>
      </c>
      <c r="F1802" s="9">
        <v>0.52162500000000001</v>
      </c>
      <c r="G1802" s="11">
        <v>52.131922341816711</v>
      </c>
      <c r="I1802" s="28"/>
    </row>
    <row r="1803" spans="2:9" x14ac:dyDescent="0.35">
      <c r="B1803" s="16">
        <v>45338</v>
      </c>
      <c r="C1803" s="6" t="s">
        <v>2</v>
      </c>
      <c r="D18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3" s="7">
        <v>309.18</v>
      </c>
      <c r="F1803" s="9">
        <v>0.93892500000000001</v>
      </c>
      <c r="G1803" s="11">
        <v>52.233584836467294</v>
      </c>
      <c r="I1803" s="28"/>
    </row>
    <row r="1804" spans="2:9" x14ac:dyDescent="0.35">
      <c r="B1804" s="16">
        <v>45339</v>
      </c>
      <c r="C1804" s="6" t="s">
        <v>2</v>
      </c>
      <c r="D18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4" s="7">
        <v>205.08</v>
      </c>
      <c r="F1804" s="9">
        <v>2.3566750000000001</v>
      </c>
      <c r="G1804" s="11">
        <v>49.791958557422966</v>
      </c>
      <c r="I1804" s="28"/>
    </row>
    <row r="1805" spans="2:9" x14ac:dyDescent="0.35">
      <c r="B1805" s="16">
        <v>45341</v>
      </c>
      <c r="C1805" s="6" t="s">
        <v>2</v>
      </c>
      <c r="D18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5" s="7">
        <v>169.74</v>
      </c>
      <c r="F1805" s="9">
        <v>1.3214500000000002</v>
      </c>
      <c r="G1805" s="11">
        <v>53.124325499344295</v>
      </c>
      <c r="I1805" s="28"/>
    </row>
    <row r="1806" spans="2:9" x14ac:dyDescent="0.35">
      <c r="B1806" s="16">
        <v>45342</v>
      </c>
      <c r="C1806" s="6" t="s">
        <v>2</v>
      </c>
      <c r="D18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6" s="7">
        <v>196.12</v>
      </c>
      <c r="F1806" s="9">
        <v>2.2603749999999998</v>
      </c>
      <c r="G1806" s="11">
        <v>53.256457390079476</v>
      </c>
      <c r="I1806" s="28"/>
    </row>
    <row r="1807" spans="2:9" x14ac:dyDescent="0.35">
      <c r="B1807" s="16">
        <v>45343</v>
      </c>
      <c r="C1807" s="6" t="s">
        <v>2</v>
      </c>
      <c r="D18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7" s="7">
        <v>244.62</v>
      </c>
      <c r="F1807" s="9">
        <v>0.10967499999999999</v>
      </c>
      <c r="G1807" s="11">
        <v>53.633403386454184</v>
      </c>
      <c r="I1807" s="28"/>
    </row>
    <row r="1808" spans="2:9" x14ac:dyDescent="0.35">
      <c r="B1808" s="16">
        <v>45344</v>
      </c>
      <c r="C1808" s="6" t="s">
        <v>2</v>
      </c>
      <c r="D18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8" s="7">
        <v>208.82</v>
      </c>
      <c r="F1808" s="9">
        <v>0.749</v>
      </c>
      <c r="G1808" s="11">
        <v>53.1882223555289</v>
      </c>
      <c r="I1808" s="28"/>
    </row>
    <row r="1809" spans="2:9" x14ac:dyDescent="0.35">
      <c r="B1809" s="16">
        <v>45345</v>
      </c>
      <c r="C1809" s="6" t="s">
        <v>2</v>
      </c>
      <c r="D18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09" s="7">
        <v>164.38</v>
      </c>
      <c r="F1809" s="9">
        <v>0.43335000000000007</v>
      </c>
      <c r="G1809" s="11">
        <v>52.746302067725495</v>
      </c>
      <c r="I1809" s="28"/>
    </row>
    <row r="1810" spans="2:9" x14ac:dyDescent="0.35">
      <c r="B1810" s="16">
        <v>45348</v>
      </c>
      <c r="C1810" s="6" t="s">
        <v>2</v>
      </c>
      <c r="D18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0" s="7">
        <v>208.86</v>
      </c>
      <c r="F1810" s="9">
        <v>0.31832500000000002</v>
      </c>
      <c r="G1810" s="11">
        <v>53.968601202404805</v>
      </c>
      <c r="I1810" s="28"/>
    </row>
    <row r="1811" spans="2:9" x14ac:dyDescent="0.35">
      <c r="B1811" s="16">
        <v>45349</v>
      </c>
      <c r="C1811" s="6" t="s">
        <v>2</v>
      </c>
      <c r="D18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1" s="7">
        <v>215.46</v>
      </c>
      <c r="F1811" s="9">
        <v>0.77039999999999997</v>
      </c>
      <c r="G1811" s="11">
        <v>53.431731597396094</v>
      </c>
      <c r="I1811" s="28"/>
    </row>
    <row r="1812" spans="2:9" x14ac:dyDescent="0.35">
      <c r="B1812" s="16">
        <v>45350</v>
      </c>
      <c r="C1812" s="6" t="s">
        <v>2</v>
      </c>
      <c r="D18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2" s="7">
        <v>209.52</v>
      </c>
      <c r="F1812" s="9">
        <v>3.2715250000000005</v>
      </c>
      <c r="G1812" s="11">
        <v>52.200933906609336</v>
      </c>
      <c r="I1812" s="28"/>
    </row>
    <row r="1813" spans="2:9" x14ac:dyDescent="0.35">
      <c r="B1813" s="16">
        <v>45351</v>
      </c>
      <c r="C1813" s="6" t="s">
        <v>2</v>
      </c>
      <c r="D18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3" s="7">
        <v>184.76</v>
      </c>
      <c r="F1813" s="9">
        <v>1.1449</v>
      </c>
      <c r="G1813" s="11">
        <v>52.245275669196964</v>
      </c>
      <c r="I1813" s="28"/>
    </row>
    <row r="1814" spans="2:9" x14ac:dyDescent="0.35">
      <c r="B1814" s="16">
        <v>45352</v>
      </c>
      <c r="C1814" s="6" t="s">
        <v>2</v>
      </c>
      <c r="D18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4" s="7">
        <v>150.56</v>
      </c>
      <c r="F1814" s="9">
        <v>3.0200749999999998</v>
      </c>
      <c r="G1814" s="11">
        <v>51.781484351413908</v>
      </c>
      <c r="I1814" s="28"/>
    </row>
    <row r="1815" spans="2:9" x14ac:dyDescent="0.35">
      <c r="B1815" s="16">
        <v>45353</v>
      </c>
      <c r="C1815" s="6" t="s">
        <v>2</v>
      </c>
      <c r="D18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5" s="7">
        <v>70.260000000000005</v>
      </c>
      <c r="F1815" s="9">
        <v>8.477075000000001</v>
      </c>
      <c r="G1815" s="11">
        <v>46.529216271820452</v>
      </c>
      <c r="I1815" s="28"/>
    </row>
    <row r="1816" spans="2:9" x14ac:dyDescent="0.35">
      <c r="B1816" s="16">
        <v>45355</v>
      </c>
      <c r="C1816" s="6" t="s">
        <v>2</v>
      </c>
      <c r="D18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6" s="7">
        <v>147.88</v>
      </c>
      <c r="F1816" s="9">
        <v>0</v>
      </c>
      <c r="G1816" s="11">
        <v>54.15690507152145</v>
      </c>
      <c r="I1816" s="28"/>
    </row>
    <row r="1817" spans="2:9" x14ac:dyDescent="0.35">
      <c r="B1817" s="16">
        <v>45356</v>
      </c>
      <c r="C1817" s="6" t="s">
        <v>2</v>
      </c>
      <c r="D18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7" s="7">
        <v>254.78</v>
      </c>
      <c r="F1817" s="9">
        <v>0.92287500000000011</v>
      </c>
      <c r="G1817" s="11">
        <v>52.017018087338855</v>
      </c>
      <c r="I1817" s="28"/>
    </row>
    <row r="1818" spans="2:9" x14ac:dyDescent="0.35">
      <c r="B1818" s="16">
        <v>45357</v>
      </c>
      <c r="C1818" s="6" t="s">
        <v>2</v>
      </c>
      <c r="D18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8" s="7">
        <v>276.27999999999997</v>
      </c>
      <c r="F1818" s="9">
        <v>2.9531999999999998</v>
      </c>
      <c r="G1818" s="11">
        <v>51.693539074166253</v>
      </c>
      <c r="I1818" s="28"/>
    </row>
    <row r="1819" spans="2:9" x14ac:dyDescent="0.35">
      <c r="B1819" s="16">
        <v>45358</v>
      </c>
      <c r="C1819" s="6" t="s">
        <v>2</v>
      </c>
      <c r="D18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19" s="7">
        <v>239.86</v>
      </c>
      <c r="F1819" s="9">
        <v>7.091425000000001</v>
      </c>
      <c r="G1819" s="11">
        <v>45.236970637818914</v>
      </c>
      <c r="I1819" s="28"/>
    </row>
    <row r="1820" spans="2:9" x14ac:dyDescent="0.35">
      <c r="B1820" s="16">
        <v>45359</v>
      </c>
      <c r="C1820" s="6" t="s">
        <v>2</v>
      </c>
      <c r="D18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0" s="7">
        <v>218.94</v>
      </c>
      <c r="F1820" s="9">
        <v>3.2715250000000005</v>
      </c>
      <c r="G1820" s="11">
        <v>50.319024144869211</v>
      </c>
      <c r="I1820" s="28"/>
    </row>
    <row r="1821" spans="2:9" x14ac:dyDescent="0.35">
      <c r="B1821" s="16">
        <v>45360</v>
      </c>
      <c r="C1821" s="6" t="s">
        <v>2</v>
      </c>
      <c r="D18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1" s="7">
        <v>176.76</v>
      </c>
      <c r="F1821" s="9">
        <v>4.1141500000000004</v>
      </c>
      <c r="G1821" s="11">
        <v>49.669074527863771</v>
      </c>
      <c r="I1821" s="28"/>
    </row>
    <row r="1822" spans="2:9" x14ac:dyDescent="0.35">
      <c r="B1822" s="16">
        <v>45362</v>
      </c>
      <c r="C1822" s="6" t="s">
        <v>2</v>
      </c>
      <c r="D18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2" s="7">
        <v>242.24</v>
      </c>
      <c r="F1822" s="9">
        <v>5.2376499999999995</v>
      </c>
      <c r="G1822" s="11">
        <v>46.551841039967783</v>
      </c>
      <c r="I1822" s="28"/>
    </row>
    <row r="1823" spans="2:9" x14ac:dyDescent="0.35">
      <c r="B1823" s="16">
        <v>45363</v>
      </c>
      <c r="C1823" s="6" t="s">
        <v>2</v>
      </c>
      <c r="D18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3" s="7">
        <v>157.26</v>
      </c>
      <c r="F1823" s="9">
        <v>2.5867249999999999</v>
      </c>
      <c r="G1823" s="11">
        <v>51.342524707996404</v>
      </c>
      <c r="I1823" s="28"/>
    </row>
    <row r="1824" spans="2:9" x14ac:dyDescent="0.35">
      <c r="B1824" s="16">
        <v>45364</v>
      </c>
      <c r="C1824" s="6" t="s">
        <v>2</v>
      </c>
      <c r="D18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4" s="7">
        <v>141.28</v>
      </c>
      <c r="F1824" s="9">
        <v>6.1899500000000005</v>
      </c>
      <c r="G1824" s="11">
        <v>49.421663475829007</v>
      </c>
      <c r="I1824" s="28"/>
    </row>
    <row r="1825" spans="2:9" x14ac:dyDescent="0.35">
      <c r="B1825" s="16">
        <v>45365</v>
      </c>
      <c r="C1825" s="6" t="s">
        <v>2</v>
      </c>
      <c r="D18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5" s="7">
        <v>147.82</v>
      </c>
      <c r="F1825" s="9">
        <v>4.0098250000000002</v>
      </c>
      <c r="G1825" s="11">
        <v>50.372476527221778</v>
      </c>
      <c r="I1825" s="28"/>
    </row>
    <row r="1826" spans="2:9" x14ac:dyDescent="0.35">
      <c r="B1826" s="16">
        <v>45366</v>
      </c>
      <c r="C1826" s="6" t="s">
        <v>2</v>
      </c>
      <c r="D18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6" s="7">
        <v>150.78</v>
      </c>
      <c r="F1826" s="9">
        <v>2.083825</v>
      </c>
      <c r="G1826" s="11">
        <v>53.37293317326931</v>
      </c>
      <c r="I1826" s="28"/>
    </row>
    <row r="1827" spans="2:9" x14ac:dyDescent="0.35">
      <c r="B1827" s="16">
        <v>45366</v>
      </c>
      <c r="C1827" s="6" t="s">
        <v>2</v>
      </c>
      <c r="D18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7" s="7">
        <v>0</v>
      </c>
      <c r="F1827" s="9">
        <v>6.7222749999999998</v>
      </c>
      <c r="G1827" s="11">
        <v>48.499144614461443</v>
      </c>
      <c r="I1827" s="28"/>
    </row>
    <row r="1828" spans="2:9" x14ac:dyDescent="0.35">
      <c r="B1828" s="16">
        <v>45367</v>
      </c>
      <c r="C1828" s="6" t="s">
        <v>2</v>
      </c>
      <c r="D18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8" s="7">
        <v>112.24</v>
      </c>
      <c r="F1828" s="9">
        <v>7.2813499999999998</v>
      </c>
      <c r="G1828" s="11">
        <v>46.712740506958255</v>
      </c>
      <c r="I1828" s="28"/>
    </row>
    <row r="1829" spans="2:9" x14ac:dyDescent="0.35">
      <c r="B1829" s="16">
        <v>45369</v>
      </c>
      <c r="C1829" s="6" t="s">
        <v>2</v>
      </c>
      <c r="D18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29" s="7">
        <v>109.68</v>
      </c>
      <c r="F1829" s="9">
        <v>0.14980000000000002</v>
      </c>
      <c r="G1829" s="11">
        <v>54.409958067092646</v>
      </c>
      <c r="I1829" s="28"/>
    </row>
    <row r="1830" spans="2:9" x14ac:dyDescent="0.35">
      <c r="B1830" s="16">
        <v>45370</v>
      </c>
      <c r="C1830" s="6" t="s">
        <v>2</v>
      </c>
      <c r="D18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0" s="7">
        <v>143.91999999999999</v>
      </c>
      <c r="F1830" s="9">
        <v>0.382525</v>
      </c>
      <c r="G1830" s="11">
        <v>54.504290570942906</v>
      </c>
      <c r="I1830" s="28"/>
    </row>
    <row r="1831" spans="2:9" x14ac:dyDescent="0.35">
      <c r="B1831" s="16">
        <v>45371</v>
      </c>
      <c r="C1831" s="6" t="s">
        <v>2</v>
      </c>
      <c r="D18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1" s="7">
        <v>222.16</v>
      </c>
      <c r="F1831" s="9">
        <v>2.720475</v>
      </c>
      <c r="G1831" s="11">
        <v>50.521484389389393</v>
      </c>
      <c r="I1831" s="28"/>
    </row>
    <row r="1832" spans="2:9" x14ac:dyDescent="0.35">
      <c r="B1832" s="16">
        <v>45372</v>
      </c>
      <c r="C1832" s="6" t="s">
        <v>2</v>
      </c>
      <c r="D18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2" s="7">
        <v>213.76</v>
      </c>
      <c r="F1832" s="9">
        <v>2.158725</v>
      </c>
      <c r="G1832" s="11">
        <v>52.835574307144988</v>
      </c>
      <c r="I1832" s="28"/>
    </row>
    <row r="1833" spans="2:9" x14ac:dyDescent="0.35">
      <c r="B1833" s="16">
        <v>45373</v>
      </c>
      <c r="C1833" s="6" t="s">
        <v>2</v>
      </c>
      <c r="D18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3" s="7">
        <v>224.76</v>
      </c>
      <c r="F1833" s="9">
        <v>0.38787500000000003</v>
      </c>
      <c r="G1833" s="11">
        <v>54.412169022496506</v>
      </c>
      <c r="I1833" s="28"/>
    </row>
    <row r="1834" spans="2:9" x14ac:dyDescent="0.35">
      <c r="B1834" s="16">
        <v>45374</v>
      </c>
      <c r="C1834" s="6" t="s">
        <v>2</v>
      </c>
      <c r="D18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4" s="7">
        <v>37.18</v>
      </c>
      <c r="F1834" s="9">
        <v>0.32100000000000001</v>
      </c>
      <c r="G1834" s="11">
        <v>53.429987002599475</v>
      </c>
      <c r="I1834" s="28"/>
    </row>
    <row r="1835" spans="2:9" x14ac:dyDescent="0.35">
      <c r="B1835" s="16">
        <v>45377</v>
      </c>
      <c r="C1835" s="6" t="s">
        <v>2</v>
      </c>
      <c r="D18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5" s="7">
        <v>31.2</v>
      </c>
      <c r="F1835" s="9">
        <v>0.21400000000000002</v>
      </c>
      <c r="G1835" s="11">
        <v>54.51504924623115</v>
      </c>
      <c r="I1835" s="28"/>
    </row>
    <row r="1836" spans="2:9" x14ac:dyDescent="0.35">
      <c r="B1836" s="16">
        <v>45378</v>
      </c>
      <c r="C1836" s="6" t="s">
        <v>2</v>
      </c>
      <c r="D18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6" s="7">
        <v>228.24</v>
      </c>
      <c r="F1836" s="9">
        <v>0.17655000000000001</v>
      </c>
      <c r="G1836" s="11">
        <v>54.397251397763576</v>
      </c>
      <c r="I1836" s="28"/>
    </row>
    <row r="1837" spans="2:9" x14ac:dyDescent="0.35">
      <c r="B1837" s="16">
        <v>45383</v>
      </c>
      <c r="C1837" s="6" t="s">
        <v>2</v>
      </c>
      <c r="D18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7" s="7">
        <v>139.19999999999999</v>
      </c>
      <c r="F1837" s="9">
        <v>0.41195000000000004</v>
      </c>
      <c r="G1837" s="11">
        <v>54.321782525830066</v>
      </c>
      <c r="I1837" s="28"/>
    </row>
    <row r="1838" spans="2:9" x14ac:dyDescent="0.35">
      <c r="B1838" s="16">
        <v>45384</v>
      </c>
      <c r="C1838" s="6" t="s">
        <v>2</v>
      </c>
      <c r="D18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8" s="7">
        <v>203.54</v>
      </c>
      <c r="F1838" s="9">
        <v>2.9826250000000001</v>
      </c>
      <c r="G1838" s="11">
        <v>51.353672900915242</v>
      </c>
      <c r="I1838" s="28"/>
    </row>
    <row r="1839" spans="2:9" x14ac:dyDescent="0.35">
      <c r="B1839" s="16">
        <v>45385</v>
      </c>
      <c r="C1839" s="6" t="s">
        <v>2</v>
      </c>
      <c r="D18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39" s="7">
        <v>216.78</v>
      </c>
      <c r="F1839" s="9">
        <v>5.3500000000000006E-2</v>
      </c>
      <c r="G1839" s="11">
        <v>53.702292652603234</v>
      </c>
      <c r="I1839" s="28"/>
    </row>
    <row r="1840" spans="2:9" x14ac:dyDescent="0.35">
      <c r="B1840" s="16">
        <v>45386</v>
      </c>
      <c r="C1840" s="6" t="s">
        <v>2</v>
      </c>
      <c r="D18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40" s="7">
        <v>167.75</v>
      </c>
      <c r="F1840" s="9">
        <v>0.33705000000000002</v>
      </c>
      <c r="G1840" s="11">
        <v>54.199753049087796</v>
      </c>
      <c r="I1840" s="28"/>
    </row>
    <row r="1841" spans="2:9" x14ac:dyDescent="0.35">
      <c r="B1841" s="16">
        <v>45387</v>
      </c>
      <c r="C1841" s="6" t="s">
        <v>2</v>
      </c>
      <c r="D18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41" s="7">
        <v>284.54000000000002</v>
      </c>
      <c r="F1841" s="9">
        <v>0.56175000000000008</v>
      </c>
      <c r="G1841" s="11">
        <v>52.13046089298193</v>
      </c>
      <c r="I1841" s="28"/>
    </row>
    <row r="1842" spans="2:9" x14ac:dyDescent="0.35">
      <c r="B1842" s="16">
        <v>45388</v>
      </c>
      <c r="C1842" s="6" t="s">
        <v>2</v>
      </c>
      <c r="D18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42" s="7">
        <v>109</v>
      </c>
      <c r="F1842" s="9">
        <v>1.249225</v>
      </c>
      <c r="G1842" s="11">
        <v>51.567897483940577</v>
      </c>
      <c r="I1842" s="28"/>
    </row>
    <row r="1843" spans="2:9" x14ac:dyDescent="0.35">
      <c r="B1843" s="16">
        <v>45390</v>
      </c>
      <c r="C1843" s="6" t="s">
        <v>2</v>
      </c>
      <c r="D18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43" s="7">
        <v>187.9</v>
      </c>
      <c r="F1843" s="9">
        <v>0.55000000000000004</v>
      </c>
      <c r="G1843" s="11">
        <v>53.947726515656221</v>
      </c>
      <c r="I1843" s="28"/>
    </row>
    <row r="1844" spans="2:9" x14ac:dyDescent="0.35">
      <c r="B1844" s="16">
        <v>45391</v>
      </c>
      <c r="C1844" s="6" t="s">
        <v>2</v>
      </c>
      <c r="D18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44" s="7">
        <v>180.57999999999998</v>
      </c>
      <c r="F1844" s="9">
        <v>0.28999999999999998</v>
      </c>
      <c r="G1844" s="11">
        <v>54.746856856856859</v>
      </c>
      <c r="I1844" s="28"/>
    </row>
    <row r="1845" spans="2:9" x14ac:dyDescent="0.35">
      <c r="B1845" s="16">
        <v>45359</v>
      </c>
      <c r="C1845" s="6" t="s">
        <v>10</v>
      </c>
      <c r="D1845" s="6" t="str">
        <f>IF(ISNUMBER(MATCH(ING_PRV[[#This Row],[Proveedor]],PARAMETROS!$A$2:$A$8,0)),"COMPRADA",
                    IF(ISNUMBER(MATCH(ING_PRV[[#This Row],[Proveedor]],PARAMETROS!$B$2:$B$8,0)),"PROPIA","NA")
)</f>
        <v>NA</v>
      </c>
      <c r="E1845" s="7">
        <v>65</v>
      </c>
      <c r="F1845" s="9">
        <v>8.2577250000000006</v>
      </c>
      <c r="G1845" s="11">
        <v>47.978061510719293</v>
      </c>
      <c r="I1845" s="28"/>
    </row>
    <row r="1846" spans="2:9" x14ac:dyDescent="0.35">
      <c r="B1846" s="16">
        <v>45360</v>
      </c>
      <c r="C1846" s="6" t="s">
        <v>10</v>
      </c>
      <c r="D1846" s="6" t="str">
        <f>IF(ISNUMBER(MATCH(ING_PRV[[#This Row],[Proveedor]],PARAMETROS!$A$2:$A$8,0)),"COMPRADA",
                    IF(ISNUMBER(MATCH(ING_PRV[[#This Row],[Proveedor]],PARAMETROS!$B$2:$B$8,0)),"PROPIA","NA")
)</f>
        <v>NA</v>
      </c>
      <c r="E1846" s="7">
        <v>132.72</v>
      </c>
      <c r="F1846" s="9">
        <v>4.574250000000001</v>
      </c>
      <c r="G1846" s="11">
        <v>51.777926344621505</v>
      </c>
      <c r="I1846" s="28"/>
    </row>
    <row r="1847" spans="2:9" x14ac:dyDescent="0.35">
      <c r="B1847" s="16">
        <v>45362</v>
      </c>
      <c r="C1847" s="6" t="s">
        <v>10</v>
      </c>
      <c r="D1847" s="6" t="str">
        <f>IF(ISNUMBER(MATCH(ING_PRV[[#This Row],[Proveedor]],PARAMETROS!$A$2:$A$8,0)),"COMPRADA",
                    IF(ISNUMBER(MATCH(ING_PRV[[#This Row],[Proveedor]],PARAMETROS!$B$2:$B$8,0)),"PROPIA","NA")
)</f>
        <v>NA</v>
      </c>
      <c r="E1847" s="7">
        <v>93.04</v>
      </c>
      <c r="F1847" s="9">
        <v>4.6277500000000007</v>
      </c>
      <c r="G1847" s="11">
        <v>51.698052499999996</v>
      </c>
      <c r="I1847" s="28"/>
    </row>
    <row r="1848" spans="2:9" x14ac:dyDescent="0.35">
      <c r="B1848" s="16">
        <v>45363</v>
      </c>
      <c r="C1848" s="6" t="s">
        <v>10</v>
      </c>
      <c r="D1848" s="6" t="str">
        <f>IF(ISNUMBER(MATCH(ING_PRV[[#This Row],[Proveedor]],PARAMETROS!$A$2:$A$8,0)),"COMPRADA",
                    IF(ISNUMBER(MATCH(ING_PRV[[#This Row],[Proveedor]],PARAMETROS!$B$2:$B$8,0)),"PROPIA","NA")
)</f>
        <v>NA</v>
      </c>
      <c r="E1848" s="7">
        <v>89.8</v>
      </c>
      <c r="F1848" s="9">
        <v>2.0998749999999999</v>
      </c>
      <c r="G1848" s="11">
        <v>53.120067769583414</v>
      </c>
      <c r="I1848" s="28"/>
    </row>
    <row r="1849" spans="2:9" x14ac:dyDescent="0.35">
      <c r="B1849" s="16">
        <v>45365</v>
      </c>
      <c r="C1849" s="6" t="s">
        <v>10</v>
      </c>
      <c r="D1849" s="6" t="str">
        <f>IF(ISNUMBER(MATCH(ING_PRV[[#This Row],[Proveedor]],PARAMETROS!$A$2:$A$8,0)),"COMPRADA",
                    IF(ISNUMBER(MATCH(ING_PRV[[#This Row],[Proveedor]],PARAMETROS!$B$2:$B$8,0)),"PROPIA","NA")
)</f>
        <v>NA</v>
      </c>
      <c r="E1849" s="7">
        <v>170.76</v>
      </c>
      <c r="F1849" s="9">
        <v>3.9162000000000003</v>
      </c>
      <c r="G1849" s="11">
        <v>51.91997570818684</v>
      </c>
      <c r="I1849" s="28"/>
    </row>
    <row r="1850" spans="2:9" x14ac:dyDescent="0.35">
      <c r="B1850" s="16">
        <v>45366</v>
      </c>
      <c r="C1850" s="6" t="s">
        <v>10</v>
      </c>
      <c r="D1850" s="6" t="str">
        <f>IF(ISNUMBER(MATCH(ING_PRV[[#This Row],[Proveedor]],PARAMETROS!$A$2:$A$8,0)),"COMPRADA",
                    IF(ISNUMBER(MATCH(ING_PRV[[#This Row],[Proveedor]],PARAMETROS!$B$2:$B$8,0)),"PROPIA","NA")
)</f>
        <v>NA</v>
      </c>
      <c r="E1850" s="7">
        <v>121.42</v>
      </c>
      <c r="F1850" s="9">
        <v>18.470874999999999</v>
      </c>
      <c r="G1850" s="11">
        <v>43.595103096119232</v>
      </c>
      <c r="I1850" s="28"/>
    </row>
    <row r="1851" spans="2:9" x14ac:dyDescent="0.35">
      <c r="B1851" s="16">
        <v>45390</v>
      </c>
      <c r="C1851" s="6" t="s">
        <v>3</v>
      </c>
      <c r="D18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1" s="17">
        <v>70.7</v>
      </c>
      <c r="F1851" s="9">
        <v>2.4900000000000002</v>
      </c>
      <c r="G1851" s="11">
        <v>53.327137974155896</v>
      </c>
      <c r="I1851" s="28"/>
    </row>
    <row r="1852" spans="2:9" x14ac:dyDescent="0.35">
      <c r="B1852" s="16">
        <v>45393</v>
      </c>
      <c r="C1852" s="6" t="s">
        <v>3</v>
      </c>
      <c r="D18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2" s="17">
        <v>89.98</v>
      </c>
      <c r="F1852" s="9">
        <v>12.41</v>
      </c>
      <c r="G1852" s="11">
        <v>40.278195081283869</v>
      </c>
      <c r="I1852" s="28"/>
    </row>
    <row r="1853" spans="2:9" x14ac:dyDescent="0.35">
      <c r="B1853" s="16">
        <v>45394</v>
      </c>
      <c r="C1853" s="6" t="s">
        <v>3</v>
      </c>
      <c r="D18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3" s="17">
        <v>84.92</v>
      </c>
      <c r="F1853" s="9">
        <v>10.32</v>
      </c>
      <c r="G1853" s="11">
        <v>46.926977229126692</v>
      </c>
      <c r="I1853" s="28"/>
    </row>
    <row r="1854" spans="2:9" x14ac:dyDescent="0.35">
      <c r="B1854" s="16">
        <v>45395</v>
      </c>
      <c r="C1854" s="6" t="s">
        <v>3</v>
      </c>
      <c r="D18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4" s="17">
        <v>65.959999999999994</v>
      </c>
      <c r="F1854" s="9">
        <v>6.49</v>
      </c>
      <c r="G1854" s="11">
        <v>49.719341395891007</v>
      </c>
      <c r="I1854" s="28"/>
    </row>
    <row r="1855" spans="2:9" x14ac:dyDescent="0.35">
      <c r="B1855" s="16">
        <v>45397</v>
      </c>
      <c r="C1855" s="6" t="s">
        <v>3</v>
      </c>
      <c r="D18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5" s="17">
        <v>45.46</v>
      </c>
      <c r="F1855" s="9">
        <v>7.69</v>
      </c>
      <c r="G1855" s="11">
        <v>48.730267469073887</v>
      </c>
      <c r="I1855" s="28"/>
    </row>
    <row r="1856" spans="2:9" x14ac:dyDescent="0.35">
      <c r="B1856" s="16">
        <v>45398</v>
      </c>
      <c r="C1856" s="6" t="s">
        <v>3</v>
      </c>
      <c r="D18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6" s="17">
        <v>111</v>
      </c>
      <c r="F1856" s="9">
        <v>6.09</v>
      </c>
      <c r="G1856" s="11">
        <v>48.795085085085084</v>
      </c>
      <c r="I1856" s="28"/>
    </row>
    <row r="1857" spans="2:9" x14ac:dyDescent="0.35">
      <c r="B1857" s="16">
        <v>45399</v>
      </c>
      <c r="C1857" s="6" t="s">
        <v>3</v>
      </c>
      <c r="D18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7" s="17">
        <v>89.1</v>
      </c>
      <c r="F1857" s="9">
        <v>11.61</v>
      </c>
      <c r="G1857" s="11">
        <v>44.568742909704127</v>
      </c>
      <c r="I1857" s="28"/>
    </row>
    <row r="1858" spans="2:9" x14ac:dyDescent="0.35">
      <c r="B1858" s="16">
        <v>45400</v>
      </c>
      <c r="C1858" s="6" t="s">
        <v>3</v>
      </c>
      <c r="D18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8" s="17">
        <v>89.84</v>
      </c>
      <c r="F1858" s="9">
        <v>24.67</v>
      </c>
      <c r="G1858" s="11">
        <v>38.060761072988143</v>
      </c>
      <c r="I1858" s="28"/>
    </row>
    <row r="1859" spans="2:9" x14ac:dyDescent="0.35">
      <c r="B1859" s="16">
        <v>45401</v>
      </c>
      <c r="C1859" s="6" t="s">
        <v>3</v>
      </c>
      <c r="D18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59" s="17">
        <v>66.36</v>
      </c>
      <c r="F1859" s="9">
        <v>8.19</v>
      </c>
      <c r="G1859" s="11">
        <v>47.257632390959884</v>
      </c>
      <c r="I1859" s="28"/>
    </row>
    <row r="1860" spans="2:9" x14ac:dyDescent="0.35">
      <c r="B1860" s="16">
        <v>45404</v>
      </c>
      <c r="C1860" s="6" t="s">
        <v>3</v>
      </c>
      <c r="D18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0" s="17">
        <v>66.28</v>
      </c>
      <c r="F1860" s="9">
        <v>3.04</v>
      </c>
      <c r="G1860" s="11">
        <v>52.540173167901457</v>
      </c>
      <c r="I1860" s="28"/>
    </row>
    <row r="1861" spans="2:9" x14ac:dyDescent="0.35">
      <c r="B1861" s="16">
        <v>45405</v>
      </c>
      <c r="C1861" s="6" t="s">
        <v>3</v>
      </c>
      <c r="D18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1" s="17">
        <v>22.62</v>
      </c>
      <c r="F1861" s="9">
        <v>3.38</v>
      </c>
      <c r="G1861" s="11">
        <v>52.292634730538921</v>
      </c>
      <c r="I1861" s="28"/>
    </row>
    <row r="1862" spans="2:9" x14ac:dyDescent="0.35">
      <c r="B1862" s="16">
        <v>45407</v>
      </c>
      <c r="C1862" s="6" t="s">
        <v>3</v>
      </c>
      <c r="D18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2" s="17">
        <v>85.64</v>
      </c>
      <c r="F1862" s="9">
        <v>2.37005</v>
      </c>
      <c r="G1862" s="11">
        <v>53.311136595468604</v>
      </c>
      <c r="I1862" s="28"/>
    </row>
    <row r="1863" spans="2:9" x14ac:dyDescent="0.35">
      <c r="B1863" s="16">
        <v>45408</v>
      </c>
      <c r="C1863" s="6" t="s">
        <v>3</v>
      </c>
      <c r="D18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3" s="17">
        <v>67.459999999999994</v>
      </c>
      <c r="F1863" s="9">
        <v>3.8225750000000001</v>
      </c>
      <c r="G1863" s="11">
        <v>46.738914257624401</v>
      </c>
      <c r="I1863" s="28"/>
    </row>
    <row r="1864" spans="2:9" x14ac:dyDescent="0.35">
      <c r="B1864" s="16">
        <v>45409</v>
      </c>
      <c r="C1864" s="6" t="s">
        <v>3</v>
      </c>
      <c r="D18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4" s="17">
        <v>45.5</v>
      </c>
      <c r="F1864" s="9">
        <v>6.9844249999999999</v>
      </c>
      <c r="G1864" s="11">
        <v>49.555853756735182</v>
      </c>
      <c r="I1864" s="28"/>
    </row>
    <row r="1865" spans="2:9" x14ac:dyDescent="0.35">
      <c r="B1865" s="18">
        <v>45392</v>
      </c>
      <c r="C1865" s="6" t="s">
        <v>5</v>
      </c>
      <c r="D18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5" s="17">
        <v>92.91</v>
      </c>
      <c r="F1865" s="9">
        <v>1.35</v>
      </c>
      <c r="G1865" s="11">
        <v>54.127051633823896</v>
      </c>
      <c r="I1865" s="28"/>
    </row>
    <row r="1866" spans="2:9" x14ac:dyDescent="0.35">
      <c r="B1866" s="18">
        <v>45394</v>
      </c>
      <c r="C1866" s="6" t="s">
        <v>5</v>
      </c>
      <c r="D18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6" s="17">
        <v>132.44</v>
      </c>
      <c r="F1866" s="9">
        <v>7.4</v>
      </c>
      <c r="G1866" s="11">
        <v>49.466071992684348</v>
      </c>
      <c r="I1866" s="28"/>
    </row>
    <row r="1867" spans="2:9" x14ac:dyDescent="0.35">
      <c r="B1867" s="18">
        <v>45397</v>
      </c>
      <c r="C1867" s="6" t="s">
        <v>5</v>
      </c>
      <c r="D18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7" s="17">
        <v>95.05</v>
      </c>
      <c r="F1867" s="9">
        <v>3.33</v>
      </c>
      <c r="G1867" s="11">
        <v>52.200035022180714</v>
      </c>
      <c r="I1867" s="28"/>
    </row>
    <row r="1868" spans="2:9" x14ac:dyDescent="0.35">
      <c r="B1868" s="16">
        <v>45399</v>
      </c>
      <c r="C1868" s="6" t="s">
        <v>5</v>
      </c>
      <c r="D18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8" s="17">
        <v>142.55000000000001</v>
      </c>
      <c r="F1868" s="9">
        <v>0.28999999999999998</v>
      </c>
      <c r="G1868" s="11">
        <v>54.204204670114407</v>
      </c>
      <c r="I1868" s="28"/>
    </row>
    <row r="1869" spans="2:9" x14ac:dyDescent="0.35">
      <c r="B1869" s="16">
        <v>45401</v>
      </c>
      <c r="C1869" s="6" t="s">
        <v>5</v>
      </c>
      <c r="D18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69" s="17">
        <v>139.04</v>
      </c>
      <c r="F1869" s="9">
        <v>1.39</v>
      </c>
      <c r="G1869" s="11">
        <v>53.668616352201262</v>
      </c>
      <c r="I1869" s="28"/>
    </row>
    <row r="1870" spans="2:9" x14ac:dyDescent="0.35">
      <c r="B1870" s="16">
        <v>45404</v>
      </c>
      <c r="C1870" s="6" t="s">
        <v>5</v>
      </c>
      <c r="D18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0" s="17">
        <v>142.55000000000001</v>
      </c>
      <c r="F1870" s="9">
        <v>0.08</v>
      </c>
      <c r="G1870" s="11">
        <v>54.437532241199023</v>
      </c>
      <c r="I1870" s="28"/>
    </row>
    <row r="1871" spans="2:9" x14ac:dyDescent="0.35">
      <c r="B1871" s="16">
        <v>45406</v>
      </c>
      <c r="C1871" s="6" t="s">
        <v>5</v>
      </c>
      <c r="D18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1" s="17">
        <v>139.04</v>
      </c>
      <c r="F1871" s="9">
        <v>1.3722750000000001</v>
      </c>
      <c r="G1871" s="11">
        <v>52.998620507441814</v>
      </c>
      <c r="I1871" s="28"/>
    </row>
    <row r="1872" spans="2:9" x14ac:dyDescent="0.35">
      <c r="B1872" s="16">
        <v>45407</v>
      </c>
      <c r="C1872" s="6" t="s">
        <v>5</v>
      </c>
      <c r="D18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2" s="17">
        <v>34.26</v>
      </c>
      <c r="F1872" s="9">
        <v>3.40795</v>
      </c>
      <c r="G1872" s="11">
        <v>52.710727182044891</v>
      </c>
      <c r="I1872" s="28"/>
    </row>
    <row r="1873" spans="2:9" x14ac:dyDescent="0.35">
      <c r="B1873" s="16">
        <v>45408</v>
      </c>
      <c r="C1873" s="6" t="s">
        <v>5</v>
      </c>
      <c r="D18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3" s="17">
        <v>65.81</v>
      </c>
      <c r="F1873" s="9">
        <v>1.045925</v>
      </c>
      <c r="G1873" s="11">
        <v>54.00327712685074</v>
      </c>
      <c r="I1873" s="28"/>
    </row>
    <row r="1874" spans="2:9" x14ac:dyDescent="0.35">
      <c r="B1874" s="16">
        <v>45409</v>
      </c>
      <c r="C1874" s="6" t="s">
        <v>5</v>
      </c>
      <c r="D18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4" s="17">
        <v>135.12</v>
      </c>
      <c r="F1874" s="9">
        <v>0.73829999999999996</v>
      </c>
      <c r="G1874" s="11">
        <v>53.532847010571459</v>
      </c>
      <c r="I1874" s="28"/>
    </row>
    <row r="1875" spans="2:9" x14ac:dyDescent="0.35">
      <c r="B1875" s="18">
        <v>45392</v>
      </c>
      <c r="C1875" s="6" t="s">
        <v>6</v>
      </c>
      <c r="D18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5" s="17">
        <v>105.22</v>
      </c>
      <c r="F1875" s="9">
        <v>2.48</v>
      </c>
      <c r="G1875" s="11">
        <v>53.284216766867068</v>
      </c>
      <c r="I1875" s="28"/>
    </row>
    <row r="1876" spans="2:9" x14ac:dyDescent="0.35">
      <c r="B1876" s="16">
        <v>45393</v>
      </c>
      <c r="C1876" s="6" t="s">
        <v>6</v>
      </c>
      <c r="D18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6" s="17">
        <v>34.58</v>
      </c>
      <c r="F1876" s="9">
        <v>3.18</v>
      </c>
      <c r="G1876" s="11">
        <v>52.522611486204887</v>
      </c>
      <c r="I1876" s="28"/>
    </row>
    <row r="1877" spans="2:9" x14ac:dyDescent="0.35">
      <c r="B1877" s="16">
        <v>45395</v>
      </c>
      <c r="C1877" s="6" t="s">
        <v>6</v>
      </c>
      <c r="D18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7" s="17">
        <v>35.03</v>
      </c>
      <c r="F1877" s="9">
        <v>2.17</v>
      </c>
      <c r="G1877" s="11">
        <v>53.465290333089015</v>
      </c>
      <c r="I1877" s="28"/>
    </row>
    <row r="1878" spans="2:9" x14ac:dyDescent="0.35">
      <c r="B1878" s="16">
        <v>45397</v>
      </c>
      <c r="C1878" s="6" t="s">
        <v>6</v>
      </c>
      <c r="D18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8" s="17">
        <v>141.4</v>
      </c>
      <c r="F1878" s="9">
        <v>2.0299999999999998</v>
      </c>
      <c r="G1878" s="11">
        <v>53.76760716570697</v>
      </c>
      <c r="I1878" s="28"/>
    </row>
    <row r="1879" spans="2:9" x14ac:dyDescent="0.35">
      <c r="B1879" s="16">
        <v>45398</v>
      </c>
      <c r="C1879" s="6" t="s">
        <v>6</v>
      </c>
      <c r="D18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79" s="17">
        <v>142.47999999999999</v>
      </c>
      <c r="F1879" s="9">
        <v>1.74</v>
      </c>
      <c r="G1879" s="11">
        <v>53.917933855826369</v>
      </c>
      <c r="I1879" s="28"/>
    </row>
    <row r="1880" spans="2:9" x14ac:dyDescent="0.35">
      <c r="B1880" s="16">
        <v>45399</v>
      </c>
      <c r="C1880" s="6" t="s">
        <v>6</v>
      </c>
      <c r="D18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0" s="17">
        <v>35.33</v>
      </c>
      <c r="F1880" s="9">
        <v>3.21</v>
      </c>
      <c r="G1880" s="11">
        <v>52.644881699661994</v>
      </c>
      <c r="I1880" s="28"/>
    </row>
    <row r="1881" spans="2:9" x14ac:dyDescent="0.35">
      <c r="B1881" s="16">
        <v>45400</v>
      </c>
      <c r="C1881" s="6" t="s">
        <v>6</v>
      </c>
      <c r="D18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1" s="17">
        <v>105.23</v>
      </c>
      <c r="F1881" s="9">
        <v>2.67</v>
      </c>
      <c r="G1881" s="11">
        <v>53.057885843034171</v>
      </c>
      <c r="I1881" s="28"/>
    </row>
    <row r="1882" spans="2:9" x14ac:dyDescent="0.35">
      <c r="B1882" s="16">
        <v>45401</v>
      </c>
      <c r="C1882" s="6" t="s">
        <v>6</v>
      </c>
      <c r="D18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2" s="17">
        <v>104.54</v>
      </c>
      <c r="F1882" s="9">
        <v>1.62</v>
      </c>
      <c r="G1882" s="11">
        <v>53.810144089804801</v>
      </c>
      <c r="I1882" s="28"/>
    </row>
    <row r="1883" spans="2:9" x14ac:dyDescent="0.35">
      <c r="B1883" s="16">
        <v>45402</v>
      </c>
      <c r="C1883" s="6" t="s">
        <v>6</v>
      </c>
      <c r="D18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3" s="17">
        <v>173.14</v>
      </c>
      <c r="F1883" s="9">
        <v>2.83</v>
      </c>
      <c r="G1883" s="11">
        <v>52.824052184061351</v>
      </c>
      <c r="I1883" s="28"/>
    </row>
    <row r="1884" spans="2:9" x14ac:dyDescent="0.35">
      <c r="B1884" s="16">
        <v>45404</v>
      </c>
      <c r="C1884" s="6" t="s">
        <v>6</v>
      </c>
      <c r="D18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4" s="17">
        <v>205.8</v>
      </c>
      <c r="F1884" s="9">
        <v>1.75</v>
      </c>
      <c r="G1884" s="11">
        <v>53.787055193087639</v>
      </c>
      <c r="I1884" s="28"/>
    </row>
    <row r="1885" spans="2:9" x14ac:dyDescent="0.35">
      <c r="B1885" s="16">
        <v>45405</v>
      </c>
      <c r="C1885" s="6" t="s">
        <v>6</v>
      </c>
      <c r="D18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5" s="17">
        <v>390.26</v>
      </c>
      <c r="F1885" s="9">
        <v>2.17</v>
      </c>
      <c r="G1885" s="11">
        <v>53.255939211874882</v>
      </c>
      <c r="I1885" s="28"/>
    </row>
    <row r="1886" spans="2:9" x14ac:dyDescent="0.35">
      <c r="B1886" s="16">
        <v>45406</v>
      </c>
      <c r="C1886" s="6" t="s">
        <v>6</v>
      </c>
      <c r="D18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6" s="17">
        <v>208.74</v>
      </c>
      <c r="F1886" s="9">
        <v>2.2550249999999998</v>
      </c>
      <c r="G1886" s="11">
        <v>53.52856344772546</v>
      </c>
      <c r="I1886" s="28"/>
    </row>
    <row r="1887" spans="2:9" x14ac:dyDescent="0.35">
      <c r="B1887" s="16">
        <v>45407</v>
      </c>
      <c r="C1887" s="6" t="s">
        <v>6</v>
      </c>
      <c r="D18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7" s="17">
        <v>240.97</v>
      </c>
      <c r="F1887" s="9">
        <v>2.1293000000000002</v>
      </c>
      <c r="G1887" s="11">
        <v>53.663426228179553</v>
      </c>
      <c r="I1887" s="28"/>
    </row>
    <row r="1888" spans="2:9" x14ac:dyDescent="0.35">
      <c r="B1888" s="16">
        <v>45408</v>
      </c>
      <c r="C1888" s="6" t="s">
        <v>6</v>
      </c>
      <c r="D18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8" s="17">
        <v>211.07</v>
      </c>
      <c r="F1888" s="9">
        <v>1.8136500000000002</v>
      </c>
      <c r="G1888" s="11">
        <v>53.794927003674637</v>
      </c>
      <c r="I1888" s="28"/>
    </row>
    <row r="1889" spans="2:9" x14ac:dyDescent="0.35">
      <c r="B1889" s="16">
        <v>45409</v>
      </c>
      <c r="C1889" s="6" t="s">
        <v>6</v>
      </c>
      <c r="D18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89" s="17">
        <v>244.57</v>
      </c>
      <c r="F1889" s="9">
        <v>2.5225249999999999</v>
      </c>
      <c r="G1889" s="11">
        <v>53.132763109512389</v>
      </c>
      <c r="I1889" s="28"/>
    </row>
    <row r="1890" spans="2:9" x14ac:dyDescent="0.35">
      <c r="B1890" s="16">
        <v>45392</v>
      </c>
      <c r="C1890" s="6" t="s">
        <v>2</v>
      </c>
      <c r="D18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0" s="17">
        <v>183.28</v>
      </c>
      <c r="F1890" s="9">
        <v>0.56000000000000005</v>
      </c>
      <c r="G1890" s="11">
        <v>52.551369180980828</v>
      </c>
      <c r="I1890" s="28"/>
    </row>
    <row r="1891" spans="2:9" x14ac:dyDescent="0.35">
      <c r="B1891" s="16">
        <v>45393</v>
      </c>
      <c r="C1891" s="6" t="s">
        <v>2</v>
      </c>
      <c r="D18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1" s="17">
        <v>207.26</v>
      </c>
      <c r="F1891" s="9">
        <v>0.13</v>
      </c>
      <c r="G1891" s="11">
        <v>54.286134636264926</v>
      </c>
      <c r="I1891" s="28"/>
    </row>
    <row r="1892" spans="2:9" x14ac:dyDescent="0.35">
      <c r="B1892" s="16">
        <v>45394</v>
      </c>
      <c r="C1892" s="6" t="s">
        <v>2</v>
      </c>
      <c r="D18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2" s="17">
        <v>178.66</v>
      </c>
      <c r="F1892" s="9">
        <v>2.12</v>
      </c>
      <c r="G1892" s="11">
        <v>52.792150037384729</v>
      </c>
      <c r="I1892" s="28"/>
    </row>
    <row r="1893" spans="2:9" x14ac:dyDescent="0.35">
      <c r="B1893" s="16">
        <v>45395</v>
      </c>
      <c r="C1893" s="6" t="s">
        <v>2</v>
      </c>
      <c r="D18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3" s="17">
        <v>107.52</v>
      </c>
      <c r="F1893" s="9">
        <v>0.21</v>
      </c>
      <c r="G1893" s="11">
        <v>54.517059426229508</v>
      </c>
      <c r="I1893" s="28"/>
    </row>
    <row r="1894" spans="2:9" x14ac:dyDescent="0.35">
      <c r="B1894" s="16">
        <v>45397</v>
      </c>
      <c r="C1894" s="6" t="s">
        <v>2</v>
      </c>
      <c r="D18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4" s="17">
        <v>131.6</v>
      </c>
      <c r="F1894" s="9">
        <v>1.1499999999999999</v>
      </c>
      <c r="G1894" s="11">
        <v>52.696662923150974</v>
      </c>
      <c r="I1894" s="28"/>
    </row>
    <row r="1895" spans="2:9" x14ac:dyDescent="0.35">
      <c r="B1895" s="16">
        <v>45398</v>
      </c>
      <c r="C1895" s="6" t="s">
        <v>2</v>
      </c>
      <c r="D18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5" s="17">
        <v>198.92</v>
      </c>
      <c r="F1895" s="9">
        <v>0.33</v>
      </c>
      <c r="G1895" s="11">
        <v>53.574933293359322</v>
      </c>
      <c r="I1895" s="28"/>
    </row>
    <row r="1896" spans="2:9" x14ac:dyDescent="0.35">
      <c r="B1896" s="16">
        <v>45399</v>
      </c>
      <c r="C1896" s="6" t="s">
        <v>2</v>
      </c>
      <c r="D18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6" s="17">
        <v>237.76</v>
      </c>
      <c r="F1896" s="9">
        <v>0.76</v>
      </c>
      <c r="G1896" s="11">
        <v>54.083155141409193</v>
      </c>
      <c r="I1896" s="28"/>
    </row>
    <row r="1897" spans="2:9" x14ac:dyDescent="0.35">
      <c r="B1897" s="16">
        <v>45400</v>
      </c>
      <c r="C1897" s="6" t="s">
        <v>2</v>
      </c>
      <c r="D18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7" s="17">
        <v>238.32</v>
      </c>
      <c r="F1897" s="9">
        <v>0.62</v>
      </c>
      <c r="G1897" s="11">
        <v>53.297816629955946</v>
      </c>
      <c r="I1897" s="28"/>
    </row>
    <row r="1898" spans="2:9" x14ac:dyDescent="0.35">
      <c r="B1898" s="16">
        <v>45401</v>
      </c>
      <c r="C1898" s="6" t="s">
        <v>2</v>
      </c>
      <c r="D18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8" s="17">
        <v>285.92</v>
      </c>
      <c r="F1898" s="9">
        <v>0.65</v>
      </c>
      <c r="G1898" s="11">
        <v>53.404547932404022</v>
      </c>
      <c r="I1898" s="28"/>
    </row>
    <row r="1899" spans="2:9" x14ac:dyDescent="0.35">
      <c r="B1899" s="16">
        <v>45402</v>
      </c>
      <c r="C1899" s="6" t="s">
        <v>2</v>
      </c>
      <c r="D18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899" s="17">
        <v>76.66</v>
      </c>
      <c r="F1899" s="9">
        <v>0.47</v>
      </c>
      <c r="G1899" s="11">
        <v>53.639835013748851</v>
      </c>
      <c r="I1899" s="28"/>
    </row>
    <row r="1900" spans="2:9" x14ac:dyDescent="0.35">
      <c r="B1900" s="16">
        <v>45404</v>
      </c>
      <c r="C1900" s="6" t="s">
        <v>2</v>
      </c>
      <c r="D19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0" s="17">
        <v>547.44000000000005</v>
      </c>
      <c r="F1900" s="9">
        <v>3.71</v>
      </c>
      <c r="G1900" s="11">
        <v>51.053005258545134</v>
      </c>
      <c r="I1900" s="28"/>
    </row>
    <row r="1901" spans="2:9" x14ac:dyDescent="0.35">
      <c r="B1901" s="16">
        <v>45405</v>
      </c>
      <c r="C1901" s="6" t="s">
        <v>2</v>
      </c>
      <c r="D19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1" s="17">
        <v>207.1</v>
      </c>
      <c r="F1901" s="9">
        <v>0.33</v>
      </c>
      <c r="G1901" s="11">
        <v>54.013905650941823</v>
      </c>
      <c r="I1901" s="28"/>
    </row>
    <row r="1902" spans="2:9" x14ac:dyDescent="0.35">
      <c r="B1902" s="16">
        <v>45406</v>
      </c>
      <c r="C1902" s="6" t="s">
        <v>2</v>
      </c>
      <c r="D19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2" s="17">
        <v>209.2</v>
      </c>
      <c r="F1902" s="9">
        <v>3.12975</v>
      </c>
      <c r="G1902" s="11">
        <v>47.541521141630042</v>
      </c>
      <c r="I1902" s="28"/>
    </row>
    <row r="1903" spans="2:9" x14ac:dyDescent="0.35">
      <c r="B1903" s="16">
        <v>45407</v>
      </c>
      <c r="C1903" s="6" t="s">
        <v>2</v>
      </c>
      <c r="D19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3" s="17">
        <v>221.78</v>
      </c>
      <c r="F1903" s="9">
        <v>0.21400000000000002</v>
      </c>
      <c r="G1903" s="11">
        <v>54.507684952189223</v>
      </c>
      <c r="I1903" s="28"/>
    </row>
    <row r="1904" spans="2:9" x14ac:dyDescent="0.35">
      <c r="B1904" s="16">
        <v>45408</v>
      </c>
      <c r="C1904" s="6" t="s">
        <v>2</v>
      </c>
      <c r="D19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4" s="17">
        <v>218.82</v>
      </c>
      <c r="F1904" s="9">
        <v>3.1939500000000001</v>
      </c>
      <c r="G1904" s="11">
        <v>50.918353300379472</v>
      </c>
      <c r="I1904" s="28"/>
    </row>
    <row r="1905" spans="2:9" x14ac:dyDescent="0.35">
      <c r="B1905" s="16">
        <v>45409</v>
      </c>
      <c r="C1905" s="6" t="s">
        <v>2</v>
      </c>
      <c r="D19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5" s="17">
        <v>99.9</v>
      </c>
      <c r="F1905" s="9">
        <v>0.51895000000000002</v>
      </c>
      <c r="G1905" s="11">
        <v>53.353492171210902</v>
      </c>
      <c r="I1905" s="28"/>
    </row>
    <row r="1906" spans="2:9" x14ac:dyDescent="0.35">
      <c r="B1906" s="16">
        <v>45415</v>
      </c>
      <c r="C1906" s="6" t="s">
        <v>5</v>
      </c>
      <c r="D19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6" s="17">
        <v>108.23</v>
      </c>
      <c r="F1906" s="9">
        <v>1.55</v>
      </c>
      <c r="G1906" s="11">
        <v>53.162002999500082</v>
      </c>
      <c r="I1906" s="28"/>
    </row>
    <row r="1907" spans="2:9" x14ac:dyDescent="0.35">
      <c r="B1907" s="16">
        <v>45414</v>
      </c>
      <c r="C1907" s="6" t="s">
        <v>3</v>
      </c>
      <c r="D19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7" s="17">
        <v>63.2</v>
      </c>
      <c r="F1907" s="9">
        <v>2.0699999999999998</v>
      </c>
      <c r="G1907" s="11">
        <v>53.377820630039068</v>
      </c>
      <c r="I1907" s="28"/>
    </row>
    <row r="1908" spans="2:9" x14ac:dyDescent="0.35">
      <c r="B1908" s="16">
        <v>45416</v>
      </c>
      <c r="C1908" s="6" t="s">
        <v>3</v>
      </c>
      <c r="D19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8" s="17">
        <v>45.56</v>
      </c>
      <c r="F1908" s="9">
        <v>7.14</v>
      </c>
      <c r="G1908" s="11">
        <v>41.496624240911743</v>
      </c>
      <c r="I1908" s="28"/>
    </row>
    <row r="1909" spans="2:9" x14ac:dyDescent="0.35">
      <c r="B1909" s="16">
        <v>45414</v>
      </c>
      <c r="C1909" s="6" t="s">
        <v>6</v>
      </c>
      <c r="D19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09" s="17">
        <v>175.22</v>
      </c>
      <c r="F1909" s="9">
        <v>1.98</v>
      </c>
      <c r="G1909" s="11">
        <v>53.523550803029046</v>
      </c>
      <c r="I1909" s="28"/>
    </row>
    <row r="1910" spans="2:9" x14ac:dyDescent="0.35">
      <c r="B1910" s="16">
        <v>45415</v>
      </c>
      <c r="C1910" s="6" t="s">
        <v>6</v>
      </c>
      <c r="D19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0" s="17">
        <v>311.68</v>
      </c>
      <c r="F1910" s="9">
        <v>1.75</v>
      </c>
      <c r="G1910" s="11">
        <v>53.973545537871843</v>
      </c>
      <c r="I1910" s="28"/>
    </row>
    <row r="1911" spans="2:9" x14ac:dyDescent="0.35">
      <c r="B1911" s="16">
        <v>45416</v>
      </c>
      <c r="C1911" s="6" t="s">
        <v>6</v>
      </c>
      <c r="D19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1" s="17">
        <v>205.58</v>
      </c>
      <c r="F1911" s="9">
        <v>1.79</v>
      </c>
      <c r="G1911" s="11">
        <v>54.140821056116536</v>
      </c>
      <c r="I1911" s="28"/>
    </row>
    <row r="1912" spans="2:9" x14ac:dyDescent="0.35">
      <c r="B1912" s="16">
        <v>45414</v>
      </c>
      <c r="C1912" s="6" t="s">
        <v>2</v>
      </c>
      <c r="D19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2" s="17">
        <v>308.36</v>
      </c>
      <c r="F1912" s="9">
        <v>1.1100000000000001</v>
      </c>
      <c r="G1912" s="11">
        <v>48.765109246489992</v>
      </c>
      <c r="I1912" s="28"/>
    </row>
    <row r="1913" spans="2:9" x14ac:dyDescent="0.35">
      <c r="B1913" s="16">
        <v>45415</v>
      </c>
      <c r="C1913" s="6" t="s">
        <v>2</v>
      </c>
      <c r="D19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3" s="17">
        <v>267.64</v>
      </c>
      <c r="F1913" s="9">
        <v>0.4</v>
      </c>
      <c r="G1913" s="11">
        <v>53.870282405864714</v>
      </c>
      <c r="I1913" s="28"/>
    </row>
    <row r="1914" spans="2:9" x14ac:dyDescent="0.35">
      <c r="B1914" s="16">
        <v>45416</v>
      </c>
      <c r="C1914" s="6" t="s">
        <v>2</v>
      </c>
      <c r="D19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4" s="17">
        <v>104.66</v>
      </c>
      <c r="F1914" s="9">
        <v>0.28000000000000003</v>
      </c>
      <c r="G1914" s="11">
        <v>54.573006753939801</v>
      </c>
      <c r="I1914" s="28"/>
    </row>
    <row r="1915" spans="2:9" x14ac:dyDescent="0.35">
      <c r="B1915" s="4">
        <v>45419</v>
      </c>
      <c r="C1915" s="6" t="s">
        <v>5</v>
      </c>
      <c r="D19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5" s="17">
        <v>168.94</v>
      </c>
      <c r="F1915" s="9">
        <v>2.4476250000000004</v>
      </c>
      <c r="G1915" s="10">
        <v>52.779733567247071</v>
      </c>
      <c r="I1915" s="28"/>
    </row>
    <row r="1916" spans="2:9" x14ac:dyDescent="0.35">
      <c r="B1916" s="4">
        <v>45418</v>
      </c>
      <c r="C1916" s="6" t="s">
        <v>6</v>
      </c>
      <c r="D19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6" s="17">
        <v>312.75</v>
      </c>
      <c r="F1916" s="9">
        <v>1.88</v>
      </c>
      <c r="G1916" s="10">
        <v>53.702427184466025</v>
      </c>
      <c r="I1916" s="28"/>
    </row>
    <row r="1917" spans="2:9" x14ac:dyDescent="0.35">
      <c r="B1917" s="4">
        <v>45419</v>
      </c>
      <c r="C1917" s="6" t="s">
        <v>6</v>
      </c>
      <c r="D19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7" s="17">
        <v>141.47999999999999</v>
      </c>
      <c r="F1917" s="9">
        <v>1.8323750000000001</v>
      </c>
      <c r="G1917" s="10">
        <v>53.967472978382702</v>
      </c>
      <c r="I1917" s="28"/>
    </row>
    <row r="1918" spans="2:9" x14ac:dyDescent="0.35">
      <c r="B1918" s="4">
        <v>45420</v>
      </c>
      <c r="C1918" s="6" t="s">
        <v>6</v>
      </c>
      <c r="D19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8" s="17">
        <v>140.68</v>
      </c>
      <c r="F1918" s="9">
        <v>2</v>
      </c>
      <c r="G1918" s="10">
        <v>53.693222203974379</v>
      </c>
      <c r="I1918" s="28"/>
    </row>
    <row r="1919" spans="2:9" x14ac:dyDescent="0.35">
      <c r="B1919" s="4">
        <v>45418</v>
      </c>
      <c r="C1919" s="6" t="s">
        <v>2</v>
      </c>
      <c r="D19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19" s="17">
        <v>166.7</v>
      </c>
      <c r="F1919" s="9">
        <v>0.33</v>
      </c>
      <c r="G1919" s="11">
        <v>54.138667279411763</v>
      </c>
      <c r="I1919" s="28"/>
    </row>
    <row r="1920" spans="2:9" x14ac:dyDescent="0.35">
      <c r="B1920" s="4">
        <v>45419</v>
      </c>
      <c r="C1920" s="6" t="s">
        <v>2</v>
      </c>
      <c r="D19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0" s="17">
        <v>206.52</v>
      </c>
      <c r="F1920" s="9">
        <v>2.1052250000000003</v>
      </c>
      <c r="G1920" s="11">
        <v>52.937211422082463</v>
      </c>
      <c r="I1920" s="28"/>
    </row>
    <row r="1921" spans="2:9" x14ac:dyDescent="0.35">
      <c r="B1921" s="4">
        <v>45420</v>
      </c>
      <c r="C1921" s="6" t="s">
        <v>2</v>
      </c>
      <c r="D19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1" s="17">
        <v>192.9</v>
      </c>
      <c r="F1921" s="9">
        <v>0.1</v>
      </c>
      <c r="G1921" s="11">
        <v>54.632523659305988</v>
      </c>
      <c r="I1921" s="28"/>
    </row>
    <row r="1922" spans="2:9" x14ac:dyDescent="0.35">
      <c r="B1922" s="16">
        <v>45419</v>
      </c>
      <c r="C1922" s="6" t="s">
        <v>5</v>
      </c>
      <c r="D19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2" s="17">
        <v>168.94</v>
      </c>
      <c r="F1922" s="9">
        <v>2.4476250000000004</v>
      </c>
      <c r="G1922" s="10">
        <v>52.779733567247071</v>
      </c>
      <c r="I1922" s="28"/>
    </row>
    <row r="1923" spans="2:9" x14ac:dyDescent="0.35">
      <c r="B1923" s="16">
        <v>45421</v>
      </c>
      <c r="C1923" s="6" t="s">
        <v>5</v>
      </c>
      <c r="D19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3" s="17">
        <v>162.91</v>
      </c>
      <c r="F1923" s="9">
        <v>0.59</v>
      </c>
      <c r="G1923" s="10">
        <v>54.410856192851213</v>
      </c>
      <c r="I1923" s="28"/>
    </row>
    <row r="1924" spans="2:9" x14ac:dyDescent="0.35">
      <c r="B1924" s="16">
        <v>45423</v>
      </c>
      <c r="C1924" s="6" t="s">
        <v>5</v>
      </c>
      <c r="D19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4" s="17">
        <v>136.88999999999999</v>
      </c>
      <c r="F1924" s="9">
        <v>0.3</v>
      </c>
      <c r="G1924" s="10">
        <v>53.247262610673381</v>
      </c>
      <c r="I1924" s="28"/>
    </row>
    <row r="1925" spans="2:9" x14ac:dyDescent="0.35">
      <c r="B1925" s="16">
        <v>45426</v>
      </c>
      <c r="C1925" s="6" t="s">
        <v>5</v>
      </c>
      <c r="D19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5" s="17">
        <v>138.88</v>
      </c>
      <c r="F1925" s="9">
        <v>1.59</v>
      </c>
      <c r="G1925" s="10">
        <v>53.38477638640429</v>
      </c>
      <c r="I1925" s="28"/>
    </row>
    <row r="1926" spans="2:9" x14ac:dyDescent="0.35">
      <c r="B1926" s="16">
        <v>45426</v>
      </c>
      <c r="C1926" s="6" t="s">
        <v>3</v>
      </c>
      <c r="D19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6" s="17">
        <v>67.459999999999994</v>
      </c>
      <c r="F1926" s="11">
        <v>6.69</v>
      </c>
      <c r="G1926" s="11">
        <v>47.953670362972659</v>
      </c>
      <c r="I1926" s="28"/>
    </row>
    <row r="1927" spans="2:9" x14ac:dyDescent="0.35">
      <c r="B1927" s="16">
        <v>45421</v>
      </c>
      <c r="C1927" s="6" t="s">
        <v>6</v>
      </c>
      <c r="D19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7" s="17">
        <v>34.96</v>
      </c>
      <c r="F1927" s="9">
        <v>3.24</v>
      </c>
      <c r="G1927" s="10">
        <v>52.296437178663233</v>
      </c>
      <c r="I1927" s="28"/>
    </row>
    <row r="1928" spans="2:9" x14ac:dyDescent="0.35">
      <c r="B1928" s="16">
        <v>45422</v>
      </c>
      <c r="C1928" s="6" t="s">
        <v>6</v>
      </c>
      <c r="D19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8" s="17">
        <v>105.6</v>
      </c>
      <c r="F1928" s="9">
        <v>1.57</v>
      </c>
      <c r="G1928" s="10">
        <v>53.812857142857148</v>
      </c>
      <c r="I1928" s="28"/>
    </row>
    <row r="1929" spans="2:9" x14ac:dyDescent="0.35">
      <c r="B1929" s="16">
        <v>45423</v>
      </c>
      <c r="C1929" s="6" t="s">
        <v>6</v>
      </c>
      <c r="D19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29" s="17">
        <v>340.24</v>
      </c>
      <c r="F1929" s="9">
        <v>1.7</v>
      </c>
      <c r="G1929" s="10">
        <v>53.890168313208925</v>
      </c>
      <c r="I1929" s="28"/>
    </row>
    <row r="1930" spans="2:9" x14ac:dyDescent="0.35">
      <c r="B1930" s="16">
        <v>45426</v>
      </c>
      <c r="C1930" s="6" t="s">
        <v>6</v>
      </c>
      <c r="D19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0" s="17">
        <v>104.27</v>
      </c>
      <c r="F1930" s="9">
        <v>2.17</v>
      </c>
      <c r="G1930" s="10">
        <v>53.395528387204827</v>
      </c>
      <c r="I1930" s="28"/>
    </row>
    <row r="1931" spans="2:9" x14ac:dyDescent="0.35">
      <c r="B1931" s="16">
        <v>45421</v>
      </c>
      <c r="C1931" s="6" t="s">
        <v>2</v>
      </c>
      <c r="D19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1" s="17">
        <v>242.74</v>
      </c>
      <c r="F1931" s="9">
        <v>0.71</v>
      </c>
      <c r="G1931" s="11">
        <v>53.353501374885425</v>
      </c>
      <c r="I1931" s="28"/>
    </row>
    <row r="1932" spans="2:9" x14ac:dyDescent="0.35">
      <c r="B1932" s="16">
        <v>45422</v>
      </c>
      <c r="C1932" s="6" t="s">
        <v>2</v>
      </c>
      <c r="D19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2" s="17">
        <v>209.42</v>
      </c>
      <c r="F1932" s="9">
        <v>0.56000000000000005</v>
      </c>
      <c r="G1932" s="11">
        <v>53.359388297872343</v>
      </c>
      <c r="I1932" s="28"/>
    </row>
    <row r="1933" spans="2:9" x14ac:dyDescent="0.35">
      <c r="B1933" s="16">
        <v>45426</v>
      </c>
      <c r="C1933" s="6" t="s">
        <v>2</v>
      </c>
      <c r="D19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3" s="17">
        <v>204.6</v>
      </c>
      <c r="F1933" s="9">
        <v>2.09</v>
      </c>
      <c r="G1933" s="11">
        <v>51.932269018379628</v>
      </c>
      <c r="I1933" s="28"/>
    </row>
    <row r="1934" spans="2:9" x14ac:dyDescent="0.35">
      <c r="B1934" s="16">
        <v>45428</v>
      </c>
      <c r="C1934" s="6" t="s">
        <v>5</v>
      </c>
      <c r="D19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4" s="17">
        <v>172.55</v>
      </c>
      <c r="F1934" s="9">
        <v>1.06</v>
      </c>
      <c r="G1934" s="10">
        <v>54.374311880775949</v>
      </c>
      <c r="I1934" s="28"/>
    </row>
    <row r="1935" spans="2:9" x14ac:dyDescent="0.35">
      <c r="B1935" s="16">
        <v>45430</v>
      </c>
      <c r="C1935" s="6" t="s">
        <v>5</v>
      </c>
      <c r="D19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5" s="17">
        <v>175.03</v>
      </c>
      <c r="F1935" s="9">
        <v>1.22</v>
      </c>
      <c r="G1935" s="10">
        <v>53.394041599426217</v>
      </c>
      <c r="I1935" s="28"/>
    </row>
    <row r="1936" spans="2:9" x14ac:dyDescent="0.35">
      <c r="B1936" s="16">
        <v>45427</v>
      </c>
      <c r="C1936" s="6" t="s">
        <v>3</v>
      </c>
      <c r="D19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6" s="17">
        <v>120.36</v>
      </c>
      <c r="F1936" s="11">
        <v>3.84</v>
      </c>
      <c r="G1936" s="11">
        <v>52.105725583961743</v>
      </c>
      <c r="I1936" s="28"/>
    </row>
    <row r="1937" spans="2:9" x14ac:dyDescent="0.35">
      <c r="B1937" s="16">
        <v>45428</v>
      </c>
      <c r="C1937" s="6" t="s">
        <v>3</v>
      </c>
      <c r="D19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7" s="17">
        <v>88.24</v>
      </c>
      <c r="F1937" s="11">
        <v>4.3499999999999996</v>
      </c>
      <c r="G1937" s="11">
        <v>45.1670762182424</v>
      </c>
      <c r="I1937" s="28"/>
    </row>
    <row r="1938" spans="2:9" x14ac:dyDescent="0.35">
      <c r="B1938" s="16">
        <v>45429</v>
      </c>
      <c r="C1938" s="6" t="s">
        <v>3</v>
      </c>
      <c r="D19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8" s="17">
        <v>112.08</v>
      </c>
      <c r="F1938" s="11">
        <v>3.86</v>
      </c>
      <c r="G1938" s="11">
        <v>50.445</v>
      </c>
      <c r="I1938" s="28"/>
    </row>
    <row r="1939" spans="2:9" x14ac:dyDescent="0.35">
      <c r="B1939" s="16">
        <v>45430</v>
      </c>
      <c r="C1939" s="6" t="s">
        <v>3</v>
      </c>
      <c r="D19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39" s="17">
        <v>23.82</v>
      </c>
      <c r="F1939" s="11">
        <v>4.53</v>
      </c>
      <c r="G1939" s="11">
        <v>46.06102641583</v>
      </c>
      <c r="I1939" s="28"/>
    </row>
    <row r="1940" spans="2:9" x14ac:dyDescent="0.35">
      <c r="B1940" s="16">
        <v>45427</v>
      </c>
      <c r="C1940" s="6" t="s">
        <v>6</v>
      </c>
      <c r="D19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0" s="17">
        <v>172.56</v>
      </c>
      <c r="F1940" s="9">
        <v>2.67</v>
      </c>
      <c r="G1940" s="10">
        <v>53.14250287026406</v>
      </c>
      <c r="I1940" s="28"/>
    </row>
    <row r="1941" spans="2:9" x14ac:dyDescent="0.35">
      <c r="B1941" s="16">
        <v>45429</v>
      </c>
      <c r="C1941" s="6" t="s">
        <v>6</v>
      </c>
      <c r="D19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1" s="17">
        <v>173.7</v>
      </c>
      <c r="F1941" s="9">
        <v>3.72</v>
      </c>
      <c r="G1941" s="10">
        <v>51.935118110236218</v>
      </c>
      <c r="I1941" s="28"/>
    </row>
    <row r="1942" spans="2:9" x14ac:dyDescent="0.35">
      <c r="B1942" s="16">
        <v>45430</v>
      </c>
      <c r="C1942" s="6" t="s">
        <v>6</v>
      </c>
      <c r="D19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2" s="17">
        <v>104.1</v>
      </c>
      <c r="F1942" s="9">
        <v>2.74</v>
      </c>
      <c r="G1942" s="10">
        <v>52.278000904568067</v>
      </c>
      <c r="I1942" s="28"/>
    </row>
    <row r="1943" spans="2:9" x14ac:dyDescent="0.35">
      <c r="B1943" s="16">
        <v>45427</v>
      </c>
      <c r="C1943" s="6" t="s">
        <v>2</v>
      </c>
      <c r="D19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3" s="17">
        <v>255.62</v>
      </c>
      <c r="F1943" s="9">
        <v>2.12</v>
      </c>
      <c r="G1943" s="11">
        <v>49.91045417010735</v>
      </c>
      <c r="I1943" s="28"/>
    </row>
    <row r="1944" spans="2:9" x14ac:dyDescent="0.35">
      <c r="B1944" s="16">
        <v>45428</v>
      </c>
      <c r="C1944" s="6" t="s">
        <v>2</v>
      </c>
      <c r="D19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4" s="17">
        <v>338.26</v>
      </c>
      <c r="F1944" s="9">
        <v>4.72</v>
      </c>
      <c r="G1944" s="11">
        <v>48.58269580448745</v>
      </c>
      <c r="I1944" s="28"/>
    </row>
    <row r="1945" spans="2:9" x14ac:dyDescent="0.35">
      <c r="B1945" s="16">
        <v>45429</v>
      </c>
      <c r="C1945" s="6" t="s">
        <v>2</v>
      </c>
      <c r="D19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5" s="17">
        <v>340.62</v>
      </c>
      <c r="F1945" s="9">
        <v>0.33</v>
      </c>
      <c r="G1945" s="11">
        <v>53.606461015079077</v>
      </c>
      <c r="I1945" s="28"/>
    </row>
    <row r="1946" spans="2:9" x14ac:dyDescent="0.35">
      <c r="B1946" s="16">
        <v>45430</v>
      </c>
      <c r="C1946" s="6" t="s">
        <v>2</v>
      </c>
      <c r="D19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6" s="17">
        <v>341.42</v>
      </c>
      <c r="F1946" s="9">
        <v>0.31</v>
      </c>
      <c r="G1946" s="11">
        <v>54.207476194103748</v>
      </c>
      <c r="I1946" s="28"/>
    </row>
    <row r="1947" spans="2:9" x14ac:dyDescent="0.35">
      <c r="B1947" s="4">
        <v>45433</v>
      </c>
      <c r="C1947" s="6" t="s">
        <v>5</v>
      </c>
      <c r="D19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7" s="17">
        <v>267.19</v>
      </c>
      <c r="F1947" s="9">
        <v>1.62</v>
      </c>
      <c r="G1947" s="10">
        <v>53.724299236398345</v>
      </c>
      <c r="I1947" s="28"/>
    </row>
    <row r="1948" spans="2:9" x14ac:dyDescent="0.35">
      <c r="B1948" s="16">
        <v>45433</v>
      </c>
      <c r="C1948" s="6" t="s">
        <v>3</v>
      </c>
      <c r="D19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8" s="17">
        <v>90.24</v>
      </c>
      <c r="F1948" s="11">
        <v>12.65</v>
      </c>
      <c r="G1948" s="11">
        <v>40.460322906155398</v>
      </c>
      <c r="I1948" s="28"/>
    </row>
    <row r="1949" spans="2:9" x14ac:dyDescent="0.35">
      <c r="B1949" s="16">
        <v>45434</v>
      </c>
      <c r="C1949" s="6" t="s">
        <v>3</v>
      </c>
      <c r="D19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49" s="17">
        <v>71.62</v>
      </c>
      <c r="F1949" s="11">
        <v>3.45</v>
      </c>
      <c r="G1949" s="11">
        <v>52.009353764157225</v>
      </c>
      <c r="I1949" s="28"/>
    </row>
    <row r="1950" spans="2:9" x14ac:dyDescent="0.35">
      <c r="B1950" s="16">
        <v>45432</v>
      </c>
      <c r="C1950" s="6" t="s">
        <v>6</v>
      </c>
      <c r="D19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0" s="17">
        <v>162.44999999999999</v>
      </c>
      <c r="F1950" s="9">
        <v>3.42</v>
      </c>
      <c r="G1950" s="10">
        <v>52.320689655172416</v>
      </c>
      <c r="I1950" s="28"/>
    </row>
    <row r="1951" spans="2:9" x14ac:dyDescent="0.35">
      <c r="B1951" s="16">
        <v>45433</v>
      </c>
      <c r="C1951" s="6" t="s">
        <v>6</v>
      </c>
      <c r="D19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1" s="17">
        <v>228.91</v>
      </c>
      <c r="F1951" s="9">
        <v>2.79</v>
      </c>
      <c r="G1951" s="10">
        <v>52.0904205900816</v>
      </c>
      <c r="I1951" s="28"/>
    </row>
    <row r="1952" spans="2:9" x14ac:dyDescent="0.35">
      <c r="B1952" s="16">
        <v>45434</v>
      </c>
      <c r="C1952" s="6" t="s">
        <v>6</v>
      </c>
      <c r="D19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2" s="17">
        <v>326.14</v>
      </c>
      <c r="F1952" s="9">
        <v>2.06</v>
      </c>
      <c r="G1952" s="10">
        <v>53.401869844179657</v>
      </c>
      <c r="I1952" s="28"/>
    </row>
    <row r="1953" spans="2:9" x14ac:dyDescent="0.35">
      <c r="B1953" s="16">
        <v>45432</v>
      </c>
      <c r="C1953" s="6" t="s">
        <v>2</v>
      </c>
      <c r="D19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3" s="17">
        <v>241.12</v>
      </c>
      <c r="F1953" s="9">
        <v>1.3</v>
      </c>
      <c r="G1953" s="11">
        <v>53.104342689726863</v>
      </c>
      <c r="I1953" s="28"/>
    </row>
    <row r="1954" spans="2:9" x14ac:dyDescent="0.35">
      <c r="B1954" s="16">
        <v>45433</v>
      </c>
      <c r="C1954" s="6" t="s">
        <v>2</v>
      </c>
      <c r="D19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4" s="17">
        <v>259.54000000000002</v>
      </c>
      <c r="F1954" s="9">
        <v>1.63</v>
      </c>
      <c r="G1954" s="11">
        <v>52.490753686897335</v>
      </c>
      <c r="I1954" s="28"/>
    </row>
    <row r="1955" spans="2:9" x14ac:dyDescent="0.35">
      <c r="B1955" s="16">
        <v>45434</v>
      </c>
      <c r="C1955" s="6" t="s">
        <v>2</v>
      </c>
      <c r="D19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5" s="17">
        <v>305.94</v>
      </c>
      <c r="F1955" s="9">
        <v>1.9</v>
      </c>
      <c r="G1955" s="11">
        <v>53.027404021937848</v>
      </c>
      <c r="I1955" s="28"/>
    </row>
    <row r="1956" spans="2:9" x14ac:dyDescent="0.35">
      <c r="B1956" s="16">
        <v>45433</v>
      </c>
      <c r="C1956" s="6" t="s">
        <v>5</v>
      </c>
      <c r="D19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6" s="17">
        <v>167.19</v>
      </c>
      <c r="F1956" s="9">
        <v>1.62</v>
      </c>
      <c r="G1956" s="10">
        <v>53.724299236398345</v>
      </c>
      <c r="I1956" s="28"/>
    </row>
    <row r="1957" spans="2:9" x14ac:dyDescent="0.35">
      <c r="B1957" s="16">
        <v>45435</v>
      </c>
      <c r="C1957" s="6" t="s">
        <v>5</v>
      </c>
      <c r="D19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7" s="17">
        <v>100.72</v>
      </c>
      <c r="F1957" s="9">
        <v>2.1</v>
      </c>
      <c r="G1957" s="10">
        <v>53.409350270720537</v>
      </c>
      <c r="I1957" s="28"/>
    </row>
    <row r="1958" spans="2:9" x14ac:dyDescent="0.35">
      <c r="B1958" s="16">
        <v>45437</v>
      </c>
      <c r="C1958" s="6" t="s">
        <v>5</v>
      </c>
      <c r="D19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8" s="17">
        <v>160.53</v>
      </c>
      <c r="F1958" s="9">
        <v>4.8600000000000003</v>
      </c>
      <c r="G1958" s="10">
        <v>51.132974985359319</v>
      </c>
      <c r="I1958" s="28"/>
    </row>
    <row r="1959" spans="2:9" x14ac:dyDescent="0.35">
      <c r="B1959" s="16">
        <v>45441</v>
      </c>
      <c r="C1959" s="6" t="s">
        <v>5</v>
      </c>
      <c r="D19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59" s="17">
        <v>172.38</v>
      </c>
      <c r="F1959" s="9">
        <v>0.26</v>
      </c>
      <c r="G1959" s="10">
        <v>54.610489884634681</v>
      </c>
      <c r="I1959" s="28"/>
    </row>
    <row r="1960" spans="2:9" x14ac:dyDescent="0.35">
      <c r="B1960" s="16">
        <v>45436</v>
      </c>
      <c r="C1960" s="6" t="s">
        <v>3</v>
      </c>
      <c r="D19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0" s="17">
        <v>47.82</v>
      </c>
      <c r="F1960" s="11">
        <v>3.4</v>
      </c>
      <c r="G1960" s="11">
        <v>45.610660341475565</v>
      </c>
      <c r="I1960" s="28"/>
    </row>
    <row r="1961" spans="2:9" x14ac:dyDescent="0.35">
      <c r="B1961" s="16">
        <v>45437</v>
      </c>
      <c r="C1961" s="6" t="s">
        <v>3</v>
      </c>
      <c r="D19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1" s="17">
        <v>44.91</v>
      </c>
      <c r="F1961" s="11">
        <v>3.47</v>
      </c>
      <c r="G1961" s="11">
        <v>51.317022411063903</v>
      </c>
      <c r="I1961" s="28"/>
    </row>
    <row r="1962" spans="2:9" x14ac:dyDescent="0.35">
      <c r="B1962" s="16">
        <v>45439</v>
      </c>
      <c r="C1962" s="6" t="s">
        <v>3</v>
      </c>
      <c r="D19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2" s="17">
        <v>91.32</v>
      </c>
      <c r="F1962" s="11">
        <v>4.71</v>
      </c>
      <c r="G1962" s="11">
        <v>48.353040940164377</v>
      </c>
      <c r="I1962" s="28"/>
    </row>
    <row r="1963" spans="2:9" x14ac:dyDescent="0.35">
      <c r="B1963" s="16">
        <v>45440</v>
      </c>
      <c r="C1963" s="6" t="s">
        <v>3</v>
      </c>
      <c r="D19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3" s="17">
        <v>138.94999999999999</v>
      </c>
      <c r="F1963" s="11">
        <v>2.34</v>
      </c>
      <c r="G1963" s="11">
        <v>53.259785886861614</v>
      </c>
      <c r="I1963" s="28"/>
    </row>
    <row r="1964" spans="2:9" x14ac:dyDescent="0.35">
      <c r="B1964" s="16">
        <v>45441</v>
      </c>
      <c r="C1964" s="6" t="s">
        <v>3</v>
      </c>
      <c r="D19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4" s="17">
        <v>42.66</v>
      </c>
      <c r="F1964" s="11">
        <v>3</v>
      </c>
      <c r="G1964" s="11">
        <v>51.403333333333336</v>
      </c>
      <c r="I1964" s="28"/>
    </row>
    <row r="1965" spans="2:9" x14ac:dyDescent="0.35">
      <c r="B1965" s="16">
        <v>45442</v>
      </c>
      <c r="C1965" s="6" t="s">
        <v>3</v>
      </c>
      <c r="D19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5" s="17">
        <v>68.62</v>
      </c>
      <c r="F1965" s="11">
        <v>2.73</v>
      </c>
      <c r="G1965" s="11">
        <v>52.706270297277037</v>
      </c>
      <c r="I1965" s="28"/>
    </row>
    <row r="1966" spans="2:9" x14ac:dyDescent="0.35">
      <c r="B1966" s="16">
        <v>45435</v>
      </c>
      <c r="C1966" s="6" t="s">
        <v>6</v>
      </c>
      <c r="D19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6" s="17">
        <v>193.79</v>
      </c>
      <c r="F1966" s="9">
        <v>3.14</v>
      </c>
      <c r="G1966" s="10">
        <v>51.053075514112066</v>
      </c>
      <c r="I1966" s="28"/>
    </row>
    <row r="1967" spans="2:9" x14ac:dyDescent="0.35">
      <c r="B1967" s="16">
        <v>45436</v>
      </c>
      <c r="C1967" s="6" t="s">
        <v>6</v>
      </c>
      <c r="D19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7" s="17">
        <v>209.75</v>
      </c>
      <c r="F1967" s="9">
        <v>3.4775</v>
      </c>
      <c r="G1967" s="10">
        <v>51.660374760996184</v>
      </c>
      <c r="I1967" s="28"/>
    </row>
    <row r="1968" spans="2:9" x14ac:dyDescent="0.35">
      <c r="B1968" s="16">
        <v>45437</v>
      </c>
      <c r="C1968" s="6" t="s">
        <v>6</v>
      </c>
      <c r="D19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8" s="17">
        <v>200.92</v>
      </c>
      <c r="F1968" s="9">
        <v>2.82</v>
      </c>
      <c r="G1968" s="10">
        <v>52.3397875</v>
      </c>
      <c r="I1968" s="28"/>
    </row>
    <row r="1969" spans="2:9" x14ac:dyDescent="0.35">
      <c r="B1969" s="16">
        <v>45439</v>
      </c>
      <c r="C1969" s="6" t="s">
        <v>6</v>
      </c>
      <c r="D19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69" s="17">
        <v>255.33</v>
      </c>
      <c r="F1969" s="9">
        <v>1.1399999999999999</v>
      </c>
      <c r="G1969" s="10">
        <v>50.90214132269449</v>
      </c>
      <c r="I1969" s="28"/>
    </row>
    <row r="1970" spans="2:9" x14ac:dyDescent="0.35">
      <c r="B1970" s="16">
        <v>45440</v>
      </c>
      <c r="C1970" s="6" t="s">
        <v>6</v>
      </c>
      <c r="D19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0" s="17">
        <v>222.53</v>
      </c>
      <c r="F1970" s="9">
        <v>1.83</v>
      </c>
      <c r="G1970" s="10">
        <v>53.258056828597617</v>
      </c>
      <c r="I1970" s="28"/>
    </row>
    <row r="1971" spans="2:9" x14ac:dyDescent="0.35">
      <c r="B1971" s="16">
        <v>45441</v>
      </c>
      <c r="C1971" s="6" t="s">
        <v>6</v>
      </c>
      <c r="D19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1" s="17">
        <v>287.99</v>
      </c>
      <c r="F1971" s="9">
        <v>3.8</v>
      </c>
      <c r="G1971" s="10">
        <v>51.79889</v>
      </c>
      <c r="I1971" s="28"/>
    </row>
    <row r="1972" spans="2:9" x14ac:dyDescent="0.35">
      <c r="B1972" s="16">
        <v>45442</v>
      </c>
      <c r="C1972" s="6" t="s">
        <v>6</v>
      </c>
      <c r="D19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2" s="17">
        <v>186.7</v>
      </c>
      <c r="F1972" s="9">
        <v>2.1800000000000002</v>
      </c>
      <c r="G1972" s="10">
        <v>53.145831051365036</v>
      </c>
      <c r="I1972" s="28"/>
    </row>
    <row r="1973" spans="2:9" x14ac:dyDescent="0.35">
      <c r="B1973" s="16">
        <v>45435</v>
      </c>
      <c r="C1973" s="6" t="s">
        <v>2</v>
      </c>
      <c r="D19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3" s="17">
        <v>285.82</v>
      </c>
      <c r="F1973" s="9">
        <v>1.99</v>
      </c>
      <c r="G1973" s="11">
        <v>48.834839193467751</v>
      </c>
      <c r="I1973" s="28"/>
    </row>
    <row r="1974" spans="2:9" ht="15.65" customHeight="1" x14ac:dyDescent="0.35">
      <c r="B1974" s="16">
        <v>45443</v>
      </c>
      <c r="C1974" s="6" t="s">
        <v>5</v>
      </c>
      <c r="D19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4" s="17">
        <v>169.06</v>
      </c>
      <c r="F1974" s="9">
        <v>2.75</v>
      </c>
      <c r="G1974" s="10">
        <v>53.078528922872337</v>
      </c>
      <c r="I1974" s="28"/>
    </row>
    <row r="1975" spans="2:9" x14ac:dyDescent="0.35">
      <c r="B1975" s="16">
        <v>45447</v>
      </c>
      <c r="C1975" s="6" t="s">
        <v>5</v>
      </c>
      <c r="D19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5" s="17">
        <v>170.61</v>
      </c>
      <c r="F1975" s="9">
        <v>2.7</v>
      </c>
      <c r="G1975" s="10">
        <v>52.157418257710447</v>
      </c>
      <c r="I1975" s="28"/>
    </row>
    <row r="1976" spans="2:9" x14ac:dyDescent="0.35">
      <c r="B1976" s="16">
        <v>45443</v>
      </c>
      <c r="C1976" s="6" t="s">
        <v>3</v>
      </c>
      <c r="D19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6" s="17">
        <v>44.13</v>
      </c>
      <c r="F1976" s="11">
        <v>1.96</v>
      </c>
      <c r="G1976" s="11">
        <v>52.974823239243626</v>
      </c>
      <c r="I1976" s="28"/>
    </row>
    <row r="1977" spans="2:9" x14ac:dyDescent="0.35">
      <c r="B1977" s="16">
        <v>45443</v>
      </c>
      <c r="C1977" s="6" t="s">
        <v>6</v>
      </c>
      <c r="D19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7" s="17">
        <v>203.77</v>
      </c>
      <c r="F1977" s="9">
        <v>2.75</v>
      </c>
      <c r="G1977" s="10">
        <v>53.078528922872337</v>
      </c>
      <c r="I1977" s="28"/>
    </row>
    <row r="1978" spans="2:9" x14ac:dyDescent="0.35">
      <c r="B1978" s="16">
        <v>45444</v>
      </c>
      <c r="C1978" s="6" t="s">
        <v>6</v>
      </c>
      <c r="D19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8" s="17">
        <v>138.74</v>
      </c>
      <c r="F1978" s="9">
        <v>1.38</v>
      </c>
      <c r="G1978" s="10">
        <v>53.492442480826938</v>
      </c>
      <c r="I1978" s="28"/>
    </row>
    <row r="1979" spans="2:9" x14ac:dyDescent="0.35">
      <c r="B1979" s="16">
        <v>45447</v>
      </c>
      <c r="C1979" s="6" t="s">
        <v>6</v>
      </c>
      <c r="D19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79" s="17">
        <v>33.880000000000003</v>
      </c>
      <c r="F1979" s="9">
        <v>2.7</v>
      </c>
      <c r="G1979" s="10">
        <v>52.157418257710447</v>
      </c>
      <c r="I1979" s="28"/>
    </row>
    <row r="1980" spans="2:9" x14ac:dyDescent="0.35">
      <c r="B1980" s="16">
        <v>45447</v>
      </c>
      <c r="C1980" s="6" t="s">
        <v>2</v>
      </c>
      <c r="D19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0" s="17">
        <v>170.61</v>
      </c>
      <c r="F1980" s="9">
        <v>0.65</v>
      </c>
      <c r="G1980" s="11">
        <v>53.62443099273608</v>
      </c>
      <c r="I1980" s="28"/>
    </row>
    <row r="1981" spans="2:9" x14ac:dyDescent="0.35">
      <c r="B1981" s="16">
        <v>45449</v>
      </c>
      <c r="C1981" s="6" t="s">
        <v>5</v>
      </c>
      <c r="D19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1" s="17">
        <v>170.61</v>
      </c>
      <c r="F1981" s="9">
        <v>2.4700000000000002</v>
      </c>
      <c r="G1981" s="10">
        <v>50.996043418437544</v>
      </c>
      <c r="I1981" s="28"/>
    </row>
    <row r="1982" spans="2:9" x14ac:dyDescent="0.35">
      <c r="B1982" s="16">
        <v>45451</v>
      </c>
      <c r="C1982" s="6" t="s">
        <v>5</v>
      </c>
      <c r="D19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2" s="17">
        <v>170.74</v>
      </c>
      <c r="F1982" s="9">
        <v>0.95</v>
      </c>
      <c r="G1982" s="10">
        <v>53.918172580376478</v>
      </c>
      <c r="I1982" s="28"/>
    </row>
    <row r="1983" spans="2:9" x14ac:dyDescent="0.35">
      <c r="B1983" s="16">
        <v>45448</v>
      </c>
      <c r="C1983" s="6" t="s">
        <v>3</v>
      </c>
      <c r="D19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3" s="17">
        <v>90.06</v>
      </c>
      <c r="F1983" s="11">
        <v>1.42</v>
      </c>
      <c r="G1983" s="11">
        <v>53.805072913434692</v>
      </c>
      <c r="I1983" s="28"/>
    </row>
    <row r="1984" spans="2:9" x14ac:dyDescent="0.35">
      <c r="B1984" s="16">
        <v>45449</v>
      </c>
      <c r="C1984" s="6" t="s">
        <v>3</v>
      </c>
      <c r="D19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4" s="17">
        <v>93.62</v>
      </c>
      <c r="F1984" s="11">
        <v>2.5</v>
      </c>
      <c r="G1984" s="11">
        <v>53.028986784140969</v>
      </c>
      <c r="I1984" s="28"/>
    </row>
    <row r="1985" spans="2:9" x14ac:dyDescent="0.35">
      <c r="B1985" s="16">
        <v>45450</v>
      </c>
      <c r="C1985" s="6" t="s">
        <v>3</v>
      </c>
      <c r="D19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5" s="17">
        <v>114.78</v>
      </c>
      <c r="F1985" s="11">
        <v>1.9</v>
      </c>
      <c r="G1985" s="11">
        <v>53.567912868968982</v>
      </c>
      <c r="I1985" s="28"/>
    </row>
    <row r="1986" spans="2:9" x14ac:dyDescent="0.35">
      <c r="B1986" s="16">
        <v>45448</v>
      </c>
      <c r="C1986" s="6" t="s">
        <v>6</v>
      </c>
      <c r="D19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6" s="17">
        <v>146.35</v>
      </c>
      <c r="F1986" s="9">
        <v>1.81</v>
      </c>
      <c r="G1986" s="10">
        <v>53.4264319679653</v>
      </c>
      <c r="I1986" s="28"/>
    </row>
    <row r="1987" spans="2:9" x14ac:dyDescent="0.35">
      <c r="B1987" s="16">
        <v>45449</v>
      </c>
      <c r="C1987" s="6" t="s">
        <v>6</v>
      </c>
      <c r="D19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7" s="17">
        <v>296.83999999999997</v>
      </c>
      <c r="F1987" s="9">
        <v>2.59</v>
      </c>
      <c r="G1987" s="10">
        <v>52.410873015873022</v>
      </c>
      <c r="I1987" s="28"/>
    </row>
    <row r="1988" spans="2:9" x14ac:dyDescent="0.35">
      <c r="B1988" s="16">
        <v>45450</v>
      </c>
      <c r="C1988" s="6" t="s">
        <v>6</v>
      </c>
      <c r="D19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8" s="17">
        <v>306.44</v>
      </c>
      <c r="F1988" s="9">
        <v>1.86</v>
      </c>
      <c r="G1988" s="10">
        <v>53.650167364016731</v>
      </c>
      <c r="I1988" s="28"/>
    </row>
    <row r="1989" spans="2:9" x14ac:dyDescent="0.35">
      <c r="B1989" s="16">
        <v>45451</v>
      </c>
      <c r="C1989" s="6" t="s">
        <v>6</v>
      </c>
      <c r="D19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89" s="17">
        <v>114.95</v>
      </c>
      <c r="F1989" s="9">
        <v>2.04</v>
      </c>
      <c r="G1989" s="10">
        <v>53.356713928273557</v>
      </c>
      <c r="I1989" s="28"/>
    </row>
    <row r="1990" spans="2:9" x14ac:dyDescent="0.35">
      <c r="B1990" s="16">
        <v>45448</v>
      </c>
      <c r="C1990" s="6" t="s">
        <v>2</v>
      </c>
      <c r="D19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0" s="17">
        <v>108.98</v>
      </c>
      <c r="F1990" s="9">
        <v>3.5</v>
      </c>
      <c r="G1990" s="11">
        <v>50.887288852725796</v>
      </c>
      <c r="I1990" s="28"/>
    </row>
    <row r="1991" spans="2:9" x14ac:dyDescent="0.35">
      <c r="B1991" s="16">
        <v>45449</v>
      </c>
      <c r="C1991" s="6" t="s">
        <v>2</v>
      </c>
      <c r="D19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1" s="17">
        <v>287.2</v>
      </c>
      <c r="F1991" s="9">
        <v>0.5</v>
      </c>
      <c r="G1991" s="11">
        <v>54.005137371731209</v>
      </c>
      <c r="I1991" s="28"/>
    </row>
    <row r="1992" spans="2:9" x14ac:dyDescent="0.35">
      <c r="B1992" s="16">
        <v>45450</v>
      </c>
      <c r="C1992" s="6" t="s">
        <v>2</v>
      </c>
      <c r="D19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2" s="17">
        <v>250.06</v>
      </c>
      <c r="F1992" s="9">
        <v>0.6</v>
      </c>
      <c r="G1992" s="11">
        <v>53.207944657442901</v>
      </c>
      <c r="I1992" s="28"/>
    </row>
    <row r="1993" spans="2:9" x14ac:dyDescent="0.35">
      <c r="B1993" s="16">
        <v>45456</v>
      </c>
      <c r="C1993" s="6" t="s">
        <v>5</v>
      </c>
      <c r="D19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3" s="17">
        <v>173.95</v>
      </c>
      <c r="F1993" s="9">
        <v>0.14000000000000001</v>
      </c>
      <c r="G1993" s="10">
        <v>54.850597204574328</v>
      </c>
      <c r="I1993" s="28"/>
    </row>
    <row r="1994" spans="2:9" x14ac:dyDescent="0.35">
      <c r="B1994" s="16">
        <v>45454</v>
      </c>
      <c r="C1994" s="6" t="s">
        <v>3</v>
      </c>
      <c r="D19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4" s="17">
        <v>63.64</v>
      </c>
      <c r="F1994" s="11">
        <v>4.79</v>
      </c>
      <c r="G1994" s="11">
        <v>50.479828098140331</v>
      </c>
      <c r="I1994" s="28"/>
    </row>
    <row r="1995" spans="2:9" x14ac:dyDescent="0.35">
      <c r="B1995" s="16">
        <v>45455</v>
      </c>
      <c r="C1995" s="6" t="s">
        <v>3</v>
      </c>
      <c r="D19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5" s="17">
        <v>67.099999999999994</v>
      </c>
      <c r="F1995" s="9">
        <v>4.5</v>
      </c>
      <c r="G1995" s="11">
        <v>50.410951954907404</v>
      </c>
      <c r="I1995" s="28"/>
    </row>
    <row r="1996" spans="2:9" x14ac:dyDescent="0.35">
      <c r="B1996" s="16">
        <v>45456</v>
      </c>
      <c r="C1996" s="6" t="s">
        <v>3</v>
      </c>
      <c r="D19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6" s="17">
        <v>65.48</v>
      </c>
      <c r="F1996" s="11">
        <v>1.68</v>
      </c>
      <c r="G1996" s="11">
        <v>52.883589503280227</v>
      </c>
      <c r="I1996" s="28"/>
    </row>
    <row r="1997" spans="2:9" x14ac:dyDescent="0.35">
      <c r="B1997" s="4">
        <v>45454</v>
      </c>
      <c r="C1997" s="6" t="s">
        <v>6</v>
      </c>
      <c r="D19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7" s="17">
        <v>520.5</v>
      </c>
      <c r="F1997" s="9">
        <v>2.12</v>
      </c>
      <c r="G1997" s="10">
        <v>50.80378468739552</v>
      </c>
      <c r="I1997" s="28"/>
    </row>
    <row r="1998" spans="2:9" x14ac:dyDescent="0.35">
      <c r="B1998" s="4">
        <v>45455</v>
      </c>
      <c r="C1998" s="6" t="s">
        <v>6</v>
      </c>
      <c r="D19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8" s="17">
        <v>365.8</v>
      </c>
      <c r="F1998" s="9">
        <v>1.8</v>
      </c>
      <c r="G1998" s="10">
        <v>51.644032815834009</v>
      </c>
      <c r="I1998" s="28"/>
    </row>
    <row r="1999" spans="2:9" x14ac:dyDescent="0.35">
      <c r="B1999" s="4">
        <v>45456</v>
      </c>
      <c r="C1999" s="6" t="s">
        <v>6</v>
      </c>
      <c r="D19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1999" s="17">
        <v>497.94</v>
      </c>
      <c r="F1999" s="9">
        <v>1.31</v>
      </c>
      <c r="G1999" s="10">
        <v>54.057466256620543</v>
      </c>
      <c r="I1999" s="28"/>
    </row>
    <row r="2000" spans="2:9" x14ac:dyDescent="0.35">
      <c r="B2000" s="16">
        <v>45454</v>
      </c>
      <c r="C2000" s="6" t="s">
        <v>2</v>
      </c>
      <c r="D20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0" s="17">
        <v>130.69999999999999</v>
      </c>
      <c r="F2000" s="9">
        <v>0.34</v>
      </c>
      <c r="G2000" s="11">
        <v>54.49797146981404</v>
      </c>
      <c r="I2000" s="28"/>
    </row>
    <row r="2001" spans="2:9" x14ac:dyDescent="0.35">
      <c r="B2001" s="16">
        <v>45455</v>
      </c>
      <c r="C2001" s="6" t="s">
        <v>2</v>
      </c>
      <c r="D20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1" s="17">
        <v>173.9</v>
      </c>
      <c r="F2001" s="9">
        <v>0.43</v>
      </c>
      <c r="G2001" s="11">
        <v>53.859452446989351</v>
      </c>
      <c r="I2001" s="28"/>
    </row>
    <row r="2002" spans="2:9" x14ac:dyDescent="0.35">
      <c r="B2002" s="16">
        <v>45456</v>
      </c>
      <c r="C2002" s="6" t="s">
        <v>2</v>
      </c>
      <c r="D20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2" s="17">
        <v>212.34</v>
      </c>
      <c r="F2002" s="9">
        <v>0.03</v>
      </c>
      <c r="G2002" s="11">
        <v>55.137599476641263</v>
      </c>
      <c r="I2002" s="28"/>
    </row>
    <row r="2003" spans="2:9" x14ac:dyDescent="0.35">
      <c r="B2003" s="4">
        <v>45458</v>
      </c>
      <c r="C2003" s="6" t="s">
        <v>5</v>
      </c>
      <c r="D20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3" s="17">
        <v>170.33</v>
      </c>
      <c r="F2003" s="9">
        <v>4.34</v>
      </c>
      <c r="G2003" s="10">
        <v>51.735072005327567</v>
      </c>
      <c r="I2003" s="28"/>
    </row>
    <row r="2004" spans="2:9" x14ac:dyDescent="0.35">
      <c r="B2004" s="16">
        <v>45457</v>
      </c>
      <c r="C2004" s="6" t="s">
        <v>3</v>
      </c>
      <c r="D20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4" s="17">
        <v>44.54</v>
      </c>
      <c r="F2004" s="11">
        <v>2.5</v>
      </c>
      <c r="G2004" s="11">
        <v>52.394993611727529</v>
      </c>
      <c r="I2004" s="28"/>
    </row>
    <row r="2005" spans="2:9" x14ac:dyDescent="0.35">
      <c r="B2005" s="16">
        <v>45458</v>
      </c>
      <c r="C2005" s="6" t="s">
        <v>3</v>
      </c>
      <c r="D20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5" s="17">
        <v>132.63999999999999</v>
      </c>
      <c r="F2005" s="11">
        <v>1.49</v>
      </c>
      <c r="G2005" s="11">
        <v>53.996434905113119</v>
      </c>
      <c r="I2005" s="28"/>
    </row>
    <row r="2006" spans="2:9" x14ac:dyDescent="0.35">
      <c r="B2006" s="16">
        <v>45457</v>
      </c>
      <c r="C2006" s="6" t="s">
        <v>6</v>
      </c>
      <c r="D20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6" s="17">
        <v>579.1</v>
      </c>
      <c r="F2006" s="9">
        <v>3.07</v>
      </c>
      <c r="G2006" s="10">
        <v>52.178992160463309</v>
      </c>
      <c r="I2006" s="28"/>
    </row>
    <row r="2007" spans="2:9" x14ac:dyDescent="0.35">
      <c r="B2007" s="16">
        <v>45458</v>
      </c>
      <c r="C2007" s="6" t="s">
        <v>6</v>
      </c>
      <c r="D20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7" s="17">
        <v>399.47</v>
      </c>
      <c r="F2007" s="9">
        <v>1.56</v>
      </c>
      <c r="G2007" s="10">
        <v>53.430829535095711</v>
      </c>
      <c r="I2007" s="28"/>
    </row>
    <row r="2008" spans="2:9" x14ac:dyDescent="0.35">
      <c r="B2008" s="16">
        <v>45457</v>
      </c>
      <c r="C2008" s="6" t="s">
        <v>2</v>
      </c>
      <c r="D20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8" s="17">
        <v>271.89999999999998</v>
      </c>
      <c r="F2008" s="9">
        <v>3.3</v>
      </c>
      <c r="G2008" s="11">
        <v>49.460389467910034</v>
      </c>
      <c r="I2008" s="28"/>
    </row>
    <row r="2009" spans="2:9" x14ac:dyDescent="0.35">
      <c r="B2009" s="16">
        <v>45458</v>
      </c>
      <c r="C2009" s="6" t="s">
        <v>2</v>
      </c>
      <c r="D20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09" s="17">
        <v>72.44</v>
      </c>
      <c r="F2009" s="9">
        <v>1.32</v>
      </c>
      <c r="G2009" s="11">
        <v>52.108604206500956</v>
      </c>
      <c r="I2009" s="28"/>
    </row>
    <row r="2010" spans="2:9" x14ac:dyDescent="0.35">
      <c r="B2010" s="16">
        <v>45461</v>
      </c>
      <c r="C2010" s="6" t="s">
        <v>5</v>
      </c>
      <c r="D20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0" s="17">
        <v>168.89</v>
      </c>
      <c r="F2010" s="9">
        <v>3.09</v>
      </c>
      <c r="G2010" s="10">
        <v>51.599537784299343</v>
      </c>
      <c r="I2010" s="28"/>
    </row>
    <row r="2011" spans="2:9" x14ac:dyDescent="0.35">
      <c r="B2011" s="16">
        <v>45463</v>
      </c>
      <c r="C2011" s="6" t="s">
        <v>5</v>
      </c>
      <c r="D20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1" s="17">
        <v>165.91</v>
      </c>
      <c r="F2011" s="9">
        <v>3.94</v>
      </c>
      <c r="G2011" s="10">
        <v>51.108893050353728</v>
      </c>
      <c r="I2011" s="28"/>
    </row>
    <row r="2012" spans="2:9" x14ac:dyDescent="0.35">
      <c r="B2012" s="16">
        <v>45458</v>
      </c>
      <c r="C2012" s="6" t="s">
        <v>3</v>
      </c>
      <c r="D20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2" s="17">
        <v>132.63999999999999</v>
      </c>
      <c r="F2012" s="11">
        <v>1.49</v>
      </c>
      <c r="G2012" s="11">
        <v>53.996434905113119</v>
      </c>
      <c r="I2012" s="28"/>
    </row>
    <row r="2013" spans="2:9" x14ac:dyDescent="0.35">
      <c r="B2013" s="16">
        <v>45460</v>
      </c>
      <c r="C2013" s="6" t="s">
        <v>3</v>
      </c>
      <c r="D20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3" s="17">
        <v>20.98</v>
      </c>
      <c r="F2013" s="11">
        <v>7.49</v>
      </c>
      <c r="G2013" s="11">
        <v>47.906228513650149</v>
      </c>
      <c r="I2013" s="28"/>
    </row>
    <row r="2014" spans="2:9" x14ac:dyDescent="0.35">
      <c r="B2014" s="16">
        <v>45461</v>
      </c>
      <c r="C2014" s="6" t="s">
        <v>3</v>
      </c>
      <c r="D20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4" s="17">
        <v>65.680000000000007</v>
      </c>
      <c r="F2014" s="11">
        <v>1.62</v>
      </c>
      <c r="G2014" s="11">
        <v>53.762625260442505</v>
      </c>
      <c r="I2014" s="28"/>
    </row>
    <row r="2015" spans="2:9" x14ac:dyDescent="0.35">
      <c r="B2015" s="16">
        <v>45462</v>
      </c>
      <c r="C2015" s="6" t="s">
        <v>3</v>
      </c>
      <c r="D20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5" s="17">
        <v>88.36</v>
      </c>
      <c r="F2015" s="11">
        <v>4.51</v>
      </c>
      <c r="G2015" s="11">
        <v>51.118455284552837</v>
      </c>
      <c r="I2015" s="28"/>
    </row>
    <row r="2016" spans="2:9" x14ac:dyDescent="0.35">
      <c r="B2016" s="16">
        <v>45463</v>
      </c>
      <c r="C2016" s="6" t="s">
        <v>3</v>
      </c>
      <c r="D20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6" s="17">
        <v>62.68</v>
      </c>
      <c r="F2016" s="11">
        <v>5.35</v>
      </c>
      <c r="G2016" s="11">
        <v>51.138603375176658</v>
      </c>
      <c r="I2016" s="28"/>
    </row>
    <row r="2017" spans="2:9" x14ac:dyDescent="0.35">
      <c r="B2017" s="16">
        <v>45460</v>
      </c>
      <c r="C2017" s="6" t="s">
        <v>6</v>
      </c>
      <c r="D20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7" s="17">
        <v>378.23</v>
      </c>
      <c r="F2017" s="9">
        <v>2.6</v>
      </c>
      <c r="G2017" s="10">
        <v>52.195222149266804</v>
      </c>
      <c r="I2017" s="28"/>
    </row>
    <row r="2018" spans="2:9" x14ac:dyDescent="0.35">
      <c r="B2018" s="16">
        <v>45461</v>
      </c>
      <c r="C2018" s="6" t="s">
        <v>6</v>
      </c>
      <c r="D20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8" s="17">
        <v>439.63</v>
      </c>
      <c r="F2018" s="9">
        <v>2.52</v>
      </c>
      <c r="G2018" s="10">
        <v>52.966815708192378</v>
      </c>
      <c r="I2018" s="28"/>
    </row>
    <row r="2019" spans="2:9" x14ac:dyDescent="0.35">
      <c r="B2019" s="16">
        <v>45462</v>
      </c>
      <c r="C2019" s="6" t="s">
        <v>6</v>
      </c>
      <c r="D20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19" s="17">
        <v>499.46</v>
      </c>
      <c r="F2019" s="9">
        <v>2.2799999999999998</v>
      </c>
      <c r="G2019" s="10">
        <v>52.333421911050998</v>
      </c>
      <c r="I2019" s="28"/>
    </row>
    <row r="2020" spans="2:9" x14ac:dyDescent="0.35">
      <c r="B2020" s="16">
        <v>45463</v>
      </c>
      <c r="C2020" s="6" t="s">
        <v>6</v>
      </c>
      <c r="D20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0" s="17">
        <v>152.16999999999999</v>
      </c>
      <c r="F2020" s="9">
        <v>1.57</v>
      </c>
      <c r="G2020" s="10">
        <v>53.672696330732187</v>
      </c>
      <c r="I2020" s="28"/>
    </row>
    <row r="2021" spans="2:9" x14ac:dyDescent="0.35">
      <c r="B2021" s="16">
        <v>45460</v>
      </c>
      <c r="C2021" s="6" t="s">
        <v>2</v>
      </c>
      <c r="D20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1" s="17">
        <v>142.58000000000001</v>
      </c>
      <c r="F2021" s="9">
        <v>1.43</v>
      </c>
      <c r="G2021" s="11">
        <v>51.861891565224902</v>
      </c>
      <c r="I2021" s="28"/>
    </row>
    <row r="2022" spans="2:9" x14ac:dyDescent="0.35">
      <c r="B2022" s="16">
        <v>45461</v>
      </c>
      <c r="C2022" s="6" t="s">
        <v>2</v>
      </c>
      <c r="D20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2" s="17">
        <v>201.78</v>
      </c>
      <c r="F2022" s="9">
        <v>0.45</v>
      </c>
      <c r="G2022" s="11">
        <v>51.372746615087046</v>
      </c>
      <c r="I2022" s="28"/>
    </row>
    <row r="2023" spans="2:9" x14ac:dyDescent="0.35">
      <c r="B2023" s="16">
        <v>45462</v>
      </c>
      <c r="C2023" s="6" t="s">
        <v>2</v>
      </c>
      <c r="D20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3" s="17">
        <v>303.74</v>
      </c>
      <c r="F2023" s="9">
        <v>0.57999999999999996</v>
      </c>
      <c r="G2023" s="11">
        <v>53.047829224293444</v>
      </c>
      <c r="I2023" s="28"/>
    </row>
    <row r="2024" spans="2:9" x14ac:dyDescent="0.35">
      <c r="B2024" s="16">
        <v>45463</v>
      </c>
      <c r="C2024" s="6" t="s">
        <v>2</v>
      </c>
      <c r="D20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4" s="17">
        <v>203.7</v>
      </c>
      <c r="F2024" s="9">
        <v>0.02</v>
      </c>
      <c r="G2024" s="11">
        <v>55.005325087748624</v>
      </c>
      <c r="I2024" s="28"/>
    </row>
    <row r="2025" spans="2:9" x14ac:dyDescent="0.35">
      <c r="B2025" s="16">
        <v>45465</v>
      </c>
      <c r="C2025" s="6" t="s">
        <v>5</v>
      </c>
      <c r="D20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5" s="17">
        <v>162.06</v>
      </c>
      <c r="F2025" s="9">
        <v>2.15</v>
      </c>
      <c r="G2025" s="10">
        <v>52.782338890271213</v>
      </c>
      <c r="I2025" s="28"/>
    </row>
    <row r="2026" spans="2:9" x14ac:dyDescent="0.35">
      <c r="B2026" s="16">
        <v>45468</v>
      </c>
      <c r="C2026" s="6" t="s">
        <v>5</v>
      </c>
      <c r="D20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6" s="17">
        <v>159.76</v>
      </c>
      <c r="F2026" s="9">
        <v>6.02</v>
      </c>
      <c r="G2026" s="10">
        <v>49.613870429120055</v>
      </c>
      <c r="I2026" s="28"/>
    </row>
    <row r="2027" spans="2:9" x14ac:dyDescent="0.35">
      <c r="B2027" s="16">
        <v>45470</v>
      </c>
      <c r="C2027" s="6" t="s">
        <v>5</v>
      </c>
      <c r="D20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7" s="17">
        <v>102.26</v>
      </c>
      <c r="F2027" s="9">
        <v>0.35</v>
      </c>
      <c r="G2027" s="10">
        <v>55.029499714355666</v>
      </c>
      <c r="I2027" s="28"/>
    </row>
    <row r="2028" spans="2:9" x14ac:dyDescent="0.35">
      <c r="B2028" s="16">
        <v>45460</v>
      </c>
      <c r="C2028" s="6" t="s">
        <v>3</v>
      </c>
      <c r="D20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8" s="17">
        <v>20.98</v>
      </c>
      <c r="F2028" s="11">
        <v>7.49</v>
      </c>
      <c r="G2028" s="11">
        <v>47.906228513650149</v>
      </c>
      <c r="I2028" s="28"/>
    </row>
    <row r="2029" spans="2:9" x14ac:dyDescent="0.35">
      <c r="B2029" s="16">
        <v>45461</v>
      </c>
      <c r="C2029" s="6" t="s">
        <v>3</v>
      </c>
      <c r="D20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29" s="17">
        <v>65.680000000000007</v>
      </c>
      <c r="F2029" s="11">
        <v>1.62</v>
      </c>
      <c r="G2029" s="11">
        <v>53.762625260442505</v>
      </c>
      <c r="I2029" s="28"/>
    </row>
    <row r="2030" spans="2:9" x14ac:dyDescent="0.35">
      <c r="B2030" s="16">
        <v>45462</v>
      </c>
      <c r="C2030" s="6" t="s">
        <v>3</v>
      </c>
      <c r="D20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0" s="17">
        <v>88.36</v>
      </c>
      <c r="F2030" s="11">
        <v>4.51</v>
      </c>
      <c r="G2030" s="11">
        <v>51.118455284552837</v>
      </c>
      <c r="I2030" s="28"/>
    </row>
    <row r="2031" spans="2:9" x14ac:dyDescent="0.35">
      <c r="B2031" s="16">
        <v>45463</v>
      </c>
      <c r="C2031" s="6" t="s">
        <v>3</v>
      </c>
      <c r="D20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1" s="17">
        <v>62.68</v>
      </c>
      <c r="F2031" s="11">
        <v>5.35</v>
      </c>
      <c r="G2031" s="11">
        <v>51.138603375176658</v>
      </c>
      <c r="I2031" s="28"/>
    </row>
    <row r="2032" spans="2:9" x14ac:dyDescent="0.35">
      <c r="B2032" s="16">
        <v>45464</v>
      </c>
      <c r="C2032" s="6" t="s">
        <v>3</v>
      </c>
      <c r="D20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2" s="17">
        <v>86.14</v>
      </c>
      <c r="F2032" s="11">
        <v>5.73</v>
      </c>
      <c r="G2032" s="11">
        <v>49.032366304618193</v>
      </c>
      <c r="I2032" s="28"/>
    </row>
    <row r="2033" spans="2:9" x14ac:dyDescent="0.35">
      <c r="B2033" s="16">
        <v>45465</v>
      </c>
      <c r="C2033" s="6" t="s">
        <v>3</v>
      </c>
      <c r="D20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3" s="17">
        <v>46.28</v>
      </c>
      <c r="F2033" s="11">
        <v>3.94</v>
      </c>
      <c r="G2033" s="11">
        <v>49.997708957708959</v>
      </c>
      <c r="I2033" s="28"/>
    </row>
    <row r="2034" spans="2:9" x14ac:dyDescent="0.35">
      <c r="B2034" s="16">
        <v>45469</v>
      </c>
      <c r="C2034" s="6" t="s">
        <v>3</v>
      </c>
      <c r="D20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4" s="17">
        <v>67.62</v>
      </c>
      <c r="F2034" s="11">
        <v>2.61</v>
      </c>
      <c r="G2034" s="11">
        <v>52.240435676120022</v>
      </c>
      <c r="I2034" s="28"/>
    </row>
    <row r="2035" spans="2:9" x14ac:dyDescent="0.35">
      <c r="B2035" s="16">
        <v>45470</v>
      </c>
      <c r="C2035" s="6" t="s">
        <v>3</v>
      </c>
      <c r="D20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5" s="17">
        <v>68.959999999999994</v>
      </c>
      <c r="F2035" s="11">
        <v>2.16</v>
      </c>
      <c r="G2035" s="11">
        <v>52.304366524602862</v>
      </c>
      <c r="I2035" s="28"/>
    </row>
    <row r="2036" spans="2:9" x14ac:dyDescent="0.35">
      <c r="B2036" s="16">
        <v>45461</v>
      </c>
      <c r="C2036" s="6" t="s">
        <v>6</v>
      </c>
      <c r="D20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6" s="17">
        <v>439.63</v>
      </c>
      <c r="F2036" s="9">
        <v>2.2400000000000002</v>
      </c>
      <c r="G2036" s="10">
        <v>53.364719399027834</v>
      </c>
      <c r="I2036" s="28"/>
    </row>
    <row r="2037" spans="2:9" x14ac:dyDescent="0.35">
      <c r="B2037" s="16">
        <v>45462</v>
      </c>
      <c r="C2037" s="6" t="s">
        <v>6</v>
      </c>
      <c r="D20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7" s="17">
        <v>499.46</v>
      </c>
      <c r="F2037" s="9">
        <v>2.2799999999999998</v>
      </c>
      <c r="G2037" s="10">
        <v>52.333421911050998</v>
      </c>
      <c r="I2037" s="28"/>
    </row>
    <row r="2038" spans="2:9" x14ac:dyDescent="0.35">
      <c r="B2038" s="16">
        <v>45463</v>
      </c>
      <c r="C2038" s="6" t="s">
        <v>6</v>
      </c>
      <c r="D20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8" s="17">
        <v>152.16999999999999</v>
      </c>
      <c r="F2038" s="9">
        <v>1.57</v>
      </c>
      <c r="G2038" s="10">
        <v>53.672696330732187</v>
      </c>
      <c r="I2038" s="28"/>
    </row>
    <row r="2039" spans="2:9" x14ac:dyDescent="0.35">
      <c r="B2039" s="16">
        <v>45464</v>
      </c>
      <c r="C2039" s="6" t="s">
        <v>6</v>
      </c>
      <c r="D20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39" s="17">
        <v>102.25</v>
      </c>
      <c r="F2039" s="9">
        <v>2.0499999999999998</v>
      </c>
      <c r="G2039" s="10">
        <v>52.056691523738507</v>
      </c>
      <c r="I2039" s="28"/>
    </row>
    <row r="2040" spans="2:9" x14ac:dyDescent="0.35">
      <c r="B2040" s="16">
        <v>45464</v>
      </c>
      <c r="C2040" s="6" t="s">
        <v>2</v>
      </c>
      <c r="D20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0" s="17">
        <v>238.06</v>
      </c>
      <c r="F2040" s="9">
        <v>0.16</v>
      </c>
      <c r="G2040" s="11">
        <v>54.80653243288311</v>
      </c>
      <c r="I2040" s="28"/>
    </row>
    <row r="2041" spans="2:9" x14ac:dyDescent="0.35">
      <c r="B2041" s="16">
        <v>45465</v>
      </c>
      <c r="C2041" s="6" t="s">
        <v>2</v>
      </c>
      <c r="D20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1" s="17">
        <v>131.58000000000001</v>
      </c>
      <c r="F2041" s="9">
        <v>0.08</v>
      </c>
      <c r="G2041" s="11">
        <v>54.749211618257256</v>
      </c>
      <c r="I2041" s="28"/>
    </row>
    <row r="2042" spans="2:9" x14ac:dyDescent="0.35">
      <c r="B2042" s="16">
        <v>45468</v>
      </c>
      <c r="C2042" s="6" t="s">
        <v>2</v>
      </c>
      <c r="D20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2" s="17">
        <v>368.84000000000003</v>
      </c>
      <c r="F2042" s="9">
        <v>0.22</v>
      </c>
      <c r="G2042" s="11">
        <v>54.915277221108887</v>
      </c>
      <c r="I2042" s="28"/>
    </row>
    <row r="2043" spans="2:9" x14ac:dyDescent="0.35">
      <c r="B2043" s="16">
        <v>45469</v>
      </c>
      <c r="C2043" s="6" t="s">
        <v>2</v>
      </c>
      <c r="D20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3" s="17">
        <v>238.88</v>
      </c>
      <c r="F2043" s="9">
        <v>0.32</v>
      </c>
      <c r="G2043" s="11">
        <v>52.732807457308475</v>
      </c>
      <c r="I2043" s="28"/>
    </row>
    <row r="2044" spans="2:9" x14ac:dyDescent="0.35">
      <c r="B2044" s="16">
        <v>45470</v>
      </c>
      <c r="C2044" s="6" t="s">
        <v>2</v>
      </c>
      <c r="D20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4" s="17">
        <v>274.54000000000002</v>
      </c>
      <c r="F2044" s="9">
        <v>0.3</v>
      </c>
      <c r="G2044" s="11">
        <v>53.995517883152615</v>
      </c>
      <c r="I2044" s="28"/>
    </row>
    <row r="2045" spans="2:9" x14ac:dyDescent="0.35">
      <c r="B2045" s="16">
        <v>45471</v>
      </c>
      <c r="C2045" s="6" t="s">
        <v>5</v>
      </c>
      <c r="D20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5" s="17">
        <v>67.06</v>
      </c>
      <c r="F2045" s="9">
        <v>0.36</v>
      </c>
      <c r="G2045" s="10">
        <v>54.672057877813501</v>
      </c>
      <c r="I2045" s="28"/>
    </row>
    <row r="2046" spans="2:9" x14ac:dyDescent="0.35">
      <c r="B2046" s="16">
        <v>45461</v>
      </c>
      <c r="C2046" s="6" t="s">
        <v>3</v>
      </c>
      <c r="D20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6" s="17">
        <v>65.680000000000007</v>
      </c>
      <c r="F2046" s="11">
        <v>1.62</v>
      </c>
      <c r="G2046" s="11">
        <v>53.762625260442505</v>
      </c>
      <c r="I2046" s="28"/>
    </row>
    <row r="2047" spans="2:9" x14ac:dyDescent="0.35">
      <c r="B2047" s="16">
        <v>45462</v>
      </c>
      <c r="C2047" s="6" t="s">
        <v>3</v>
      </c>
      <c r="D20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7" s="17">
        <v>88.36</v>
      </c>
      <c r="F2047" s="11">
        <v>4.51</v>
      </c>
      <c r="G2047" s="11">
        <v>51.118455284552837</v>
      </c>
      <c r="I2047" s="28"/>
    </row>
    <row r="2048" spans="2:9" x14ac:dyDescent="0.35">
      <c r="B2048" s="16">
        <v>45463</v>
      </c>
      <c r="C2048" s="6" t="s">
        <v>3</v>
      </c>
      <c r="D20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8" s="17">
        <v>62.68</v>
      </c>
      <c r="F2048" s="11">
        <v>5.35</v>
      </c>
      <c r="G2048" s="11">
        <v>51.138603375176658</v>
      </c>
      <c r="I2048" s="28"/>
    </row>
    <row r="2049" spans="2:9" x14ac:dyDescent="0.35">
      <c r="B2049" s="16">
        <v>45464</v>
      </c>
      <c r="C2049" s="6" t="s">
        <v>3</v>
      </c>
      <c r="D20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49" s="17">
        <v>86.14</v>
      </c>
      <c r="F2049" s="11">
        <v>3.94</v>
      </c>
      <c r="G2049" s="11">
        <v>49.997708957708959</v>
      </c>
      <c r="I2049" s="28"/>
    </row>
    <row r="2050" spans="2:9" x14ac:dyDescent="0.35">
      <c r="B2050" s="16">
        <v>45467</v>
      </c>
      <c r="C2050" s="6" t="s">
        <v>3</v>
      </c>
      <c r="D20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0" s="17">
        <v>46.28</v>
      </c>
      <c r="F2050" s="11">
        <v>1.72</v>
      </c>
      <c r="G2050" s="11">
        <v>53.170662544907678</v>
      </c>
      <c r="I2050" s="28"/>
    </row>
    <row r="2051" spans="2:9" x14ac:dyDescent="0.35">
      <c r="B2051" s="16">
        <v>45469</v>
      </c>
      <c r="C2051" s="6" t="s">
        <v>3</v>
      </c>
      <c r="D20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1" s="17">
        <v>67.62</v>
      </c>
      <c r="F2051" s="11">
        <v>2.61</v>
      </c>
      <c r="G2051" s="11">
        <v>52.240435676120022</v>
      </c>
      <c r="I2051" s="28"/>
    </row>
    <row r="2052" spans="2:9" x14ac:dyDescent="0.35">
      <c r="B2052" s="16">
        <v>45470</v>
      </c>
      <c r="C2052" s="6" t="s">
        <v>3</v>
      </c>
      <c r="D20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2" s="17">
        <v>68.959999999999994</v>
      </c>
      <c r="F2052" s="11">
        <v>2.16</v>
      </c>
      <c r="G2052" s="11">
        <v>52.304366524602862</v>
      </c>
      <c r="I2052" s="28"/>
    </row>
    <row r="2053" spans="2:9" x14ac:dyDescent="0.35">
      <c r="B2053" s="16">
        <v>45471</v>
      </c>
      <c r="C2053" s="6" t="s">
        <v>3</v>
      </c>
      <c r="D20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3" s="17">
        <v>89.4</v>
      </c>
      <c r="F2053" s="11">
        <v>2.37</v>
      </c>
      <c r="G2053" s="11">
        <v>52.666244101918842</v>
      </c>
      <c r="I2053" s="28"/>
    </row>
    <row r="2054" spans="2:9" x14ac:dyDescent="0.35">
      <c r="B2054" s="16">
        <v>45472</v>
      </c>
      <c r="C2054" s="6" t="s">
        <v>3</v>
      </c>
      <c r="D20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4" s="17">
        <v>23.98</v>
      </c>
      <c r="F2054" s="11">
        <v>3.87</v>
      </c>
      <c r="G2054" s="11">
        <v>50.9191927951968</v>
      </c>
      <c r="I2054" s="28"/>
    </row>
    <row r="2055" spans="2:9" x14ac:dyDescent="0.35">
      <c r="B2055" s="16">
        <v>45475</v>
      </c>
      <c r="C2055" s="6" t="s">
        <v>6</v>
      </c>
      <c r="D20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5" s="17">
        <v>179.24</v>
      </c>
      <c r="F2055" s="9">
        <v>1.5</v>
      </c>
      <c r="G2055" s="10">
        <v>53.476233238520919</v>
      </c>
      <c r="I2055" s="28"/>
    </row>
    <row r="2056" spans="2:9" x14ac:dyDescent="0.35">
      <c r="B2056" s="16">
        <v>45465</v>
      </c>
      <c r="C2056" s="6" t="s">
        <v>2</v>
      </c>
      <c r="D20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6" s="17">
        <v>131.58000000000001</v>
      </c>
      <c r="F2056" s="9">
        <v>0.08</v>
      </c>
      <c r="G2056" s="11">
        <v>54.749211618257256</v>
      </c>
      <c r="I2056" s="28"/>
    </row>
    <row r="2057" spans="2:9" x14ac:dyDescent="0.35">
      <c r="B2057" s="4">
        <v>45467</v>
      </c>
      <c r="C2057" s="6" t="s">
        <v>2</v>
      </c>
      <c r="D20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7" s="17">
        <v>339.54</v>
      </c>
      <c r="F2057" s="9">
        <v>0.08</v>
      </c>
      <c r="G2057" s="11">
        <v>54.749211618257256</v>
      </c>
      <c r="I2057" s="28"/>
    </row>
    <row r="2058" spans="2:9" x14ac:dyDescent="0.35">
      <c r="B2058" s="16">
        <v>45468</v>
      </c>
      <c r="C2058" s="6" t="s">
        <v>2</v>
      </c>
      <c r="D20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8" s="17">
        <v>29.34</v>
      </c>
      <c r="F2058" s="9">
        <v>0.22</v>
      </c>
      <c r="G2058" s="11">
        <v>54.915277221108887</v>
      </c>
      <c r="I2058" s="28"/>
    </row>
    <row r="2059" spans="2:9" x14ac:dyDescent="0.35">
      <c r="B2059" s="16">
        <v>45469</v>
      </c>
      <c r="C2059" s="6" t="s">
        <v>2</v>
      </c>
      <c r="D20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59" s="17">
        <v>238.88</v>
      </c>
      <c r="F2059" s="9">
        <v>0.32</v>
      </c>
      <c r="G2059" s="11">
        <v>52.732807457308475</v>
      </c>
      <c r="I2059" s="28"/>
    </row>
    <row r="2060" spans="2:9" x14ac:dyDescent="0.35">
      <c r="B2060" s="16">
        <v>45470</v>
      </c>
      <c r="C2060" s="6" t="s">
        <v>2</v>
      </c>
      <c r="D20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0" s="17">
        <v>274.54000000000002</v>
      </c>
      <c r="F2060" s="9">
        <v>0.3</v>
      </c>
      <c r="G2060" s="11">
        <v>53.995517883152615</v>
      </c>
      <c r="I2060" s="28"/>
    </row>
    <row r="2061" spans="2:9" x14ac:dyDescent="0.35">
      <c r="B2061" s="16">
        <v>45471</v>
      </c>
      <c r="C2061" s="6" t="s">
        <v>2</v>
      </c>
      <c r="D20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1" s="17">
        <v>239.68</v>
      </c>
      <c r="F2061" s="9">
        <v>1.78</v>
      </c>
      <c r="G2061" s="11">
        <v>51.759438787781612</v>
      </c>
      <c r="I2061" s="28"/>
    </row>
    <row r="2062" spans="2:9" x14ac:dyDescent="0.35">
      <c r="B2062" s="16">
        <v>45475</v>
      </c>
      <c r="C2062" s="6" t="s">
        <v>2</v>
      </c>
      <c r="D20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2" s="17">
        <v>210.78</v>
      </c>
      <c r="F2062" s="9">
        <v>0.81</v>
      </c>
      <c r="G2062" s="11">
        <v>53.750194050196455</v>
      </c>
      <c r="I2062" s="28"/>
    </row>
    <row r="2063" spans="2:9" x14ac:dyDescent="0.35">
      <c r="B2063" s="16">
        <v>45476</v>
      </c>
      <c r="C2063" s="6" t="s">
        <v>3</v>
      </c>
      <c r="D20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3" s="17">
        <v>87.3</v>
      </c>
      <c r="F2063" s="11">
        <v>3.23</v>
      </c>
      <c r="G2063" s="11">
        <v>52.244840182648403</v>
      </c>
      <c r="I2063" s="28"/>
    </row>
    <row r="2064" spans="2:9" x14ac:dyDescent="0.35">
      <c r="B2064" s="16">
        <v>45476</v>
      </c>
      <c r="C2064" s="6" t="s">
        <v>6</v>
      </c>
      <c r="D20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4" s="17">
        <v>308.3</v>
      </c>
      <c r="F2064" s="9">
        <v>1.97</v>
      </c>
      <c r="G2064" s="10">
        <v>53.488642251004912</v>
      </c>
      <c r="I2064" s="28"/>
    </row>
    <row r="2065" spans="2:9" x14ac:dyDescent="0.35">
      <c r="B2065" s="16">
        <v>45477</v>
      </c>
      <c r="C2065" s="6" t="s">
        <v>6</v>
      </c>
      <c r="D20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5" s="17">
        <v>181.43</v>
      </c>
      <c r="F2065" s="9">
        <v>1.8</v>
      </c>
      <c r="G2065" s="10">
        <v>53.628038858530658</v>
      </c>
      <c r="I2065" s="28"/>
    </row>
    <row r="2066" spans="2:9" x14ac:dyDescent="0.35">
      <c r="B2066" s="16">
        <v>45476</v>
      </c>
      <c r="C2066" s="6" t="s">
        <v>2</v>
      </c>
      <c r="D20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6" s="17">
        <v>256.38</v>
      </c>
      <c r="F2066" s="9">
        <v>0.34</v>
      </c>
      <c r="G2066" s="11">
        <v>53.840581039755357</v>
      </c>
      <c r="I2066" s="28"/>
    </row>
    <row r="2067" spans="2:9" x14ac:dyDescent="0.35">
      <c r="B2067" s="16">
        <v>45477</v>
      </c>
      <c r="C2067" s="6" t="s">
        <v>2</v>
      </c>
      <c r="D20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7" s="17">
        <v>312.72000000000003</v>
      </c>
      <c r="F2067" s="9">
        <v>1.83</v>
      </c>
      <c r="G2067" s="11">
        <v>46.404989191526155</v>
      </c>
      <c r="I2067" s="28"/>
    </row>
    <row r="2068" spans="2:9" x14ac:dyDescent="0.35">
      <c r="B2068" s="16">
        <v>45478</v>
      </c>
      <c r="C2068" s="6" t="s">
        <v>5</v>
      </c>
      <c r="D20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8" s="17">
        <v>128.96</v>
      </c>
      <c r="F2068" s="9">
        <v>0.09</v>
      </c>
      <c r="G2068" s="10">
        <v>54.818341162448291</v>
      </c>
      <c r="I2068" s="28"/>
    </row>
    <row r="2069" spans="2:9" x14ac:dyDescent="0.35">
      <c r="B2069" s="16">
        <v>45479</v>
      </c>
      <c r="C2069" s="6" t="s">
        <v>3</v>
      </c>
      <c r="D20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69" s="17">
        <v>67.3</v>
      </c>
      <c r="F2069" s="11">
        <v>2.17</v>
      </c>
      <c r="G2069" s="11">
        <v>52.829027987263281</v>
      </c>
      <c r="I2069" s="28"/>
    </row>
    <row r="2070" spans="2:9" x14ac:dyDescent="0.35">
      <c r="B2070" s="16">
        <v>45479</v>
      </c>
      <c r="C2070" s="6" t="s">
        <v>6</v>
      </c>
      <c r="D20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0" s="17">
        <v>69.2</v>
      </c>
      <c r="F2070" s="9">
        <v>3</v>
      </c>
      <c r="G2070" s="10">
        <v>52.325876658599682</v>
      </c>
      <c r="I2070" s="28"/>
    </row>
    <row r="2071" spans="2:9" x14ac:dyDescent="0.35">
      <c r="B2071" s="16">
        <v>45478</v>
      </c>
      <c r="C2071" s="6" t="s">
        <v>2</v>
      </c>
      <c r="D20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1" s="17">
        <v>341.47</v>
      </c>
      <c r="F2071" s="9">
        <v>1.1000000000000001</v>
      </c>
      <c r="G2071" s="11">
        <v>52.103647181628389</v>
      </c>
      <c r="I2071" s="28"/>
    </row>
    <row r="2072" spans="2:9" x14ac:dyDescent="0.35">
      <c r="B2072" s="16">
        <v>45479</v>
      </c>
      <c r="C2072" s="6" t="s">
        <v>2</v>
      </c>
      <c r="D20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2" s="17">
        <v>202.70000000000002</v>
      </c>
      <c r="F2072" s="9">
        <v>0.39</v>
      </c>
      <c r="G2072" s="11">
        <v>53.653650448036181</v>
      </c>
      <c r="I2072" s="28"/>
    </row>
    <row r="2073" spans="2:9" x14ac:dyDescent="0.35">
      <c r="B2073" s="16">
        <v>45481</v>
      </c>
      <c r="C2073" s="6" t="s">
        <v>5</v>
      </c>
      <c r="D20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3" s="17">
        <v>0.10567</v>
      </c>
      <c r="F2073" s="9">
        <v>1.1000000000000001</v>
      </c>
      <c r="G2073" s="10">
        <v>54.051149061123553</v>
      </c>
      <c r="I2073" s="28"/>
    </row>
    <row r="2074" spans="2:9" x14ac:dyDescent="0.35">
      <c r="B2074" s="16">
        <v>45483</v>
      </c>
      <c r="C2074" s="6" t="s">
        <v>5</v>
      </c>
      <c r="D20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4" s="17">
        <v>0.13065000000000002</v>
      </c>
      <c r="F2074" s="9">
        <v>0.47</v>
      </c>
      <c r="G2074" s="10">
        <v>54.290386409060623</v>
      </c>
      <c r="I2074" s="28"/>
    </row>
    <row r="2075" spans="2:9" x14ac:dyDescent="0.35">
      <c r="B2075" s="16">
        <v>45481</v>
      </c>
      <c r="C2075" s="6" t="s">
        <v>3</v>
      </c>
      <c r="D20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5" s="17">
        <v>66.16</v>
      </c>
      <c r="F2075" s="11">
        <v>2.0699999999999998</v>
      </c>
      <c r="G2075" s="11">
        <v>53.319469306015556</v>
      </c>
      <c r="I2075" s="28"/>
    </row>
    <row r="2076" spans="2:9" x14ac:dyDescent="0.35">
      <c r="B2076" s="16">
        <v>45482</v>
      </c>
      <c r="C2076" s="6" t="s">
        <v>3</v>
      </c>
      <c r="D20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6" s="17">
        <v>65.16</v>
      </c>
      <c r="F2076" s="11">
        <v>2.56</v>
      </c>
      <c r="G2076" s="11">
        <v>52.688192509800658</v>
      </c>
      <c r="I2076" s="28"/>
    </row>
    <row r="2077" spans="2:9" x14ac:dyDescent="0.35">
      <c r="B2077" s="16">
        <v>45483</v>
      </c>
      <c r="C2077" s="6" t="s">
        <v>3</v>
      </c>
      <c r="D20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7" s="17">
        <v>88.860000000000014</v>
      </c>
      <c r="F2077" s="11">
        <v>1.28</v>
      </c>
      <c r="G2077" s="11">
        <v>53.772542485838052</v>
      </c>
      <c r="I2077" s="28"/>
    </row>
    <row r="2078" spans="2:9" x14ac:dyDescent="0.35">
      <c r="B2078" s="16">
        <v>45481</v>
      </c>
      <c r="C2078" s="6" t="s">
        <v>6</v>
      </c>
      <c r="D20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8" s="17">
        <v>71.95</v>
      </c>
      <c r="F2078" s="9">
        <v>1.92</v>
      </c>
      <c r="G2078" s="10">
        <v>53.081308551425238</v>
      </c>
      <c r="I2078" s="28"/>
    </row>
    <row r="2079" spans="2:9" x14ac:dyDescent="0.35">
      <c r="B2079" s="16">
        <v>45481</v>
      </c>
      <c r="C2079" s="6" t="s">
        <v>2</v>
      </c>
      <c r="D20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79" s="17">
        <v>137.41999999999999</v>
      </c>
      <c r="F2079" s="9">
        <v>0.33</v>
      </c>
      <c r="G2079" s="11">
        <v>53.995918230562999</v>
      </c>
      <c r="I2079" s="28"/>
    </row>
    <row r="2080" spans="2:9" x14ac:dyDescent="0.35">
      <c r="B2080" s="16">
        <v>45482</v>
      </c>
      <c r="C2080" s="6" t="s">
        <v>2</v>
      </c>
      <c r="D20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0" s="17">
        <v>141.96</v>
      </c>
      <c r="F2080" s="9">
        <v>0.11</v>
      </c>
      <c r="G2080" s="11">
        <v>53.537786259541988</v>
      </c>
      <c r="I2080" s="28"/>
    </row>
    <row r="2081" spans="2:9" x14ac:dyDescent="0.35">
      <c r="B2081" s="16">
        <v>45483</v>
      </c>
      <c r="C2081" s="6" t="s">
        <v>2</v>
      </c>
      <c r="D20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1" s="17">
        <v>207.85000000000002</v>
      </c>
      <c r="F2081" s="9">
        <v>0.23</v>
      </c>
      <c r="G2081" s="11">
        <v>54.055309741881764</v>
      </c>
      <c r="I2081" s="28"/>
    </row>
    <row r="2082" spans="2:9" x14ac:dyDescent="0.35">
      <c r="B2082" s="16">
        <v>45485</v>
      </c>
      <c r="C2082" s="6" t="s">
        <v>5</v>
      </c>
      <c r="D20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2" s="17">
        <v>164.77</v>
      </c>
      <c r="F2082" s="9">
        <v>0.26</v>
      </c>
      <c r="G2082" s="10">
        <v>54.618160591298505</v>
      </c>
      <c r="I2082" s="28"/>
    </row>
    <row r="2083" spans="2:9" x14ac:dyDescent="0.35">
      <c r="B2083" s="16">
        <v>45489</v>
      </c>
      <c r="C2083" s="6" t="s">
        <v>5</v>
      </c>
      <c r="D20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3" s="17">
        <v>134.66</v>
      </c>
      <c r="F2083" s="9">
        <v>1.17</v>
      </c>
      <c r="G2083" s="10">
        <v>53.981199060875397</v>
      </c>
      <c r="I2083" s="28"/>
    </row>
    <row r="2084" spans="2:9" x14ac:dyDescent="0.35">
      <c r="B2084" s="16">
        <v>45484</v>
      </c>
      <c r="C2084" s="6" t="s">
        <v>3</v>
      </c>
      <c r="D20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4" s="17">
        <v>66.44</v>
      </c>
      <c r="F2084" s="11">
        <v>1.45</v>
      </c>
      <c r="G2084" s="11">
        <v>53.41970820425702</v>
      </c>
      <c r="I2084" s="28"/>
    </row>
    <row r="2085" spans="2:9" x14ac:dyDescent="0.35">
      <c r="B2085" s="16">
        <v>45485</v>
      </c>
      <c r="C2085" s="6" t="s">
        <v>3</v>
      </c>
      <c r="D20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5" s="17">
        <v>67.94</v>
      </c>
      <c r="F2085" s="11">
        <v>3.6</v>
      </c>
      <c r="G2085" s="11">
        <v>51.3803993344426</v>
      </c>
      <c r="I2085" s="28"/>
    </row>
    <row r="2086" spans="2:9" x14ac:dyDescent="0.35">
      <c r="B2086" s="16">
        <v>45488</v>
      </c>
      <c r="C2086" s="6" t="s">
        <v>3</v>
      </c>
      <c r="D20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6" s="17">
        <v>44.52</v>
      </c>
      <c r="F2086" s="11">
        <v>3.84</v>
      </c>
      <c r="G2086" s="11">
        <v>52.026691042047531</v>
      </c>
      <c r="I2086" s="28"/>
    </row>
    <row r="2087" spans="2:9" x14ac:dyDescent="0.35">
      <c r="B2087" s="16">
        <v>45489</v>
      </c>
      <c r="C2087" s="6" t="s">
        <v>3</v>
      </c>
      <c r="D20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7" s="17">
        <v>68.16</v>
      </c>
      <c r="F2087" s="11">
        <v>3.4</v>
      </c>
      <c r="G2087" s="11">
        <v>52.151758241758245</v>
      </c>
      <c r="I2087" s="28"/>
    </row>
    <row r="2088" spans="2:9" x14ac:dyDescent="0.35">
      <c r="B2088" s="16">
        <v>45484</v>
      </c>
      <c r="C2088" s="6" t="s">
        <v>6</v>
      </c>
      <c r="D20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8" s="17">
        <v>222.81</v>
      </c>
      <c r="F2088" s="9">
        <v>2.91</v>
      </c>
      <c r="G2088" s="10">
        <v>52.394061719764302</v>
      </c>
      <c r="I2088" s="28"/>
    </row>
    <row r="2089" spans="2:9" x14ac:dyDescent="0.35">
      <c r="B2089" s="16">
        <v>45485</v>
      </c>
      <c r="C2089" s="6" t="s">
        <v>6</v>
      </c>
      <c r="D20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89" s="17">
        <v>211.87</v>
      </c>
      <c r="F2089" s="9">
        <v>1.85</v>
      </c>
      <c r="G2089" s="10">
        <v>53.634059650749499</v>
      </c>
      <c r="I2089" s="28"/>
    </row>
    <row r="2090" spans="2:9" x14ac:dyDescent="0.35">
      <c r="B2090" s="16">
        <v>45486</v>
      </c>
      <c r="C2090" s="6" t="s">
        <v>6</v>
      </c>
      <c r="D20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0" s="17">
        <v>135.21</v>
      </c>
      <c r="F2090" s="9">
        <v>6.1</v>
      </c>
      <c r="G2090" s="10">
        <v>50.203831347387712</v>
      </c>
      <c r="I2090" s="28"/>
    </row>
    <row r="2091" spans="2:9" x14ac:dyDescent="0.35">
      <c r="B2091" s="16">
        <v>45488</v>
      </c>
      <c r="C2091" s="6" t="s">
        <v>6</v>
      </c>
      <c r="D20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1" s="17">
        <v>229.82</v>
      </c>
      <c r="F2091" s="9">
        <v>5.28</v>
      </c>
      <c r="G2091" s="10">
        <v>50.625103734439833</v>
      </c>
      <c r="I2091" s="28"/>
    </row>
    <row r="2092" spans="2:9" x14ac:dyDescent="0.35">
      <c r="B2092" s="16">
        <v>45489</v>
      </c>
      <c r="C2092" s="6" t="s">
        <v>6</v>
      </c>
      <c r="D20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2" s="17">
        <v>190.04</v>
      </c>
      <c r="F2092" s="9">
        <v>3.22</v>
      </c>
      <c r="G2092" s="10">
        <v>52.598970343218923</v>
      </c>
      <c r="I2092" s="28"/>
    </row>
    <row r="2093" spans="2:9" x14ac:dyDescent="0.35">
      <c r="B2093" s="16">
        <v>45484</v>
      </c>
      <c r="C2093" s="6" t="s">
        <v>2</v>
      </c>
      <c r="D20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3" s="17">
        <v>296.60000000000002</v>
      </c>
      <c r="F2093" s="9">
        <v>0.43</v>
      </c>
      <c r="G2093" s="11">
        <v>53.228915662650607</v>
      </c>
      <c r="I2093" s="28"/>
    </row>
    <row r="2094" spans="2:9" x14ac:dyDescent="0.35">
      <c r="B2094" s="16">
        <v>45485</v>
      </c>
      <c r="C2094" s="6" t="s">
        <v>2</v>
      </c>
      <c r="D20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4" s="17">
        <v>251.64</v>
      </c>
      <c r="F2094" s="9">
        <v>1.32</v>
      </c>
      <c r="G2094" s="11">
        <v>52.712859528979457</v>
      </c>
      <c r="I2094" s="28"/>
    </row>
    <row r="2095" spans="2:9" x14ac:dyDescent="0.35">
      <c r="B2095" s="16">
        <v>45486</v>
      </c>
      <c r="C2095" s="6" t="s">
        <v>2</v>
      </c>
      <c r="D20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5" s="17">
        <v>207.31</v>
      </c>
      <c r="F2095" s="9">
        <v>2.86</v>
      </c>
      <c r="G2095" s="11">
        <v>50.263930058284757</v>
      </c>
      <c r="I2095" s="28"/>
    </row>
    <row r="2096" spans="2:9" x14ac:dyDescent="0.35">
      <c r="B2096" s="16">
        <v>45488</v>
      </c>
      <c r="C2096" s="6" t="s">
        <v>2</v>
      </c>
      <c r="D20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6" s="17">
        <v>135.28</v>
      </c>
      <c r="F2096" s="9">
        <v>1.78</v>
      </c>
      <c r="G2096" s="11">
        <v>51.771029846960346</v>
      </c>
      <c r="I2096" s="28"/>
    </row>
    <row r="2097" spans="2:9" x14ac:dyDescent="0.35">
      <c r="B2097" s="16">
        <v>45489</v>
      </c>
      <c r="C2097" s="6" t="s">
        <v>2</v>
      </c>
      <c r="D20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7" s="17">
        <v>267.62</v>
      </c>
      <c r="F2097" s="9">
        <v>0.16</v>
      </c>
      <c r="G2097" s="11">
        <v>54.577536412817309</v>
      </c>
      <c r="I2097" s="28"/>
    </row>
    <row r="2098" spans="2:9" x14ac:dyDescent="0.35">
      <c r="B2098" s="16">
        <v>45495</v>
      </c>
      <c r="C2098" s="6" t="s">
        <v>5</v>
      </c>
      <c r="D20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8" s="17">
        <v>136.26</v>
      </c>
      <c r="F2098" s="9">
        <v>0.11</v>
      </c>
      <c r="G2098" s="10">
        <v>54.701813930182063</v>
      </c>
      <c r="I2098" s="28"/>
    </row>
    <row r="2099" spans="2:9" x14ac:dyDescent="0.35">
      <c r="B2099" s="16">
        <v>45490</v>
      </c>
      <c r="C2099" s="6" t="s">
        <v>3</v>
      </c>
      <c r="D20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099" s="17">
        <v>67.56</v>
      </c>
      <c r="F2099" s="11">
        <v>1.67</v>
      </c>
      <c r="G2099" s="11">
        <v>53.603563829787234</v>
      </c>
      <c r="I2099" s="28"/>
    </row>
    <row r="2100" spans="2:9" x14ac:dyDescent="0.35">
      <c r="B2100" s="16">
        <v>45491</v>
      </c>
      <c r="C2100" s="6" t="s">
        <v>3</v>
      </c>
      <c r="D21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0" s="17">
        <v>100</v>
      </c>
      <c r="F2100" s="11">
        <v>1.53</v>
      </c>
      <c r="G2100" s="11">
        <v>53.730999416520795</v>
      </c>
      <c r="I2100" s="28"/>
    </row>
    <row r="2101" spans="2:9" x14ac:dyDescent="0.35">
      <c r="B2101" s="16">
        <v>45492</v>
      </c>
      <c r="C2101" s="6" t="s">
        <v>3</v>
      </c>
      <c r="D21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1" s="17">
        <v>149</v>
      </c>
      <c r="F2101" s="11">
        <v>3.16</v>
      </c>
      <c r="G2101" s="11">
        <v>51.971316273624353</v>
      </c>
      <c r="I2101" s="28"/>
    </row>
    <row r="2102" spans="2:9" x14ac:dyDescent="0.35">
      <c r="B2102" s="16">
        <v>45495</v>
      </c>
      <c r="C2102" s="6" t="s">
        <v>3</v>
      </c>
      <c r="D21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2" s="17">
        <v>67.38</v>
      </c>
      <c r="F2102" s="11">
        <v>1.17</v>
      </c>
      <c r="G2102" s="11">
        <v>54.34023775874968</v>
      </c>
      <c r="I2102" s="28"/>
    </row>
    <row r="2103" spans="2:9" x14ac:dyDescent="0.35">
      <c r="B2103" s="16">
        <v>45489</v>
      </c>
      <c r="C2103" s="6" t="s">
        <v>6</v>
      </c>
      <c r="D21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3" s="17">
        <v>190.04</v>
      </c>
      <c r="F2103" s="9">
        <v>3.22</v>
      </c>
      <c r="G2103" s="10">
        <v>52.598970343218923</v>
      </c>
      <c r="I2103" s="28"/>
    </row>
    <row r="2104" spans="2:9" x14ac:dyDescent="0.35">
      <c r="B2104" s="16">
        <v>45490</v>
      </c>
      <c r="C2104" s="6" t="s">
        <v>6</v>
      </c>
      <c r="D21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4" s="17">
        <v>285.02999999999997</v>
      </c>
      <c r="F2104" s="9">
        <v>1.81</v>
      </c>
      <c r="G2104" s="10">
        <v>53.598448247217149</v>
      </c>
      <c r="I2104" s="28"/>
    </row>
    <row r="2105" spans="2:9" x14ac:dyDescent="0.35">
      <c r="B2105" s="16">
        <v>45491</v>
      </c>
      <c r="C2105" s="6" t="s">
        <v>6</v>
      </c>
      <c r="D21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5" s="17">
        <v>103.11</v>
      </c>
      <c r="F2105" s="9">
        <v>2.25</v>
      </c>
      <c r="G2105" s="10">
        <v>53.121548753972242</v>
      </c>
      <c r="I2105" s="28"/>
    </row>
    <row r="2106" spans="2:9" x14ac:dyDescent="0.35">
      <c r="B2106" s="16">
        <v>45492</v>
      </c>
      <c r="C2106" s="6" t="s">
        <v>6</v>
      </c>
      <c r="D21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6" s="17">
        <v>105.22</v>
      </c>
      <c r="F2106" s="9">
        <v>5.01</v>
      </c>
      <c r="G2106" s="10">
        <v>50.719055222887562</v>
      </c>
      <c r="I2106" s="28"/>
    </row>
    <row r="2107" spans="2:9" x14ac:dyDescent="0.35">
      <c r="B2107" s="16">
        <v>45495</v>
      </c>
      <c r="C2107" s="6" t="s">
        <v>6</v>
      </c>
      <c r="D21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7" s="17">
        <v>103.82</v>
      </c>
      <c r="F2107" s="9">
        <v>2.91</v>
      </c>
      <c r="G2107" s="10">
        <v>52.479645854184312</v>
      </c>
      <c r="I2107" s="28"/>
    </row>
    <row r="2108" spans="2:9" x14ac:dyDescent="0.35">
      <c r="B2108" s="16">
        <v>45489</v>
      </c>
      <c r="C2108" s="6" t="s">
        <v>2</v>
      </c>
      <c r="D21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8" s="17">
        <v>267.62</v>
      </c>
      <c r="F2108" s="9">
        <v>0.16</v>
      </c>
      <c r="G2108" s="11">
        <v>54.577536412817309</v>
      </c>
      <c r="I2108" s="28"/>
    </row>
    <row r="2109" spans="2:9" x14ac:dyDescent="0.35">
      <c r="B2109" s="16">
        <v>45490</v>
      </c>
      <c r="C2109" s="6" t="s">
        <v>2</v>
      </c>
      <c r="D21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09" s="17">
        <v>373.81</v>
      </c>
      <c r="F2109" s="9">
        <v>2.5099999999999998</v>
      </c>
      <c r="G2109" s="11">
        <v>48.839990000833261</v>
      </c>
      <c r="I2109" s="28"/>
    </row>
    <row r="2110" spans="2:9" x14ac:dyDescent="0.35">
      <c r="B2110" s="16">
        <v>45491</v>
      </c>
      <c r="C2110" s="6" t="s">
        <v>2</v>
      </c>
      <c r="D21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0" s="17">
        <v>256.23</v>
      </c>
      <c r="F2110" s="9">
        <v>1.52</v>
      </c>
      <c r="G2110" s="11">
        <v>48.298626716604247</v>
      </c>
      <c r="I2110" s="28"/>
    </row>
    <row r="2111" spans="2:9" x14ac:dyDescent="0.35">
      <c r="B2111" s="16">
        <v>45492</v>
      </c>
      <c r="C2111" s="6" t="s">
        <v>2</v>
      </c>
      <c r="D21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1" s="17">
        <v>1084.3399999999999</v>
      </c>
      <c r="F2111" s="9">
        <v>2.74</v>
      </c>
      <c r="G2111" s="11">
        <v>50.896433915211965</v>
      </c>
      <c r="I2111" s="28"/>
    </row>
    <row r="2112" spans="2:9" x14ac:dyDescent="0.35">
      <c r="B2112" s="16">
        <v>45495</v>
      </c>
      <c r="C2112" s="6" t="s">
        <v>2</v>
      </c>
      <c r="D21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2" s="17">
        <v>133.04</v>
      </c>
      <c r="F2112" s="9">
        <v>1.04</v>
      </c>
      <c r="G2112" s="11">
        <v>52.908549501151192</v>
      </c>
      <c r="I2112" s="28"/>
    </row>
    <row r="2113" spans="2:9" x14ac:dyDescent="0.35">
      <c r="B2113" s="16">
        <v>45496</v>
      </c>
      <c r="C2113" s="6" t="s">
        <v>5</v>
      </c>
      <c r="D21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3" s="17">
        <v>136.26</v>
      </c>
      <c r="F2113" s="9">
        <v>2.31</v>
      </c>
      <c r="G2113" s="10">
        <v>53.123520539955003</v>
      </c>
      <c r="I2113" s="28"/>
    </row>
    <row r="2114" spans="2:9" x14ac:dyDescent="0.35">
      <c r="B2114" s="16">
        <v>45496</v>
      </c>
      <c r="C2114" s="6" t="s">
        <v>3</v>
      </c>
      <c r="D21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4" s="17">
        <v>67.38</v>
      </c>
      <c r="F2114" s="11">
        <v>1.42</v>
      </c>
      <c r="G2114" s="11">
        <v>53.96080639786738</v>
      </c>
      <c r="I2114" s="28"/>
    </row>
    <row r="2115" spans="2:9" x14ac:dyDescent="0.35">
      <c r="B2115" s="16">
        <v>45497</v>
      </c>
      <c r="C2115" s="6" t="s">
        <v>3</v>
      </c>
      <c r="D21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5" s="17">
        <v>68.819999999999993</v>
      </c>
      <c r="F2115" s="11">
        <v>3.76</v>
      </c>
      <c r="G2115" s="11">
        <v>51.68354659248957</v>
      </c>
      <c r="I2115" s="28"/>
    </row>
    <row r="2116" spans="2:9" x14ac:dyDescent="0.35">
      <c r="B2116" s="16">
        <v>45490</v>
      </c>
      <c r="C2116" s="6" t="s">
        <v>2</v>
      </c>
      <c r="D21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6" s="17">
        <v>373.81</v>
      </c>
      <c r="F2116" s="9">
        <v>2.5099999999999998</v>
      </c>
      <c r="G2116" s="11">
        <v>48.839990000833261</v>
      </c>
      <c r="I2116" s="28"/>
    </row>
    <row r="2117" spans="2:9" x14ac:dyDescent="0.35">
      <c r="B2117" s="16">
        <v>45491</v>
      </c>
      <c r="C2117" s="6" t="s">
        <v>2</v>
      </c>
      <c r="D21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7" s="17">
        <v>256.23</v>
      </c>
      <c r="F2117" s="9">
        <v>1.52</v>
      </c>
      <c r="G2117" s="11">
        <v>48.298626716604247</v>
      </c>
      <c r="I2117" s="28"/>
    </row>
    <row r="2118" spans="2:9" x14ac:dyDescent="0.35">
      <c r="B2118" s="16">
        <v>45492</v>
      </c>
      <c r="C2118" s="6" t="s">
        <v>2</v>
      </c>
      <c r="D21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8" s="17">
        <v>1084.3399999999999</v>
      </c>
      <c r="F2118" s="9">
        <v>2.74</v>
      </c>
      <c r="G2118" s="11">
        <v>50.896433915211965</v>
      </c>
      <c r="I2118" s="28"/>
    </row>
    <row r="2119" spans="2:9" x14ac:dyDescent="0.35">
      <c r="B2119" s="16">
        <v>45495</v>
      </c>
      <c r="C2119" s="6" t="s">
        <v>2</v>
      </c>
      <c r="D21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19" s="17">
        <v>133.04</v>
      </c>
      <c r="F2119" s="9">
        <v>1.04</v>
      </c>
      <c r="G2119" s="11">
        <v>52.908549501151192</v>
      </c>
      <c r="I2119" s="28"/>
    </row>
    <row r="2120" spans="2:9" x14ac:dyDescent="0.35">
      <c r="B2120" s="16">
        <v>45496</v>
      </c>
      <c r="C2120" s="6" t="s">
        <v>2</v>
      </c>
      <c r="D21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0" s="17">
        <v>535.83000000000004</v>
      </c>
      <c r="F2120" s="9">
        <v>2.2400000000000002</v>
      </c>
      <c r="G2120" s="11">
        <v>52.323525929631479</v>
      </c>
      <c r="I2120" s="28"/>
    </row>
    <row r="2121" spans="2:9" x14ac:dyDescent="0.35">
      <c r="B2121" s="16">
        <v>45497</v>
      </c>
      <c r="C2121" s="6" t="s">
        <v>2</v>
      </c>
      <c r="D21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1" s="17">
        <v>779</v>
      </c>
      <c r="F2121" s="9">
        <v>1.67</v>
      </c>
      <c r="G2121" s="11">
        <v>51.357747192686084</v>
      </c>
      <c r="I2121" s="28"/>
    </row>
    <row r="2122" spans="2:9" x14ac:dyDescent="0.35">
      <c r="B2122" s="16">
        <v>45498</v>
      </c>
      <c r="C2122" s="6" t="s">
        <v>5</v>
      </c>
      <c r="D21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2" s="17">
        <v>162.82</v>
      </c>
      <c r="F2122" s="9">
        <v>1.04</v>
      </c>
      <c r="G2122" s="10">
        <v>53.829587495971644</v>
      </c>
      <c r="I2122" s="28"/>
    </row>
    <row r="2123" spans="2:9" x14ac:dyDescent="0.35">
      <c r="B2123" s="16">
        <v>45498</v>
      </c>
      <c r="C2123" s="6" t="s">
        <v>3</v>
      </c>
      <c r="D21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3" s="17">
        <v>69</v>
      </c>
      <c r="F2123" s="11">
        <v>4.47</v>
      </c>
      <c r="G2123" s="11">
        <v>51.235265423242467</v>
      </c>
      <c r="I2123" s="28"/>
    </row>
    <row r="2124" spans="2:9" x14ac:dyDescent="0.35">
      <c r="B2124" s="16">
        <v>45499</v>
      </c>
      <c r="C2124" s="6" t="s">
        <v>3</v>
      </c>
      <c r="D21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4" s="17">
        <v>90</v>
      </c>
      <c r="F2124" s="11">
        <v>3.82</v>
      </c>
      <c r="G2124" s="11">
        <v>51.105373561056354</v>
      </c>
      <c r="I2124" s="28"/>
    </row>
    <row r="2125" spans="2:9" x14ac:dyDescent="0.35">
      <c r="B2125" s="16">
        <v>45500</v>
      </c>
      <c r="C2125" s="6" t="s">
        <v>3</v>
      </c>
      <c r="D21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5" s="17">
        <v>43.8</v>
      </c>
      <c r="F2125" s="11">
        <v>11.5</v>
      </c>
      <c r="G2125" s="11">
        <v>45.81045342353049</v>
      </c>
      <c r="I2125" s="28"/>
    </row>
    <row r="2126" spans="2:9" x14ac:dyDescent="0.35">
      <c r="B2126" s="16">
        <v>45498</v>
      </c>
      <c r="C2126" s="6" t="s">
        <v>2</v>
      </c>
      <c r="D21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6" s="17">
        <v>540.22</v>
      </c>
      <c r="F2126" s="9">
        <v>3.96</v>
      </c>
      <c r="G2126" s="11">
        <v>51.196569343065697</v>
      </c>
      <c r="I2126" s="28"/>
    </row>
    <row r="2127" spans="2:9" x14ac:dyDescent="0.35">
      <c r="B2127" s="16">
        <v>45499</v>
      </c>
      <c r="C2127" s="6" t="s">
        <v>2</v>
      </c>
      <c r="D21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7" s="17">
        <v>460.61</v>
      </c>
      <c r="F2127" s="9">
        <v>5.53</v>
      </c>
      <c r="G2127" s="11">
        <v>48.470613650594863</v>
      </c>
      <c r="I2127" s="28"/>
    </row>
    <row r="2128" spans="2:9" x14ac:dyDescent="0.35">
      <c r="B2128" s="16">
        <v>45500</v>
      </c>
      <c r="C2128" s="6" t="s">
        <v>2</v>
      </c>
      <c r="D21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8" s="17">
        <v>227.76</v>
      </c>
      <c r="F2128" s="9">
        <v>0.63</v>
      </c>
      <c r="G2128" s="11">
        <v>53.56734547874553</v>
      </c>
      <c r="I2128" s="28"/>
    </row>
    <row r="2129" spans="2:9" x14ac:dyDescent="0.35">
      <c r="B2129" s="16">
        <v>45502</v>
      </c>
      <c r="C2129" s="6" t="s">
        <v>3</v>
      </c>
      <c r="D21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29" s="17">
        <v>44</v>
      </c>
      <c r="F2129" s="11">
        <v>3.89</v>
      </c>
      <c r="G2129" s="11">
        <v>51.699020652898071</v>
      </c>
      <c r="I2129" s="28"/>
    </row>
    <row r="2130" spans="2:9" x14ac:dyDescent="0.35">
      <c r="B2130" s="16">
        <v>45503</v>
      </c>
      <c r="C2130" s="6" t="s">
        <v>3</v>
      </c>
      <c r="D21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0" s="17">
        <v>74.959999999999994</v>
      </c>
      <c r="F2130" s="11">
        <v>7.95</v>
      </c>
      <c r="G2130" s="11">
        <v>47.422856179396391</v>
      </c>
      <c r="I2130" s="28"/>
    </row>
    <row r="2131" spans="2:9" x14ac:dyDescent="0.35">
      <c r="B2131" s="16">
        <v>45502</v>
      </c>
      <c r="C2131" s="6" t="s">
        <v>2</v>
      </c>
      <c r="D21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1" s="17">
        <v>328</v>
      </c>
      <c r="F2131" s="9">
        <v>1.4</v>
      </c>
      <c r="G2131" s="11">
        <v>52.8746399134127</v>
      </c>
      <c r="I2131" s="28"/>
    </row>
    <row r="2132" spans="2:9" x14ac:dyDescent="0.35">
      <c r="B2132" s="16">
        <v>45503</v>
      </c>
      <c r="C2132" s="6" t="s">
        <v>2</v>
      </c>
      <c r="D21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2" s="17">
        <v>532</v>
      </c>
      <c r="F2132" s="9">
        <v>1.61</v>
      </c>
      <c r="G2132" s="11">
        <v>53.604536522853472</v>
      </c>
      <c r="I2132" s="28"/>
    </row>
    <row r="2133" spans="2:9" x14ac:dyDescent="0.35">
      <c r="B2133" s="16">
        <v>45504</v>
      </c>
      <c r="C2133" s="6" t="s">
        <v>3</v>
      </c>
      <c r="D21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3" s="17">
        <v>90</v>
      </c>
      <c r="F2133" s="11">
        <v>2.81</v>
      </c>
      <c r="G2133" s="11">
        <v>52.4672726062945</v>
      </c>
      <c r="I2133" s="28"/>
    </row>
    <row r="2134" spans="2:9" x14ac:dyDescent="0.35">
      <c r="B2134" s="16">
        <v>45505</v>
      </c>
      <c r="C2134" s="6" t="s">
        <v>3</v>
      </c>
      <c r="D21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4" s="17">
        <v>92.38</v>
      </c>
      <c r="F2134" s="11">
        <v>2.2799999999999998</v>
      </c>
      <c r="G2134" s="11">
        <v>52.92495145631068</v>
      </c>
      <c r="I2134" s="28"/>
    </row>
    <row r="2135" spans="2:9" x14ac:dyDescent="0.35">
      <c r="B2135" s="16">
        <v>45506</v>
      </c>
      <c r="C2135" s="6" t="s">
        <v>3</v>
      </c>
      <c r="D21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5" s="17">
        <v>70.88</v>
      </c>
      <c r="F2135" s="11">
        <v>2.17</v>
      </c>
      <c r="G2135" s="11">
        <v>52.731854003536249</v>
      </c>
      <c r="I2135" s="28"/>
    </row>
    <row r="2136" spans="2:9" x14ac:dyDescent="0.35">
      <c r="B2136" s="16">
        <v>45507</v>
      </c>
      <c r="C2136" s="6" t="s">
        <v>3</v>
      </c>
      <c r="D21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6" s="17">
        <v>44.54</v>
      </c>
      <c r="F2136" s="11">
        <v>1.27</v>
      </c>
      <c r="G2136" s="11">
        <v>52.682636869651915</v>
      </c>
      <c r="I2136" s="28"/>
    </row>
    <row r="2137" spans="2:9" x14ac:dyDescent="0.35">
      <c r="B2137" s="16">
        <v>45509</v>
      </c>
      <c r="C2137" s="6" t="s">
        <v>3</v>
      </c>
      <c r="D21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7" s="17">
        <v>64.66</v>
      </c>
      <c r="F2137" s="11">
        <v>2.2999999999999998</v>
      </c>
      <c r="G2137" s="11">
        <v>53.097072338300173</v>
      </c>
      <c r="I2137" s="28"/>
    </row>
    <row r="2138" spans="2:9" x14ac:dyDescent="0.35">
      <c r="B2138" s="16">
        <v>45504</v>
      </c>
      <c r="C2138" s="6" t="s">
        <v>2</v>
      </c>
      <c r="D21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8" s="17">
        <v>333.3</v>
      </c>
      <c r="F2138" s="9">
        <v>2.99</v>
      </c>
      <c r="G2138" s="11">
        <v>51.6086568627451</v>
      </c>
      <c r="I2138" s="28"/>
    </row>
    <row r="2139" spans="2:9" x14ac:dyDescent="0.35">
      <c r="B2139" s="16">
        <v>45505</v>
      </c>
      <c r="C2139" s="6" t="s">
        <v>2</v>
      </c>
      <c r="D21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39" s="17">
        <v>333.3</v>
      </c>
      <c r="F2139" s="9">
        <v>0.65</v>
      </c>
      <c r="G2139" s="11">
        <v>53.923830521472389</v>
      </c>
      <c r="I2139" s="28"/>
    </row>
    <row r="2140" spans="2:9" x14ac:dyDescent="0.35">
      <c r="B2140" s="16">
        <v>45506</v>
      </c>
      <c r="C2140" s="6" t="s">
        <v>2</v>
      </c>
      <c r="D21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0" s="17">
        <v>333.3</v>
      </c>
      <c r="F2140" s="9">
        <v>1.98</v>
      </c>
      <c r="G2140" s="11">
        <v>52.141681886103271</v>
      </c>
      <c r="I2140" s="28"/>
    </row>
    <row r="2141" spans="2:9" x14ac:dyDescent="0.35">
      <c r="B2141" s="16">
        <v>45507</v>
      </c>
      <c r="C2141" s="6" t="s">
        <v>2</v>
      </c>
      <c r="D21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1" s="17">
        <v>333.3</v>
      </c>
      <c r="F2141" s="9">
        <v>0.03</v>
      </c>
      <c r="G2141" s="11">
        <v>54.842416347594472</v>
      </c>
      <c r="I2141" s="28"/>
    </row>
    <row r="2142" spans="2:9" x14ac:dyDescent="0.35">
      <c r="B2142" s="16">
        <v>45509</v>
      </c>
      <c r="C2142" s="6" t="s">
        <v>2</v>
      </c>
      <c r="D21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2" s="17">
        <v>333.3</v>
      </c>
      <c r="F2142" s="9">
        <v>4.32</v>
      </c>
      <c r="G2142" s="11">
        <v>48.697281205762337</v>
      </c>
      <c r="I2142" s="28"/>
    </row>
    <row r="2143" spans="2:9" x14ac:dyDescent="0.35">
      <c r="B2143" s="16">
        <v>45510</v>
      </c>
      <c r="C2143" s="6" t="s">
        <v>3</v>
      </c>
      <c r="D21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3" s="17">
        <v>69.36</v>
      </c>
      <c r="F2143" s="11">
        <v>2.98</v>
      </c>
      <c r="G2143" s="11">
        <v>52.333722401912532</v>
      </c>
      <c r="I2143" s="28"/>
    </row>
    <row r="2144" spans="2:9" x14ac:dyDescent="0.35">
      <c r="B2144" s="16">
        <v>45512</v>
      </c>
      <c r="C2144" s="6" t="s">
        <v>3</v>
      </c>
      <c r="D21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4" s="17">
        <v>44.88</v>
      </c>
      <c r="F2144" s="11">
        <v>4.2</v>
      </c>
      <c r="G2144" s="11">
        <v>49.309543298223048</v>
      </c>
      <c r="I2144" s="28"/>
    </row>
    <row r="2145" spans="2:9" x14ac:dyDescent="0.35">
      <c r="B2145" s="16">
        <v>45513</v>
      </c>
      <c r="C2145" s="6" t="s">
        <v>3</v>
      </c>
      <c r="D21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5" s="17">
        <v>91.46</v>
      </c>
      <c r="F2145" s="11">
        <v>1.57</v>
      </c>
      <c r="G2145" s="11">
        <v>53.229758614949226</v>
      </c>
      <c r="I2145" s="28"/>
    </row>
    <row r="2146" spans="2:9" x14ac:dyDescent="0.35">
      <c r="B2146" s="16">
        <v>45514</v>
      </c>
      <c r="C2146" s="6" t="s">
        <v>3</v>
      </c>
      <c r="D21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6" s="17">
        <v>51.16</v>
      </c>
      <c r="F2146" s="11">
        <v>1.87</v>
      </c>
      <c r="G2146" s="11">
        <v>53.819919051990318</v>
      </c>
      <c r="I2146" s="28"/>
    </row>
    <row r="2147" spans="2:9" x14ac:dyDescent="0.35">
      <c r="B2147" s="16">
        <v>45516</v>
      </c>
      <c r="C2147" s="6" t="s">
        <v>3</v>
      </c>
      <c r="D21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7" s="17">
        <v>97.46</v>
      </c>
      <c r="F2147" s="11">
        <v>1.63</v>
      </c>
      <c r="G2147" s="11">
        <v>53.851937484287276</v>
      </c>
      <c r="I2147" s="28"/>
    </row>
    <row r="2148" spans="2:9" x14ac:dyDescent="0.35">
      <c r="B2148" s="16">
        <v>45517</v>
      </c>
      <c r="C2148" s="6" t="s">
        <v>3</v>
      </c>
      <c r="D21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8" s="17">
        <v>122.72</v>
      </c>
      <c r="F2148" s="11">
        <v>1.73</v>
      </c>
      <c r="G2148" s="11">
        <v>53.480825909582883</v>
      </c>
      <c r="I2148" s="28"/>
    </row>
    <row r="2149" spans="2:9" x14ac:dyDescent="0.35">
      <c r="B2149" s="16">
        <v>45510</v>
      </c>
      <c r="C2149" s="6" t="s">
        <v>2</v>
      </c>
      <c r="D21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49" s="17">
        <v>392.2</v>
      </c>
      <c r="F2149" s="9">
        <v>0.43</v>
      </c>
      <c r="G2149" s="11">
        <v>54.428480436760687</v>
      </c>
      <c r="I2149" s="28"/>
    </row>
    <row r="2150" spans="2:9" x14ac:dyDescent="0.35">
      <c r="B2150" s="16">
        <v>45512</v>
      </c>
      <c r="C2150" s="6" t="s">
        <v>2</v>
      </c>
      <c r="D21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0" s="17">
        <v>335.94</v>
      </c>
      <c r="F2150" s="9">
        <v>0.11</v>
      </c>
      <c r="G2150" s="11">
        <v>55.18682667078253</v>
      </c>
      <c r="I2150" s="28"/>
    </row>
    <row r="2151" spans="2:9" x14ac:dyDescent="0.35">
      <c r="B2151" s="16">
        <v>45513</v>
      </c>
      <c r="C2151" s="6" t="s">
        <v>2</v>
      </c>
      <c r="D21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1" s="17">
        <v>403.75</v>
      </c>
      <c r="F2151" s="9">
        <v>4.92</v>
      </c>
      <c r="G2151" s="11">
        <v>48.792008646491517</v>
      </c>
      <c r="I2151" s="28"/>
    </row>
    <row r="2152" spans="2:9" x14ac:dyDescent="0.35">
      <c r="B2152" s="16">
        <v>45514</v>
      </c>
      <c r="C2152" s="6" t="s">
        <v>2</v>
      </c>
      <c r="D21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2" s="17">
        <v>447.19</v>
      </c>
      <c r="F2152" s="9">
        <v>1.02</v>
      </c>
      <c r="G2152" s="11">
        <v>54.003298049674939</v>
      </c>
      <c r="I2152" s="28"/>
    </row>
    <row r="2153" spans="2:9" x14ac:dyDescent="0.35">
      <c r="B2153" s="16">
        <v>45516</v>
      </c>
      <c r="C2153" s="6" t="s">
        <v>2</v>
      </c>
      <c r="D21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3" s="17">
        <v>265.52</v>
      </c>
      <c r="F2153" s="9">
        <v>0.31</v>
      </c>
      <c r="G2153" s="11">
        <v>54.553384769371924</v>
      </c>
      <c r="I2153" s="28"/>
    </row>
    <row r="2154" spans="2:9" x14ac:dyDescent="0.35">
      <c r="B2154" s="16">
        <v>45517</v>
      </c>
      <c r="C2154" s="6" t="s">
        <v>2</v>
      </c>
      <c r="D21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4" s="17">
        <v>464.34</v>
      </c>
      <c r="F2154" s="9">
        <v>1.05</v>
      </c>
      <c r="G2154" s="11">
        <v>53.321686526122818</v>
      </c>
      <c r="I2154" s="28"/>
    </row>
    <row r="2155" spans="2:9" x14ac:dyDescent="0.35">
      <c r="B2155" s="16">
        <v>45521</v>
      </c>
      <c r="C2155" s="6" t="s">
        <v>5</v>
      </c>
      <c r="D21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5" s="17">
        <v>133.46</v>
      </c>
      <c r="F2155" s="9">
        <v>1.95</v>
      </c>
      <c r="G2155" s="10">
        <v>53.032965494249048</v>
      </c>
      <c r="I2155" s="28"/>
    </row>
    <row r="2156" spans="2:9" x14ac:dyDescent="0.35">
      <c r="B2156" s="16">
        <v>45525</v>
      </c>
      <c r="C2156" s="6" t="s">
        <v>5</v>
      </c>
      <c r="D21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6" s="17">
        <v>167.69</v>
      </c>
      <c r="F2156" s="9">
        <v>0.17</v>
      </c>
      <c r="G2156" s="10">
        <v>54.860834500370707</v>
      </c>
      <c r="I2156" s="28"/>
    </row>
    <row r="2157" spans="2:9" x14ac:dyDescent="0.35">
      <c r="B2157" s="16">
        <v>45527</v>
      </c>
      <c r="C2157" s="6" t="s">
        <v>5</v>
      </c>
      <c r="D21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7" s="17">
        <v>180.69</v>
      </c>
      <c r="F2157" s="9">
        <v>0.43</v>
      </c>
      <c r="G2157" s="10">
        <v>54.950087625030996</v>
      </c>
      <c r="I2157" s="28"/>
    </row>
    <row r="2158" spans="2:9" x14ac:dyDescent="0.35">
      <c r="B2158" s="16">
        <v>45530</v>
      </c>
      <c r="C2158" s="6" t="s">
        <v>5</v>
      </c>
      <c r="D21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8" s="17">
        <v>64.62</v>
      </c>
      <c r="F2158" s="9">
        <v>0.31</v>
      </c>
      <c r="G2158" s="10">
        <v>54.531073825503356</v>
      </c>
      <c r="I2158" s="28"/>
    </row>
    <row r="2159" spans="2:9" x14ac:dyDescent="0.35">
      <c r="B2159" s="16">
        <v>45518</v>
      </c>
      <c r="C2159" s="6" t="s">
        <v>3</v>
      </c>
      <c r="D21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59" s="17">
        <v>110.56</v>
      </c>
      <c r="F2159" s="11">
        <v>1.62</v>
      </c>
      <c r="G2159" s="11">
        <v>53.262601778575508</v>
      </c>
      <c r="I2159" s="28"/>
    </row>
    <row r="2160" spans="2:9" x14ac:dyDescent="0.35">
      <c r="B2160" s="16">
        <v>45519</v>
      </c>
      <c r="C2160" s="6" t="s">
        <v>3</v>
      </c>
      <c r="D21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0" s="17">
        <v>119.22</v>
      </c>
      <c r="F2160" s="11">
        <v>2.7</v>
      </c>
      <c r="G2160" s="11">
        <v>51.80902654867257</v>
      </c>
      <c r="I2160" s="28"/>
    </row>
    <row r="2161" spans="2:9" x14ac:dyDescent="0.35">
      <c r="B2161" s="16">
        <v>45520</v>
      </c>
      <c r="C2161" s="6" t="s">
        <v>3</v>
      </c>
      <c r="D21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1" s="17">
        <v>116.8</v>
      </c>
      <c r="F2161" s="11">
        <v>1.23</v>
      </c>
      <c r="G2161" s="11">
        <v>53.871439509954058</v>
      </c>
      <c r="I2161" s="28"/>
    </row>
    <row r="2162" spans="2:9" x14ac:dyDescent="0.35">
      <c r="B2162" s="16">
        <v>45521</v>
      </c>
      <c r="C2162" s="6" t="s">
        <v>3</v>
      </c>
      <c r="D21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2" s="17">
        <v>24.18</v>
      </c>
      <c r="F2162" s="11">
        <v>1.35</v>
      </c>
      <c r="G2162" s="11">
        <v>54.326666666666668</v>
      </c>
      <c r="I2162" s="28"/>
    </row>
    <row r="2163" spans="2:9" x14ac:dyDescent="0.35">
      <c r="B2163" s="16">
        <v>45524</v>
      </c>
      <c r="C2163" s="6" t="s">
        <v>3</v>
      </c>
      <c r="D21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3" s="17">
        <v>94.5</v>
      </c>
      <c r="F2163" s="11">
        <v>1.48</v>
      </c>
      <c r="G2163" s="11">
        <v>53.670287090684198</v>
      </c>
      <c r="I2163" s="28"/>
    </row>
    <row r="2164" spans="2:9" x14ac:dyDescent="0.35">
      <c r="B2164" s="16">
        <v>45525</v>
      </c>
      <c r="C2164" s="6" t="s">
        <v>3</v>
      </c>
      <c r="D21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4" s="17">
        <v>66.06</v>
      </c>
      <c r="F2164" s="11">
        <v>9.07</v>
      </c>
      <c r="G2164" s="11">
        <v>46.700906523082352</v>
      </c>
      <c r="I2164" s="28"/>
    </row>
    <row r="2165" spans="2:9" x14ac:dyDescent="0.35">
      <c r="B2165" s="16">
        <v>45526</v>
      </c>
      <c r="C2165" s="6" t="s">
        <v>3</v>
      </c>
      <c r="D21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5" s="17">
        <v>25.02</v>
      </c>
      <c r="F2165" s="11">
        <v>3.11</v>
      </c>
      <c r="G2165" s="11">
        <v>51.825419296663661</v>
      </c>
      <c r="I2165" s="28"/>
    </row>
    <row r="2166" spans="2:9" x14ac:dyDescent="0.35">
      <c r="B2166" s="16">
        <v>45527</v>
      </c>
      <c r="C2166" s="6" t="s">
        <v>3</v>
      </c>
      <c r="D21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6" s="17">
        <v>64.02</v>
      </c>
      <c r="F2166" s="11">
        <v>1.31</v>
      </c>
      <c r="G2166" s="11">
        <v>54.253776493256268</v>
      </c>
      <c r="I2166" s="28"/>
    </row>
    <row r="2167" spans="2:9" x14ac:dyDescent="0.35">
      <c r="B2167" s="16">
        <v>45528</v>
      </c>
      <c r="C2167" s="6" t="s">
        <v>3</v>
      </c>
      <c r="D21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7" s="17">
        <v>88.44</v>
      </c>
      <c r="F2167" s="11">
        <v>3.32</v>
      </c>
      <c r="G2167" s="11">
        <v>51.376144121365357</v>
      </c>
      <c r="I2167" s="28"/>
    </row>
    <row r="2168" spans="2:9" x14ac:dyDescent="0.35">
      <c r="B2168" s="16">
        <v>45518</v>
      </c>
      <c r="C2168" s="6" t="s">
        <v>2</v>
      </c>
      <c r="D21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8" s="17">
        <v>526.14</v>
      </c>
      <c r="F2168" s="9">
        <v>0.74</v>
      </c>
      <c r="G2168" s="11">
        <v>54.464016501907061</v>
      </c>
      <c r="I2168" s="28"/>
    </row>
    <row r="2169" spans="2:9" x14ac:dyDescent="0.35">
      <c r="B2169" s="16">
        <v>45519</v>
      </c>
      <c r="C2169" s="6" t="s">
        <v>2</v>
      </c>
      <c r="D21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69" s="17">
        <v>425.52</v>
      </c>
      <c r="F2169" s="9">
        <v>2.42</v>
      </c>
      <c r="G2169" s="11">
        <v>51.48986616791354</v>
      </c>
      <c r="I2169" s="28"/>
    </row>
    <row r="2170" spans="2:9" x14ac:dyDescent="0.35">
      <c r="B2170" s="16">
        <v>45520</v>
      </c>
      <c r="C2170" s="6" t="s">
        <v>2</v>
      </c>
      <c r="D21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0" s="17">
        <v>363.93999999999994</v>
      </c>
      <c r="F2170" s="9">
        <v>0.81</v>
      </c>
      <c r="G2170" s="11">
        <v>53.002392954752509</v>
      </c>
      <c r="I2170" s="28"/>
    </row>
    <row r="2171" spans="2:9" x14ac:dyDescent="0.35">
      <c r="B2171" s="16">
        <v>45521</v>
      </c>
      <c r="C2171" s="6" t="s">
        <v>2</v>
      </c>
      <c r="D21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1" s="17">
        <v>95.32</v>
      </c>
      <c r="F2171" s="9">
        <v>0.81</v>
      </c>
      <c r="G2171" s="11">
        <v>53.599087728067985</v>
      </c>
      <c r="I2171" s="28"/>
    </row>
    <row r="2172" spans="2:9" x14ac:dyDescent="0.35">
      <c r="B2172" s="16">
        <v>45524</v>
      </c>
      <c r="C2172" s="6" t="s">
        <v>2</v>
      </c>
      <c r="D21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2" s="17">
        <v>60.59</v>
      </c>
      <c r="F2172" s="9">
        <v>0.21</v>
      </c>
      <c r="G2172" s="11">
        <v>54.349995982645019</v>
      </c>
      <c r="I2172" s="28"/>
    </row>
    <row r="2173" spans="2:9" x14ac:dyDescent="0.35">
      <c r="B2173" s="16">
        <v>45525</v>
      </c>
      <c r="C2173" s="6" t="s">
        <v>2</v>
      </c>
      <c r="D21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3" s="17">
        <v>321.86</v>
      </c>
      <c r="F2173" s="9">
        <v>0.03</v>
      </c>
      <c r="G2173" s="11">
        <v>54.785250291036093</v>
      </c>
      <c r="I2173" s="28"/>
    </row>
    <row r="2174" spans="2:9" x14ac:dyDescent="0.35">
      <c r="B2174" s="16">
        <v>45526</v>
      </c>
      <c r="C2174" s="6" t="s">
        <v>2</v>
      </c>
      <c r="D21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4" s="17">
        <v>298.23</v>
      </c>
      <c r="F2174" s="9">
        <v>2.62</v>
      </c>
      <c r="G2174" s="11">
        <v>51.898242324818369</v>
      </c>
      <c r="I2174" s="28"/>
    </row>
    <row r="2175" spans="2:9" x14ac:dyDescent="0.35">
      <c r="B2175" s="16">
        <v>45527</v>
      </c>
      <c r="C2175" s="6" t="s">
        <v>2</v>
      </c>
      <c r="D21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5" s="17">
        <v>512.04</v>
      </c>
      <c r="F2175" s="9">
        <v>0.03</v>
      </c>
      <c r="G2175" s="11">
        <v>54.335112130054192</v>
      </c>
      <c r="I2175" s="28"/>
    </row>
    <row r="2176" spans="2:9" x14ac:dyDescent="0.35">
      <c r="B2176" s="16">
        <v>45528</v>
      </c>
      <c r="C2176" s="6" t="s">
        <v>2</v>
      </c>
      <c r="D21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6" s="17">
        <v>441.64</v>
      </c>
      <c r="F2176" s="9">
        <v>0.62</v>
      </c>
      <c r="G2176" s="11">
        <v>53.213048123771259</v>
      </c>
      <c r="I2176" s="28"/>
    </row>
    <row r="2177" spans="2:10" x14ac:dyDescent="0.35">
      <c r="B2177" s="16">
        <v>45530</v>
      </c>
      <c r="C2177" s="6" t="s">
        <v>2</v>
      </c>
      <c r="D21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7" s="17">
        <v>35.76</v>
      </c>
      <c r="F2177" s="9">
        <v>0.68</v>
      </c>
      <c r="G2177" s="11">
        <v>53.817925283522349</v>
      </c>
      <c r="I2177" s="28"/>
    </row>
    <row r="2178" spans="2:10" x14ac:dyDescent="0.35">
      <c r="B2178" s="16">
        <v>45530</v>
      </c>
      <c r="C2178" s="6" t="s">
        <v>2</v>
      </c>
      <c r="D21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8" s="17">
        <v>177.68</v>
      </c>
      <c r="F2178" s="9">
        <v>0.68</v>
      </c>
      <c r="G2178" s="11">
        <v>53.817925283522349</v>
      </c>
      <c r="I2178" s="28"/>
    </row>
    <row r="2179" spans="2:10" x14ac:dyDescent="0.35">
      <c r="B2179" s="16">
        <v>45530</v>
      </c>
      <c r="C2179" s="6" t="s">
        <v>2</v>
      </c>
      <c r="D21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79" s="17">
        <v>255.96</v>
      </c>
      <c r="F2179" s="9">
        <v>0.68</v>
      </c>
      <c r="G2179" s="11">
        <v>53.817925283522349</v>
      </c>
      <c r="I2179" s="28"/>
    </row>
    <row r="2180" spans="2:10" s="2" customFormat="1" x14ac:dyDescent="0.35">
      <c r="B2180" s="16">
        <v>45531</v>
      </c>
      <c r="C2180" s="6" t="s">
        <v>5</v>
      </c>
      <c r="D21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0" s="17">
        <v>97.75</v>
      </c>
      <c r="F2180" s="9">
        <v>0.67</v>
      </c>
      <c r="G2180" s="10">
        <v>54.350116472545757</v>
      </c>
      <c r="I2180" s="28"/>
      <c r="J2180"/>
    </row>
    <row r="2181" spans="2:10" x14ac:dyDescent="0.35">
      <c r="B2181" s="16">
        <v>45532</v>
      </c>
      <c r="C2181" s="6" t="s">
        <v>5</v>
      </c>
      <c r="D21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1" s="17">
        <v>66.36</v>
      </c>
      <c r="F2181" s="9">
        <v>1.0900000000000001</v>
      </c>
      <c r="G2181" s="10">
        <v>53.604957718454649</v>
      </c>
      <c r="I2181" s="28"/>
    </row>
    <row r="2182" spans="2:10" x14ac:dyDescent="0.35">
      <c r="B2182" s="16">
        <v>45533</v>
      </c>
      <c r="C2182" s="6" t="s">
        <v>5</v>
      </c>
      <c r="D21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2" s="17">
        <v>171.13</v>
      </c>
      <c r="F2182" s="9">
        <v>2.96</v>
      </c>
      <c r="G2182" s="10">
        <v>52.808248625229126</v>
      </c>
      <c r="I2182" s="28"/>
    </row>
    <row r="2183" spans="2:10" x14ac:dyDescent="0.35">
      <c r="B2183" s="16">
        <v>45535</v>
      </c>
      <c r="C2183" s="6" t="s">
        <v>5</v>
      </c>
      <c r="D21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3" s="17">
        <v>155.30000000000001</v>
      </c>
      <c r="F2183" s="9">
        <v>0.48</v>
      </c>
      <c r="G2183" s="10">
        <v>54.809694141178433</v>
      </c>
      <c r="I2183" s="28"/>
    </row>
    <row r="2184" spans="2:10" x14ac:dyDescent="0.35">
      <c r="B2184" s="16">
        <v>45542</v>
      </c>
      <c r="C2184" s="6" t="s">
        <v>5</v>
      </c>
      <c r="D21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4" s="17">
        <v>169.77</v>
      </c>
      <c r="F2184" s="9">
        <v>2.25</v>
      </c>
      <c r="G2184" s="10">
        <v>52.846132324476507</v>
      </c>
      <c r="I2184" s="28"/>
    </row>
    <row r="2185" spans="2:10" x14ac:dyDescent="0.35">
      <c r="B2185" s="16">
        <v>45545</v>
      </c>
      <c r="C2185" s="6" t="s">
        <v>5</v>
      </c>
      <c r="D21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5" s="17">
        <v>163.57</v>
      </c>
      <c r="F2185" s="9">
        <v>3.77</v>
      </c>
      <c r="G2185" s="10">
        <v>50.626470103772036</v>
      </c>
      <c r="I2185" s="28"/>
    </row>
    <row r="2186" spans="2:10" x14ac:dyDescent="0.35">
      <c r="B2186" s="16">
        <v>45547</v>
      </c>
      <c r="C2186" s="6" t="s">
        <v>5</v>
      </c>
      <c r="D21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6" s="17">
        <v>168.69</v>
      </c>
      <c r="F2186" s="9">
        <v>3.41</v>
      </c>
      <c r="G2186" s="10">
        <v>51.675429726996967</v>
      </c>
      <c r="I2186" s="28"/>
    </row>
    <row r="2187" spans="2:10" x14ac:dyDescent="0.35">
      <c r="B2187" s="16">
        <v>45549</v>
      </c>
      <c r="C2187" s="6" t="s">
        <v>5</v>
      </c>
      <c r="D21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7" s="17">
        <v>128.07</v>
      </c>
      <c r="F2187" s="9">
        <v>0.67</v>
      </c>
      <c r="G2187" s="10">
        <v>54.327935226042797</v>
      </c>
      <c r="I2187" s="28"/>
    </row>
    <row r="2188" spans="2:10" x14ac:dyDescent="0.35">
      <c r="B2188" s="16">
        <v>45552</v>
      </c>
      <c r="C2188" s="6" t="s">
        <v>5</v>
      </c>
      <c r="D21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8" s="17">
        <v>161.28</v>
      </c>
      <c r="F2188" s="9">
        <v>1.19</v>
      </c>
      <c r="G2188" s="10">
        <v>53.511037086759522</v>
      </c>
      <c r="I2188" s="28"/>
    </row>
    <row r="2189" spans="2:10" x14ac:dyDescent="0.35">
      <c r="B2189" s="16">
        <v>45555</v>
      </c>
      <c r="C2189" s="6" t="s">
        <v>5</v>
      </c>
      <c r="D21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89" s="17">
        <v>136.35</v>
      </c>
      <c r="F2189" s="9">
        <v>0.25</v>
      </c>
      <c r="G2189" s="10">
        <v>54.301924902173006</v>
      </c>
      <c r="I2189" s="28"/>
    </row>
    <row r="2190" spans="2:10" x14ac:dyDescent="0.35">
      <c r="B2190" s="16">
        <v>45556</v>
      </c>
      <c r="C2190" s="6" t="s">
        <v>5</v>
      </c>
      <c r="D21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0" s="17">
        <v>33.700000000000003</v>
      </c>
      <c r="F2190" s="9">
        <v>2.27</v>
      </c>
      <c r="G2190" s="10">
        <v>53.007954999999995</v>
      </c>
      <c r="I2190" s="28"/>
    </row>
    <row r="2191" spans="2:10" x14ac:dyDescent="0.35">
      <c r="B2191" s="16">
        <v>45558</v>
      </c>
      <c r="C2191" s="6" t="s">
        <v>5</v>
      </c>
      <c r="D21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1" s="17">
        <v>99.46</v>
      </c>
      <c r="F2191" s="9">
        <v>0.64</v>
      </c>
      <c r="G2191" s="10">
        <v>54.248347492920203</v>
      </c>
      <c r="I2191" s="28"/>
    </row>
    <row r="2192" spans="2:10" x14ac:dyDescent="0.35">
      <c r="B2192" s="16">
        <v>45531</v>
      </c>
      <c r="C2192" s="6" t="s">
        <v>3</v>
      </c>
      <c r="D21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2" s="17">
        <v>90.82</v>
      </c>
      <c r="F2192" s="11">
        <v>3.12</v>
      </c>
      <c r="G2192" s="11">
        <v>51.952530322040985</v>
      </c>
      <c r="I2192" s="28"/>
    </row>
    <row r="2193" spans="2:9" x14ac:dyDescent="0.35">
      <c r="B2193" s="16">
        <v>45533</v>
      </c>
      <c r="C2193" s="6" t="s">
        <v>3</v>
      </c>
      <c r="D21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3" s="17">
        <v>94.08</v>
      </c>
      <c r="F2193" s="11">
        <v>2.75</v>
      </c>
      <c r="G2193" s="11">
        <v>49.870758988015979</v>
      </c>
      <c r="I2193" s="28"/>
    </row>
    <row r="2194" spans="2:9" x14ac:dyDescent="0.35">
      <c r="B2194" s="16">
        <v>45534</v>
      </c>
      <c r="C2194" s="6" t="s">
        <v>3</v>
      </c>
      <c r="D21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4" s="17">
        <v>67.28</v>
      </c>
      <c r="F2194" s="11">
        <v>0.37</v>
      </c>
      <c r="G2194" s="11">
        <v>54.662465000000005</v>
      </c>
      <c r="I2194" s="28"/>
    </row>
    <row r="2195" spans="2:9" x14ac:dyDescent="0.35">
      <c r="B2195" s="16">
        <v>45535</v>
      </c>
      <c r="C2195" s="6" t="s">
        <v>3</v>
      </c>
      <c r="D21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5" s="17">
        <v>46.68</v>
      </c>
      <c r="F2195" s="11">
        <v>2.09</v>
      </c>
      <c r="G2195" s="11">
        <v>53.391343085106392</v>
      </c>
      <c r="I2195" s="28"/>
    </row>
    <row r="2196" spans="2:9" x14ac:dyDescent="0.35">
      <c r="B2196" s="16">
        <v>45537</v>
      </c>
      <c r="C2196" s="6" t="s">
        <v>3</v>
      </c>
      <c r="D21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6" s="17">
        <v>93.58</v>
      </c>
      <c r="F2196" s="11">
        <v>2.4</v>
      </c>
      <c r="G2196" s="11">
        <v>52.727298735861609</v>
      </c>
      <c r="I2196" s="28"/>
    </row>
    <row r="2197" spans="2:9" x14ac:dyDescent="0.35">
      <c r="B2197" s="16">
        <v>45538</v>
      </c>
      <c r="C2197" s="6" t="s">
        <v>3</v>
      </c>
      <c r="D21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7" s="17">
        <v>162.06</v>
      </c>
      <c r="F2197" s="11">
        <v>3.54</v>
      </c>
      <c r="G2197" s="11">
        <v>52.67457864466116</v>
      </c>
      <c r="I2197" s="28"/>
    </row>
    <row r="2198" spans="2:9" x14ac:dyDescent="0.35">
      <c r="B2198" s="16">
        <v>45541</v>
      </c>
      <c r="C2198" s="6" t="s">
        <v>3</v>
      </c>
      <c r="D21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8" s="17">
        <v>84.66</v>
      </c>
      <c r="F2198" s="11">
        <v>2.15</v>
      </c>
      <c r="G2198" s="11">
        <v>52.923163041309124</v>
      </c>
      <c r="I2198" s="28"/>
    </row>
    <row r="2199" spans="2:9" x14ac:dyDescent="0.35">
      <c r="B2199" s="16">
        <v>45544</v>
      </c>
      <c r="C2199" s="6" t="s">
        <v>3</v>
      </c>
      <c r="D21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199" s="17">
        <v>22.16</v>
      </c>
      <c r="F2199" s="11">
        <v>1.8</v>
      </c>
      <c r="G2199" s="11">
        <v>53.015413718855733</v>
      </c>
      <c r="I2199" s="28"/>
    </row>
    <row r="2200" spans="2:9" x14ac:dyDescent="0.35">
      <c r="B2200" s="16">
        <v>45545</v>
      </c>
      <c r="C2200" s="6" t="s">
        <v>3</v>
      </c>
      <c r="D22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0" s="17">
        <v>71.3</v>
      </c>
      <c r="F2200" s="11">
        <v>1.23</v>
      </c>
      <c r="G2200" s="11">
        <v>52.883650353955062</v>
      </c>
      <c r="I2200" s="28"/>
    </row>
    <row r="2201" spans="2:9" x14ac:dyDescent="0.35">
      <c r="B2201" s="16">
        <v>45546</v>
      </c>
      <c r="C2201" s="6" t="s">
        <v>3</v>
      </c>
      <c r="D22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1" s="17">
        <v>92.2</v>
      </c>
      <c r="F2201" s="11">
        <v>1.44</v>
      </c>
      <c r="G2201" s="11">
        <v>53.694582763337891</v>
      </c>
      <c r="I2201" s="28"/>
    </row>
    <row r="2202" spans="2:9" x14ac:dyDescent="0.35">
      <c r="B2202" s="16">
        <v>45547</v>
      </c>
      <c r="C2202" s="6" t="s">
        <v>3</v>
      </c>
      <c r="D22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2" s="17">
        <v>86.7</v>
      </c>
      <c r="F2202" s="11">
        <v>1.37</v>
      </c>
      <c r="G2202" s="11">
        <v>53.966302878598256</v>
      </c>
      <c r="I2202" s="28"/>
    </row>
    <row r="2203" spans="2:9" x14ac:dyDescent="0.35">
      <c r="B2203" s="16">
        <v>45548</v>
      </c>
      <c r="C2203" s="6" t="s">
        <v>3</v>
      </c>
      <c r="D22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3" s="17">
        <v>72.040000000000006</v>
      </c>
      <c r="F2203" s="11">
        <v>2.04</v>
      </c>
      <c r="G2203" s="11">
        <v>52.931096979332274</v>
      </c>
      <c r="I2203" s="28"/>
    </row>
    <row r="2204" spans="2:9" x14ac:dyDescent="0.35">
      <c r="B2204" s="16">
        <v>45549</v>
      </c>
      <c r="C2204" s="6" t="s">
        <v>3</v>
      </c>
      <c r="D22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4" s="17">
        <v>89.54</v>
      </c>
      <c r="F2204" s="11">
        <v>1.87</v>
      </c>
      <c r="G2204" s="11">
        <v>52.751264367816098</v>
      </c>
      <c r="I2204" s="28"/>
    </row>
    <row r="2205" spans="2:9" x14ac:dyDescent="0.35">
      <c r="B2205" s="16">
        <v>45551</v>
      </c>
      <c r="C2205" s="6" t="s">
        <v>3</v>
      </c>
      <c r="D22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5" s="17">
        <v>69.180000000000007</v>
      </c>
      <c r="F2205" s="11">
        <v>0.49</v>
      </c>
      <c r="G2205" s="11">
        <v>54.128161468812877</v>
      </c>
      <c r="I2205" s="28"/>
    </row>
    <row r="2206" spans="2:9" x14ac:dyDescent="0.35">
      <c r="B2206" s="16">
        <v>45552</v>
      </c>
      <c r="C2206" s="6" t="s">
        <v>3</v>
      </c>
      <c r="D22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6" s="17">
        <v>39.299999999999997</v>
      </c>
      <c r="F2206" s="11">
        <v>2.25</v>
      </c>
      <c r="G2206" s="11">
        <v>53.315566108472879</v>
      </c>
      <c r="I2206" s="28"/>
    </row>
    <row r="2207" spans="2:9" x14ac:dyDescent="0.35">
      <c r="B2207" s="16">
        <v>45553</v>
      </c>
      <c r="C2207" s="6" t="s">
        <v>3</v>
      </c>
      <c r="D22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7" s="17">
        <v>43.68</v>
      </c>
      <c r="F2207" s="11">
        <v>0.4</v>
      </c>
      <c r="G2207" s="11">
        <v>54.394092730394966</v>
      </c>
      <c r="I2207" s="28"/>
    </row>
    <row r="2208" spans="2:9" x14ac:dyDescent="0.35">
      <c r="B2208" s="16">
        <v>45554</v>
      </c>
      <c r="C2208" s="6" t="s">
        <v>3</v>
      </c>
      <c r="D22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8" s="17">
        <v>39.299999999999997</v>
      </c>
      <c r="F2208" s="11">
        <v>2.29</v>
      </c>
      <c r="G2208" s="11">
        <v>52.724035303416173</v>
      </c>
      <c r="I2208" s="28"/>
    </row>
    <row r="2209" spans="2:10" x14ac:dyDescent="0.35">
      <c r="B2209" s="16">
        <v>45555</v>
      </c>
      <c r="C2209" s="6" t="s">
        <v>3</v>
      </c>
      <c r="D22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09" s="17">
        <v>39.299999999999997</v>
      </c>
      <c r="F2209" s="11">
        <v>3.4</v>
      </c>
      <c r="G2209" s="11">
        <v>52.326142571618917</v>
      </c>
      <c r="I2209" s="28"/>
    </row>
    <row r="2210" spans="2:10" x14ac:dyDescent="0.35">
      <c r="B2210" s="16">
        <v>45556</v>
      </c>
      <c r="C2210" s="6" t="s">
        <v>3</v>
      </c>
      <c r="D22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0" s="17">
        <v>39.299999999999997</v>
      </c>
      <c r="F2210" s="11">
        <v>0.98</v>
      </c>
      <c r="G2210" s="11">
        <v>54.519222305576392</v>
      </c>
      <c r="I2210" s="28"/>
    </row>
    <row r="2211" spans="2:10" s="2" customFormat="1" x14ac:dyDescent="0.35">
      <c r="B2211" s="16">
        <v>45538</v>
      </c>
      <c r="C2211" s="6" t="s">
        <v>6</v>
      </c>
      <c r="D22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1" s="7">
        <v>103.33</v>
      </c>
      <c r="F2211" s="9">
        <v>2.08</v>
      </c>
      <c r="G2211" s="10">
        <v>53.295051632944336</v>
      </c>
      <c r="I2211" s="28"/>
      <c r="J2211"/>
    </row>
    <row r="2212" spans="2:10" x14ac:dyDescent="0.35">
      <c r="B2212" s="16">
        <v>45542</v>
      </c>
      <c r="C2212" s="6" t="s">
        <v>6</v>
      </c>
      <c r="D22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2" s="7">
        <v>70.19</v>
      </c>
      <c r="F2212" s="9">
        <v>2.2000000000000002</v>
      </c>
      <c r="G2212" s="10">
        <v>53.03407830342578</v>
      </c>
      <c r="I2212" s="28"/>
    </row>
    <row r="2213" spans="2:10" x14ac:dyDescent="0.35">
      <c r="B2213" s="16">
        <v>45544</v>
      </c>
      <c r="C2213" s="6" t="s">
        <v>6</v>
      </c>
      <c r="D22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3" s="7">
        <v>106.44</v>
      </c>
      <c r="F2213" s="9">
        <v>2.48</v>
      </c>
      <c r="G2213" s="10">
        <v>53.53329433448193</v>
      </c>
      <c r="I2213" s="28"/>
    </row>
    <row r="2214" spans="2:10" x14ac:dyDescent="0.35">
      <c r="B2214" s="16">
        <v>45545</v>
      </c>
      <c r="C2214" s="6" t="s">
        <v>6</v>
      </c>
      <c r="D22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4" s="7">
        <v>102.32</v>
      </c>
      <c r="F2214" s="9">
        <v>2.2200000000000002</v>
      </c>
      <c r="G2214" s="10">
        <v>52.884013076222786</v>
      </c>
      <c r="I2214" s="28"/>
    </row>
    <row r="2215" spans="2:10" x14ac:dyDescent="0.35">
      <c r="B2215" s="16">
        <v>45546</v>
      </c>
      <c r="C2215" s="6" t="s">
        <v>6</v>
      </c>
      <c r="D22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5" s="7">
        <v>138.09</v>
      </c>
      <c r="F2215" s="9">
        <v>2.0499999999999998</v>
      </c>
      <c r="G2215" s="10">
        <v>53.126960448198005</v>
      </c>
      <c r="I2215" s="28"/>
    </row>
    <row r="2216" spans="2:10" x14ac:dyDescent="0.35">
      <c r="B2216" s="16">
        <v>45547</v>
      </c>
      <c r="C2216" s="6" t="s">
        <v>6</v>
      </c>
      <c r="D22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6" s="7">
        <v>170.99</v>
      </c>
      <c r="F2216" s="9">
        <v>2.5099999999999998</v>
      </c>
      <c r="G2216" s="10">
        <v>52.77477308024158</v>
      </c>
      <c r="I2216" s="28"/>
    </row>
    <row r="2217" spans="2:10" x14ac:dyDescent="0.35">
      <c r="B2217" s="16">
        <v>45549</v>
      </c>
      <c r="C2217" s="6" t="s">
        <v>6</v>
      </c>
      <c r="D22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7" s="7">
        <v>69.650000000000006</v>
      </c>
      <c r="F2217" s="9">
        <v>2.59</v>
      </c>
      <c r="G2217" s="10">
        <v>53.232738800367066</v>
      </c>
      <c r="I2217" s="28"/>
    </row>
    <row r="2218" spans="2:10" x14ac:dyDescent="0.35">
      <c r="B2218" s="16">
        <v>45551</v>
      </c>
      <c r="C2218" s="6" t="s">
        <v>6</v>
      </c>
      <c r="D22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8" s="7">
        <v>67.45</v>
      </c>
      <c r="F2218" s="9">
        <v>0.74</v>
      </c>
      <c r="G2218" s="10">
        <v>53.546071815379484</v>
      </c>
      <c r="I2218" s="28"/>
    </row>
    <row r="2219" spans="2:10" x14ac:dyDescent="0.35">
      <c r="B2219" s="16">
        <v>45552</v>
      </c>
      <c r="C2219" s="6" t="s">
        <v>6</v>
      </c>
      <c r="D22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19" s="7">
        <v>165.66</v>
      </c>
      <c r="F2219" s="9">
        <v>3.21</v>
      </c>
      <c r="G2219" s="10">
        <v>52.532723404255314</v>
      </c>
      <c r="I2219" s="28"/>
    </row>
    <row r="2220" spans="2:10" x14ac:dyDescent="0.35">
      <c r="B2220" s="16">
        <v>45553</v>
      </c>
      <c r="C2220" s="6" t="s">
        <v>6</v>
      </c>
      <c r="D22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0" s="7">
        <v>165.66</v>
      </c>
      <c r="F2220" s="9">
        <v>1.3</v>
      </c>
      <c r="G2220" s="10">
        <v>54.03362390820346</v>
      </c>
      <c r="I2220" s="28"/>
    </row>
    <row r="2221" spans="2:10" x14ac:dyDescent="0.35">
      <c r="B2221" s="16">
        <v>45554</v>
      </c>
      <c r="C2221" s="6" t="s">
        <v>6</v>
      </c>
      <c r="D22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1" s="7">
        <v>165.66</v>
      </c>
      <c r="F2221" s="9">
        <v>1.69</v>
      </c>
      <c r="G2221" s="10">
        <v>53.24314881876186</v>
      </c>
      <c r="I2221" s="28"/>
    </row>
    <row r="2222" spans="2:10" x14ac:dyDescent="0.35">
      <c r="B2222" s="16">
        <v>45555</v>
      </c>
      <c r="C2222" s="6" t="s">
        <v>6</v>
      </c>
      <c r="D22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2" s="7">
        <v>165.66</v>
      </c>
      <c r="F2222" s="9">
        <v>2.4700000000000002</v>
      </c>
      <c r="G2222" s="10">
        <v>53.312801799550101</v>
      </c>
      <c r="I2222" s="28"/>
    </row>
    <row r="2223" spans="2:10" x14ac:dyDescent="0.35">
      <c r="B2223" s="16">
        <v>45556</v>
      </c>
      <c r="C2223" s="6" t="s">
        <v>6</v>
      </c>
      <c r="D22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3" s="7">
        <v>165.66</v>
      </c>
      <c r="F2223" s="9">
        <v>1.85</v>
      </c>
      <c r="G2223" s="10">
        <v>53.561137310448252</v>
      </c>
      <c r="I2223" s="28"/>
    </row>
    <row r="2224" spans="2:10" x14ac:dyDescent="0.35">
      <c r="B2224" s="16">
        <v>45558</v>
      </c>
      <c r="C2224" s="6" t="s">
        <v>6</v>
      </c>
      <c r="D22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4" s="7">
        <v>165.66</v>
      </c>
      <c r="F2224" s="9">
        <v>2.2799999999999998</v>
      </c>
      <c r="G2224" s="10">
        <v>53.405000000000001</v>
      </c>
      <c r="I2224" s="28"/>
    </row>
    <row r="2225" spans="2:9" x14ac:dyDescent="0.35">
      <c r="B2225" s="16">
        <v>45531</v>
      </c>
      <c r="C2225" s="6" t="s">
        <v>2</v>
      </c>
      <c r="D22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5" s="7">
        <v>34.58</v>
      </c>
      <c r="F2225" s="9">
        <v>0.97</v>
      </c>
      <c r="G2225" s="11">
        <v>53.296763260887673</v>
      </c>
      <c r="I2225" s="28"/>
    </row>
    <row r="2226" spans="2:9" x14ac:dyDescent="0.35">
      <c r="B2226" s="16">
        <v>45532</v>
      </c>
      <c r="C2226" s="6" t="s">
        <v>2</v>
      </c>
      <c r="D22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6" s="7">
        <v>529.6</v>
      </c>
      <c r="F2226" s="9">
        <v>1.35</v>
      </c>
      <c r="G2226" s="11">
        <v>52.437697686032955</v>
      </c>
      <c r="I2226" s="28"/>
    </row>
    <row r="2227" spans="2:9" x14ac:dyDescent="0.35">
      <c r="B2227" s="16">
        <v>45533</v>
      </c>
      <c r="C2227" s="6" t="s">
        <v>2</v>
      </c>
      <c r="D22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7" s="7">
        <v>283.02</v>
      </c>
      <c r="F2227" s="9">
        <v>0.13</v>
      </c>
      <c r="G2227" s="11">
        <v>54.49584630755141</v>
      </c>
      <c r="I2227" s="28"/>
    </row>
    <row r="2228" spans="2:9" x14ac:dyDescent="0.35">
      <c r="B2228" s="16">
        <v>45534</v>
      </c>
      <c r="C2228" s="6" t="s">
        <v>2</v>
      </c>
      <c r="D22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8" s="7">
        <v>617.84</v>
      </c>
      <c r="F2228" s="9">
        <v>1.79</v>
      </c>
      <c r="G2228" s="11">
        <v>52.928157543391194</v>
      </c>
      <c r="I2228" s="28"/>
    </row>
    <row r="2229" spans="2:9" x14ac:dyDescent="0.35">
      <c r="B2229" s="16">
        <v>45535</v>
      </c>
      <c r="C2229" s="6" t="s">
        <v>2</v>
      </c>
      <c r="D22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29" s="7">
        <v>58.5</v>
      </c>
      <c r="F2229" s="9">
        <v>0.14000000000000001</v>
      </c>
      <c r="G2229" s="11">
        <v>55.093887685385774</v>
      </c>
      <c r="I2229" s="28"/>
    </row>
    <row r="2230" spans="2:9" x14ac:dyDescent="0.35">
      <c r="B2230" s="16">
        <v>45537</v>
      </c>
      <c r="C2230" s="6" t="s">
        <v>2</v>
      </c>
      <c r="D22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0" s="7">
        <v>97.72</v>
      </c>
      <c r="F2230" s="9">
        <v>1.53</v>
      </c>
      <c r="G2230" s="11">
        <v>53.153941176470589</v>
      </c>
      <c r="I2230" s="28"/>
    </row>
    <row r="2231" spans="2:9" x14ac:dyDescent="0.35">
      <c r="B2231" s="16">
        <v>45541</v>
      </c>
      <c r="C2231" s="6" t="s">
        <v>2</v>
      </c>
      <c r="D22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1" s="7">
        <v>169.77</v>
      </c>
      <c r="F2231" s="9">
        <v>1</v>
      </c>
      <c r="G2231" s="11">
        <v>52.337791687531293</v>
      </c>
      <c r="I2231" s="28"/>
    </row>
    <row r="2232" spans="2:9" x14ac:dyDescent="0.35">
      <c r="B2232" s="16">
        <v>45542</v>
      </c>
      <c r="C2232" s="6" t="s">
        <v>2</v>
      </c>
      <c r="D22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2" s="7">
        <v>272.56</v>
      </c>
      <c r="F2232" s="9">
        <v>4.9800000000000004</v>
      </c>
      <c r="G2232" s="11">
        <v>46.433431562621166</v>
      </c>
      <c r="I2232" s="28"/>
    </row>
    <row r="2233" spans="2:9" x14ac:dyDescent="0.35">
      <c r="B2233" s="16">
        <v>45544</v>
      </c>
      <c r="C2233" s="6" t="s">
        <v>2</v>
      </c>
      <c r="D22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3" s="7">
        <v>106.44</v>
      </c>
      <c r="F2233" s="9">
        <v>0.27</v>
      </c>
      <c r="G2233" s="11">
        <v>54.726987778576564</v>
      </c>
      <c r="I2233" s="28"/>
    </row>
    <row r="2234" spans="2:9" x14ac:dyDescent="0.35">
      <c r="B2234" s="16">
        <v>45545</v>
      </c>
      <c r="C2234" s="6" t="s">
        <v>2</v>
      </c>
      <c r="D22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4" s="7">
        <v>614.29999999999995</v>
      </c>
      <c r="F2234" s="9">
        <v>0.76</v>
      </c>
      <c r="G2234" s="11">
        <v>52.509836867862973</v>
      </c>
      <c r="I2234" s="28"/>
    </row>
    <row r="2235" spans="2:9" x14ac:dyDescent="0.35">
      <c r="B2235" s="16">
        <v>45546</v>
      </c>
      <c r="C2235" s="6" t="s">
        <v>2</v>
      </c>
      <c r="D22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5" s="7">
        <v>461.38</v>
      </c>
      <c r="F2235" s="9">
        <v>1.37</v>
      </c>
      <c r="G2235" s="11">
        <v>53.031235749355076</v>
      </c>
      <c r="I2235" s="28"/>
    </row>
    <row r="2236" spans="2:9" x14ac:dyDescent="0.35">
      <c r="B2236" s="16">
        <v>45547</v>
      </c>
      <c r="C2236" s="6" t="s">
        <v>2</v>
      </c>
      <c r="D22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6" s="7">
        <v>351.02</v>
      </c>
      <c r="F2236" s="9">
        <v>0.6</v>
      </c>
      <c r="G2236" s="11">
        <v>53.488285976934641</v>
      </c>
      <c r="I2236" s="28"/>
    </row>
    <row r="2237" spans="2:9" x14ac:dyDescent="0.35">
      <c r="B2237" s="16">
        <v>45548</v>
      </c>
      <c r="C2237" s="6" t="s">
        <v>2</v>
      </c>
      <c r="D22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7" s="7">
        <v>268.22000000000003</v>
      </c>
      <c r="F2237" s="9">
        <v>0.28999999999999998</v>
      </c>
      <c r="G2237" s="11">
        <v>52.651845970623263</v>
      </c>
      <c r="I2237" s="28"/>
    </row>
    <row r="2238" spans="2:9" x14ac:dyDescent="0.35">
      <c r="B2238" s="16">
        <v>45549</v>
      </c>
      <c r="C2238" s="6" t="s">
        <v>2</v>
      </c>
      <c r="D22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8" s="7">
        <v>92.68</v>
      </c>
      <c r="F2238" s="9">
        <v>0.35</v>
      </c>
      <c r="G2238" s="11">
        <v>53.514197284012333</v>
      </c>
      <c r="I2238" s="28"/>
    </row>
    <row r="2239" spans="2:9" x14ac:dyDescent="0.35">
      <c r="B2239" s="16">
        <v>45551</v>
      </c>
      <c r="C2239" s="6" t="s">
        <v>2</v>
      </c>
      <c r="D22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39" s="7">
        <v>158.30000000000001</v>
      </c>
      <c r="F2239" s="9">
        <v>0.86</v>
      </c>
      <c r="G2239" s="11">
        <v>53.909973761227171</v>
      </c>
      <c r="I2239" s="28"/>
    </row>
    <row r="2240" spans="2:9" x14ac:dyDescent="0.35">
      <c r="B2240" s="16">
        <v>45552</v>
      </c>
      <c r="C2240" s="6" t="s">
        <v>2</v>
      </c>
      <c r="D22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0" s="7">
        <v>158.30000000000001</v>
      </c>
      <c r="F2240" s="9">
        <v>1.61</v>
      </c>
      <c r="G2240" s="11">
        <v>50.467044719157059</v>
      </c>
      <c r="I2240" s="28"/>
    </row>
    <row r="2241" spans="2:9" x14ac:dyDescent="0.35">
      <c r="B2241" s="16">
        <v>45553</v>
      </c>
      <c r="C2241" s="6" t="s">
        <v>2</v>
      </c>
      <c r="D22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1" s="7">
        <v>158.30000000000001</v>
      </c>
      <c r="F2241" s="9">
        <v>5.4</v>
      </c>
      <c r="G2241" s="11">
        <v>43.205062632178297</v>
      </c>
      <c r="I2241" s="28"/>
    </row>
    <row r="2242" spans="2:9" x14ac:dyDescent="0.35">
      <c r="B2242" s="16">
        <v>45554</v>
      </c>
      <c r="C2242" s="6" t="s">
        <v>2</v>
      </c>
      <c r="D22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2" s="7">
        <v>325.52</v>
      </c>
      <c r="F2242" s="9">
        <v>2.61</v>
      </c>
      <c r="G2242" s="11">
        <v>50.946973460360667</v>
      </c>
      <c r="I2242" s="28"/>
    </row>
    <row r="2243" spans="2:9" x14ac:dyDescent="0.35">
      <c r="B2243" s="16">
        <v>45555</v>
      </c>
      <c r="C2243" s="6" t="s">
        <v>2</v>
      </c>
      <c r="D22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3" s="7">
        <v>164.16</v>
      </c>
      <c r="F2243" s="9">
        <v>0.41</v>
      </c>
      <c r="G2243" s="11">
        <v>52.832468703054587</v>
      </c>
      <c r="I2243" s="28"/>
    </row>
    <row r="2244" spans="2:9" x14ac:dyDescent="0.35">
      <c r="B2244" s="16">
        <v>45556</v>
      </c>
      <c r="C2244" s="6" t="s">
        <v>2</v>
      </c>
      <c r="D22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4" s="7">
        <v>164.16</v>
      </c>
      <c r="F2244" s="9">
        <v>0.12</v>
      </c>
      <c r="G2244" s="11">
        <v>53.443436328808197</v>
      </c>
      <c r="I2244" s="28"/>
    </row>
    <row r="2245" spans="2:9" x14ac:dyDescent="0.35">
      <c r="B2245" s="16">
        <v>45559</v>
      </c>
      <c r="C2245" s="6" t="s">
        <v>3</v>
      </c>
      <c r="D22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5" s="7">
        <v>110.2</v>
      </c>
      <c r="F2245" s="11">
        <v>1.26</v>
      </c>
      <c r="G2245" s="11">
        <v>54.43167894208235</v>
      </c>
      <c r="I2245" s="28"/>
    </row>
    <row r="2246" spans="2:9" x14ac:dyDescent="0.35">
      <c r="B2246" s="16">
        <v>45560</v>
      </c>
      <c r="C2246" s="6" t="s">
        <v>3</v>
      </c>
      <c r="D22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6" s="7">
        <v>106.7</v>
      </c>
      <c r="F2246" s="11">
        <v>1.36</v>
      </c>
      <c r="G2246" s="11">
        <v>52.914644045242845</v>
      </c>
      <c r="I2246" s="28"/>
    </row>
    <row r="2247" spans="2:9" x14ac:dyDescent="0.35">
      <c r="B2247" s="16">
        <v>45561</v>
      </c>
      <c r="C2247" s="6" t="s">
        <v>3</v>
      </c>
      <c r="D22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7" s="7">
        <v>235.4</v>
      </c>
      <c r="F2247" s="11">
        <v>3.49</v>
      </c>
      <c r="G2247" s="11">
        <v>51.795555187272129</v>
      </c>
      <c r="I2247" s="28"/>
    </row>
    <row r="2248" spans="2:9" x14ac:dyDescent="0.35">
      <c r="B2248" s="16">
        <v>45562</v>
      </c>
      <c r="C2248" s="6" t="s">
        <v>3</v>
      </c>
      <c r="D22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8" s="7">
        <v>47.3</v>
      </c>
      <c r="F2248" s="11">
        <v>4.03</v>
      </c>
      <c r="G2248" s="11">
        <v>52.107303473491768</v>
      </c>
      <c r="I2248" s="28"/>
    </row>
    <row r="2249" spans="2:9" x14ac:dyDescent="0.35">
      <c r="B2249" s="16">
        <v>45573</v>
      </c>
      <c r="C2249" s="6" t="s">
        <v>3</v>
      </c>
      <c r="D22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49" s="7">
        <v>100</v>
      </c>
      <c r="F2249" s="11">
        <v>7.8029750000000009</v>
      </c>
      <c r="G2249" s="11">
        <v>47.244539723877907</v>
      </c>
      <c r="I2249" s="28"/>
    </row>
    <row r="2250" spans="2:9" x14ac:dyDescent="0.35">
      <c r="B2250" s="16">
        <v>45573</v>
      </c>
      <c r="C2250" s="6" t="s">
        <v>3</v>
      </c>
      <c r="D22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0" s="7">
        <v>100</v>
      </c>
      <c r="F2250" s="11">
        <v>4.2719750000000003</v>
      </c>
      <c r="G2250" s="11">
        <v>50.13500105515277</v>
      </c>
      <c r="I2250" s="28"/>
    </row>
    <row r="2251" spans="2:9" x14ac:dyDescent="0.35">
      <c r="B2251" s="16">
        <v>45586</v>
      </c>
      <c r="C2251" s="6" t="s">
        <v>3</v>
      </c>
      <c r="D22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1" s="7">
        <v>0</v>
      </c>
      <c r="F2251" s="11">
        <v>1.9581000000000002</v>
      </c>
      <c r="G2251" s="11">
        <v>52.529329785544078</v>
      </c>
      <c r="I2251" s="28"/>
    </row>
    <row r="2252" spans="2:9" x14ac:dyDescent="0.35">
      <c r="B2252" s="16">
        <v>45586</v>
      </c>
      <c r="C2252" s="6" t="s">
        <v>3</v>
      </c>
      <c r="D22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2" s="7">
        <v>100</v>
      </c>
      <c r="F2252" s="11">
        <v>2.0035750000000001</v>
      </c>
      <c r="G2252" s="11">
        <v>52.897803851283342</v>
      </c>
      <c r="I2252" s="28"/>
    </row>
    <row r="2253" spans="2:9" x14ac:dyDescent="0.35">
      <c r="B2253" s="16">
        <v>45586</v>
      </c>
      <c r="C2253" s="6" t="s">
        <v>3</v>
      </c>
      <c r="D22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3" s="7">
        <v>100</v>
      </c>
      <c r="F2253" s="11">
        <v>5.2670750000000011</v>
      </c>
      <c r="G2253" s="11">
        <v>47.728929040388849</v>
      </c>
      <c r="I2253" s="28"/>
    </row>
    <row r="2254" spans="2:9" x14ac:dyDescent="0.35">
      <c r="B2254" s="16">
        <v>45588</v>
      </c>
      <c r="C2254" s="6" t="s">
        <v>3</v>
      </c>
      <c r="D22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4" s="7">
        <v>100</v>
      </c>
      <c r="F2254" s="11">
        <v>1.6264000000000001</v>
      </c>
      <c r="G2254" s="11">
        <v>53.047524269634813</v>
      </c>
      <c r="I2254" s="28"/>
    </row>
    <row r="2255" spans="2:9" x14ac:dyDescent="0.35">
      <c r="B2255" s="16">
        <v>45588</v>
      </c>
      <c r="C2255" s="6" t="s">
        <v>3</v>
      </c>
      <c r="D22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5" s="7">
        <v>0</v>
      </c>
      <c r="F2255" s="11">
        <v>1.605</v>
      </c>
      <c r="G2255" s="11">
        <v>53.202308664849454</v>
      </c>
      <c r="I2255" s="28"/>
    </row>
    <row r="2256" spans="2:9" x14ac:dyDescent="0.35">
      <c r="B2256" s="16">
        <v>45588</v>
      </c>
      <c r="C2256" s="6" t="s">
        <v>3</v>
      </c>
      <c r="D22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6" s="7">
        <v>0</v>
      </c>
      <c r="F2256" s="11">
        <v>3.8199000000000001</v>
      </c>
      <c r="G2256" s="11">
        <v>47.915399756677004</v>
      </c>
      <c r="I2256" s="28"/>
    </row>
    <row r="2257" spans="2:9" x14ac:dyDescent="0.35">
      <c r="B2257" s="16">
        <v>45590</v>
      </c>
      <c r="C2257" s="6" t="s">
        <v>3</v>
      </c>
      <c r="D22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7" s="7">
        <v>0</v>
      </c>
      <c r="F2257" s="11">
        <v>2.7793250000000005</v>
      </c>
      <c r="G2257" s="11">
        <v>52.734902317536488</v>
      </c>
      <c r="I2257" s="28"/>
    </row>
    <row r="2258" spans="2:9" x14ac:dyDescent="0.35">
      <c r="B2258" s="16">
        <v>45590</v>
      </c>
      <c r="C2258" s="6" t="s">
        <v>3</v>
      </c>
      <c r="D22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8" s="7">
        <v>100</v>
      </c>
      <c r="F2258" s="11">
        <v>2.0811500000000001</v>
      </c>
      <c r="G2258" s="11">
        <v>52.915156304739057</v>
      </c>
      <c r="I2258" s="28"/>
    </row>
    <row r="2259" spans="2:9" x14ac:dyDescent="0.35">
      <c r="B2259" s="16">
        <v>45595</v>
      </c>
      <c r="C2259" s="6" t="s">
        <v>3</v>
      </c>
      <c r="D22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59" s="7">
        <v>100</v>
      </c>
      <c r="F2259" s="11">
        <v>1.6157000000000001</v>
      </c>
      <c r="G2259" s="11">
        <v>53.374521638741619</v>
      </c>
      <c r="I2259" s="28"/>
    </row>
    <row r="2260" spans="2:9" x14ac:dyDescent="0.35">
      <c r="B2260" s="16">
        <v>45604</v>
      </c>
      <c r="C2260" s="6" t="s">
        <v>3</v>
      </c>
      <c r="D22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0" s="7">
        <v>100</v>
      </c>
      <c r="F2260" s="11">
        <v>2.0089250000000001</v>
      </c>
      <c r="G2260" s="11">
        <v>52.238936661248374</v>
      </c>
      <c r="I2260" s="28"/>
    </row>
    <row r="2261" spans="2:9" x14ac:dyDescent="0.35">
      <c r="B2261" s="16">
        <v>45604</v>
      </c>
      <c r="C2261" s="6" t="s">
        <v>3</v>
      </c>
      <c r="D22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1" s="7">
        <v>0</v>
      </c>
      <c r="F2261" s="11">
        <v>2.3326000000000002</v>
      </c>
      <c r="G2261" s="11">
        <v>52.470679369684845</v>
      </c>
      <c r="I2261" s="28"/>
    </row>
    <row r="2262" spans="2:9" x14ac:dyDescent="0.35">
      <c r="B2262" s="16">
        <v>45604</v>
      </c>
      <c r="C2262" s="6" t="s">
        <v>3</v>
      </c>
      <c r="D22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2" s="7">
        <v>0</v>
      </c>
      <c r="F2262" s="11">
        <v>3.1163750000000001</v>
      </c>
      <c r="G2262" s="11">
        <v>48.934002499999991</v>
      </c>
      <c r="I2262" s="28"/>
    </row>
    <row r="2263" spans="2:9" x14ac:dyDescent="0.35">
      <c r="B2263" s="16">
        <v>45604</v>
      </c>
      <c r="C2263" s="6" t="s">
        <v>3</v>
      </c>
      <c r="D22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3" s="7">
        <v>0</v>
      </c>
      <c r="F2263" s="11">
        <v>2.9425000000000003</v>
      </c>
      <c r="G2263" s="11">
        <v>51.406357814062815</v>
      </c>
      <c r="I2263" s="28"/>
    </row>
    <row r="2264" spans="2:9" x14ac:dyDescent="0.35">
      <c r="B2264" s="16">
        <v>45604</v>
      </c>
      <c r="C2264" s="6" t="s">
        <v>3</v>
      </c>
      <c r="D22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4" s="7">
        <v>0</v>
      </c>
      <c r="F2264" s="11">
        <v>4.9648000000000003</v>
      </c>
      <c r="G2264" s="11">
        <v>49.820700093740633</v>
      </c>
      <c r="I2264" s="28"/>
    </row>
    <row r="2265" spans="2:9" x14ac:dyDescent="0.35">
      <c r="B2265" s="16">
        <v>45604</v>
      </c>
      <c r="C2265" s="6" t="s">
        <v>3</v>
      </c>
      <c r="D22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5" s="7">
        <v>0</v>
      </c>
      <c r="F2265" s="11">
        <v>5.7672999999999996</v>
      </c>
      <c r="G2265" s="11">
        <v>46.652873095940407</v>
      </c>
      <c r="I2265" s="28"/>
    </row>
    <row r="2266" spans="2:9" x14ac:dyDescent="0.35">
      <c r="B2266" s="16">
        <v>45604</v>
      </c>
      <c r="C2266" s="6" t="s">
        <v>3</v>
      </c>
      <c r="D22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6" s="7">
        <v>0</v>
      </c>
      <c r="F2266" s="11">
        <v>3.1110250000000006</v>
      </c>
      <c r="G2266" s="11">
        <v>51.601375080258023</v>
      </c>
      <c r="I2266" s="28"/>
    </row>
    <row r="2267" spans="2:9" x14ac:dyDescent="0.35">
      <c r="B2267" s="16">
        <v>45559</v>
      </c>
      <c r="C2267" s="6" t="s">
        <v>2</v>
      </c>
      <c r="D22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7" s="7">
        <v>445.8</v>
      </c>
      <c r="F2267" s="9">
        <v>2.5</v>
      </c>
      <c r="G2267" s="11">
        <v>51.851371504660456</v>
      </c>
      <c r="I2267" s="28"/>
    </row>
    <row r="2268" spans="2:9" x14ac:dyDescent="0.35">
      <c r="B2268" s="16">
        <v>45560</v>
      </c>
      <c r="C2268" s="6" t="s">
        <v>2</v>
      </c>
      <c r="D22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8" s="7">
        <v>409.6</v>
      </c>
      <c r="F2268" s="9">
        <v>0.39</v>
      </c>
      <c r="G2268" s="11">
        <v>53.273686635944699</v>
      </c>
      <c r="I2268" s="28"/>
    </row>
    <row r="2269" spans="2:9" x14ac:dyDescent="0.35">
      <c r="B2269" s="16">
        <v>45561</v>
      </c>
      <c r="C2269" s="6" t="s">
        <v>2</v>
      </c>
      <c r="D22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69" s="7">
        <v>166.5</v>
      </c>
      <c r="F2269" s="9">
        <v>5.53</v>
      </c>
      <c r="G2269" s="11">
        <v>47.873155258764612</v>
      </c>
      <c r="I2269" s="28"/>
    </row>
    <row r="2270" spans="2:9" x14ac:dyDescent="0.35">
      <c r="B2270" s="16">
        <v>45563</v>
      </c>
      <c r="C2270" s="6" t="s">
        <v>2</v>
      </c>
      <c r="D22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0" s="7">
        <v>70.599999999999994</v>
      </c>
      <c r="F2270" s="9">
        <v>1.02</v>
      </c>
      <c r="G2270" s="11">
        <v>53.24959830866807</v>
      </c>
      <c r="I2270" s="28"/>
    </row>
    <row r="2271" spans="2:9" x14ac:dyDescent="0.35">
      <c r="B2271" s="16">
        <v>45565</v>
      </c>
      <c r="C2271" s="6" t="s">
        <v>2</v>
      </c>
      <c r="D22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1" s="7">
        <v>64.599999999999994</v>
      </c>
      <c r="F2271" s="9">
        <v>1.0673250000000001</v>
      </c>
      <c r="G2271" s="11">
        <v>51.753977577257729</v>
      </c>
      <c r="I2271" s="28"/>
    </row>
    <row r="2272" spans="2:9" x14ac:dyDescent="0.35">
      <c r="B2272" s="16">
        <v>45615</v>
      </c>
      <c r="C2272" s="6" t="s">
        <v>2</v>
      </c>
      <c r="D22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2" s="7">
        <v>189</v>
      </c>
      <c r="F2272" s="9">
        <v>0.17</v>
      </c>
      <c r="G2272" s="11">
        <v>53.862717166494306</v>
      </c>
      <c r="I2272" s="28"/>
    </row>
    <row r="2273" spans="2:9" x14ac:dyDescent="0.35">
      <c r="B2273" s="16">
        <v>45615</v>
      </c>
      <c r="C2273" s="6" t="s">
        <v>2</v>
      </c>
      <c r="D22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3" s="7">
        <v>0</v>
      </c>
      <c r="F2273" s="9">
        <v>1.82</v>
      </c>
      <c r="G2273" s="11">
        <v>51.430095182432993</v>
      </c>
      <c r="I2273" s="28"/>
    </row>
    <row r="2274" spans="2:9" x14ac:dyDescent="0.35">
      <c r="B2274" s="16">
        <v>45617</v>
      </c>
      <c r="C2274" s="6" t="s">
        <v>2</v>
      </c>
      <c r="D22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4" s="7">
        <v>189</v>
      </c>
      <c r="F2274" s="9">
        <v>3.96</v>
      </c>
      <c r="G2274" s="11">
        <v>48.785868638756583</v>
      </c>
      <c r="I2274" s="28"/>
    </row>
    <row r="2275" spans="2:9" x14ac:dyDescent="0.35">
      <c r="B2275" s="16">
        <v>45617</v>
      </c>
      <c r="C2275" s="6" t="s">
        <v>2</v>
      </c>
      <c r="D22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5" s="7">
        <v>0</v>
      </c>
      <c r="F2275" s="9">
        <v>2.06</v>
      </c>
      <c r="G2275" s="11">
        <v>52.227627146906784</v>
      </c>
      <c r="I2275" s="28"/>
    </row>
    <row r="2276" spans="2:9" x14ac:dyDescent="0.35">
      <c r="B2276" s="16">
        <v>45626</v>
      </c>
      <c r="C2276" s="6" t="s">
        <v>3</v>
      </c>
      <c r="D22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6" s="7">
        <v>100</v>
      </c>
      <c r="F2276" s="11">
        <v>3.06</v>
      </c>
      <c r="G2276" s="11">
        <v>52.253201100091673</v>
      </c>
      <c r="I2276" s="28"/>
    </row>
    <row r="2277" spans="2:9" x14ac:dyDescent="0.35">
      <c r="B2277" s="16">
        <v>45628</v>
      </c>
      <c r="C2277" s="6" t="s">
        <v>3</v>
      </c>
      <c r="D22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7" s="7">
        <v>0</v>
      </c>
      <c r="F2277" s="11">
        <v>3.63</v>
      </c>
      <c r="G2277" s="11">
        <v>52.57937528769645</v>
      </c>
      <c r="I2277" s="28"/>
    </row>
    <row r="2278" spans="2:9" x14ac:dyDescent="0.35">
      <c r="B2278" s="16">
        <v>45629</v>
      </c>
      <c r="C2278" s="6" t="s">
        <v>3</v>
      </c>
      <c r="D22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8" s="7">
        <v>0</v>
      </c>
      <c r="F2278" s="11">
        <v>1.7</v>
      </c>
      <c r="G2278" s="11">
        <v>53.985264442636293</v>
      </c>
      <c r="I2278" s="28"/>
    </row>
    <row r="2279" spans="2:9" x14ac:dyDescent="0.35">
      <c r="B2279" s="16">
        <v>45630</v>
      </c>
      <c r="C2279" s="6" t="s">
        <v>3</v>
      </c>
      <c r="D22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79" s="7">
        <v>0</v>
      </c>
      <c r="F2279" s="11">
        <v>4.8099999999999996</v>
      </c>
      <c r="G2279" s="11">
        <v>50.652505974735405</v>
      </c>
      <c r="I2279" s="28"/>
    </row>
    <row r="2280" spans="2:9" x14ac:dyDescent="0.35">
      <c r="B2280" s="16">
        <v>45631</v>
      </c>
      <c r="C2280" s="6" t="s">
        <v>3</v>
      </c>
      <c r="D22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0" s="7">
        <v>0</v>
      </c>
      <c r="F2280" s="11">
        <v>7.88</v>
      </c>
      <c r="G2280" s="11">
        <v>49.872742208262864</v>
      </c>
      <c r="I2280" s="28"/>
    </row>
    <row r="2281" spans="2:9" x14ac:dyDescent="0.35">
      <c r="B2281" s="16">
        <v>45632</v>
      </c>
      <c r="C2281" s="6" t="s">
        <v>3</v>
      </c>
      <c r="D22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1" s="7">
        <v>0</v>
      </c>
      <c r="F2281" s="11">
        <v>4.34</v>
      </c>
      <c r="G2281" s="11">
        <v>50.075982802836023</v>
      </c>
      <c r="I2281" s="28"/>
    </row>
    <row r="2282" spans="2:9" x14ac:dyDescent="0.35">
      <c r="B2282" s="16">
        <v>45559</v>
      </c>
      <c r="C2282" s="6" t="s">
        <v>6</v>
      </c>
      <c r="D22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2" s="7">
        <v>0</v>
      </c>
      <c r="F2282" s="9">
        <v>2.59</v>
      </c>
      <c r="G2282" s="10">
        <v>53.514248110935817</v>
      </c>
      <c r="I2282" s="28"/>
    </row>
    <row r="2283" spans="2:9" x14ac:dyDescent="0.35">
      <c r="B2283" s="16">
        <v>45629</v>
      </c>
      <c r="C2283" s="6" t="s">
        <v>6</v>
      </c>
      <c r="D22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3" s="7">
        <v>244.8</v>
      </c>
      <c r="F2283" s="9">
        <v>1.89</v>
      </c>
      <c r="G2283" s="10">
        <v>54.139016505019562</v>
      </c>
      <c r="I2283" s="28"/>
    </row>
    <row r="2284" spans="2:9" x14ac:dyDescent="0.35">
      <c r="B2284" s="16">
        <v>45630</v>
      </c>
      <c r="C2284" s="6" t="s">
        <v>6</v>
      </c>
      <c r="D22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4" s="7">
        <v>236.1</v>
      </c>
      <c r="F2284" s="9">
        <v>2.17</v>
      </c>
      <c r="G2284" s="10">
        <v>53.781621110017412</v>
      </c>
      <c r="I2284" s="28"/>
    </row>
    <row r="2285" spans="2:9" x14ac:dyDescent="0.35">
      <c r="B2285" s="16">
        <v>45631</v>
      </c>
      <c r="C2285" s="6" t="s">
        <v>6</v>
      </c>
      <c r="D22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5" s="7">
        <v>247.7</v>
      </c>
      <c r="F2285" s="9">
        <v>2.12</v>
      </c>
      <c r="G2285" s="10">
        <v>53.321749252792202</v>
      </c>
      <c r="I2285" s="28"/>
    </row>
    <row r="2286" spans="2:9" x14ac:dyDescent="0.35">
      <c r="B2286" s="16">
        <v>45632</v>
      </c>
      <c r="C2286" s="6" t="s">
        <v>6</v>
      </c>
      <c r="D22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6" s="7">
        <v>235.1</v>
      </c>
      <c r="F2286" s="9">
        <v>2.72</v>
      </c>
      <c r="G2286" s="10">
        <v>50.10787052938101</v>
      </c>
      <c r="I2286" s="28"/>
    </row>
    <row r="2287" spans="2:9" x14ac:dyDescent="0.35">
      <c r="B2287" s="16">
        <v>45633</v>
      </c>
      <c r="C2287" s="6" t="s">
        <v>6</v>
      </c>
      <c r="D22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7" s="7">
        <v>194.6</v>
      </c>
      <c r="F2287" s="9">
        <v>2.94</v>
      </c>
      <c r="G2287" s="10">
        <v>52.181666666666665</v>
      </c>
      <c r="I2287" s="28"/>
    </row>
    <row r="2288" spans="2:9" x14ac:dyDescent="0.35">
      <c r="B2288" s="16">
        <v>45621</v>
      </c>
      <c r="C2288" s="6" t="s">
        <v>2</v>
      </c>
      <c r="D22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8" s="7">
        <v>189</v>
      </c>
      <c r="F2288" s="9">
        <v>3.76</v>
      </c>
      <c r="G2288" s="11">
        <v>48.733610648918464</v>
      </c>
      <c r="I2288" s="28"/>
    </row>
    <row r="2289" spans="2:9" x14ac:dyDescent="0.35">
      <c r="B2289" s="16">
        <v>45622</v>
      </c>
      <c r="C2289" s="6" t="s">
        <v>2</v>
      </c>
      <c r="D22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89" s="7">
        <v>189</v>
      </c>
      <c r="F2289" s="9">
        <v>0.41</v>
      </c>
      <c r="G2289" s="11">
        <v>53.839407418691444</v>
      </c>
      <c r="I2289" s="28"/>
    </row>
    <row r="2290" spans="2:9" x14ac:dyDescent="0.35">
      <c r="B2290" s="16">
        <v>45623</v>
      </c>
      <c r="C2290" s="6" t="s">
        <v>2</v>
      </c>
      <c r="D22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0" s="7">
        <v>189</v>
      </c>
      <c r="F2290" s="9">
        <v>0.4</v>
      </c>
      <c r="G2290" s="11">
        <v>54.132242114237002</v>
      </c>
      <c r="I2290" s="28"/>
    </row>
    <row r="2291" spans="2:9" x14ac:dyDescent="0.35">
      <c r="B2291" s="16">
        <v>45624</v>
      </c>
      <c r="C2291" s="6" t="s">
        <v>2</v>
      </c>
      <c r="D22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1" s="7">
        <v>0</v>
      </c>
      <c r="F2291" s="9">
        <v>0.81</v>
      </c>
      <c r="G2291" s="11">
        <v>53.841310667851083</v>
      </c>
      <c r="I2291" s="28"/>
    </row>
    <row r="2292" spans="2:9" x14ac:dyDescent="0.35">
      <c r="B2292" s="16">
        <v>45624</v>
      </c>
      <c r="C2292" s="6" t="s">
        <v>2</v>
      </c>
      <c r="D22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2" s="7">
        <v>189</v>
      </c>
      <c r="F2292" s="9">
        <v>0.25</v>
      </c>
      <c r="G2292" s="11">
        <v>54.635664966653586</v>
      </c>
      <c r="I2292" s="28"/>
    </row>
    <row r="2293" spans="2:9" x14ac:dyDescent="0.35">
      <c r="B2293" s="16">
        <v>45625</v>
      </c>
      <c r="C2293" s="6" t="s">
        <v>2</v>
      </c>
      <c r="D22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3" s="7">
        <v>189</v>
      </c>
      <c r="F2293" s="9">
        <v>0.61</v>
      </c>
      <c r="G2293" s="11">
        <v>54.083138154123333</v>
      </c>
      <c r="I2293" s="28"/>
    </row>
    <row r="2294" spans="2:9" x14ac:dyDescent="0.35">
      <c r="B2294" s="16">
        <v>45625</v>
      </c>
      <c r="C2294" s="6" t="s">
        <v>2</v>
      </c>
      <c r="D22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4" s="7">
        <v>0</v>
      </c>
      <c r="F2294" s="9">
        <v>0.34</v>
      </c>
      <c r="G2294" s="11">
        <v>53.749957361424634</v>
      </c>
      <c r="I2294" s="28"/>
    </row>
    <row r="2295" spans="2:9" x14ac:dyDescent="0.35">
      <c r="B2295" s="16">
        <v>45626</v>
      </c>
      <c r="C2295" s="6" t="s">
        <v>2</v>
      </c>
      <c r="D22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5" s="7">
        <v>189</v>
      </c>
      <c r="F2295" s="9">
        <v>2.16</v>
      </c>
      <c r="G2295" s="11">
        <v>52.15808634772462</v>
      </c>
      <c r="I2295" s="28"/>
    </row>
    <row r="2296" spans="2:9" x14ac:dyDescent="0.35">
      <c r="B2296" s="16">
        <v>45626</v>
      </c>
      <c r="C2296" s="6" t="s">
        <v>2</v>
      </c>
      <c r="D22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6" s="7">
        <v>174.5</v>
      </c>
      <c r="F2296" s="9">
        <v>0.74</v>
      </c>
      <c r="G2296" s="11">
        <v>53.93333333333333</v>
      </c>
      <c r="I2296" s="28"/>
    </row>
    <row r="2297" spans="2:9" x14ac:dyDescent="0.35">
      <c r="B2297" s="16">
        <v>45628</v>
      </c>
      <c r="C2297" s="6" t="s">
        <v>2</v>
      </c>
      <c r="D22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7" s="7">
        <v>174.5</v>
      </c>
      <c r="F2297" s="9">
        <v>5.48</v>
      </c>
      <c r="G2297" s="11">
        <v>49.098945317113504</v>
      </c>
      <c r="I2297" s="28"/>
    </row>
    <row r="2298" spans="2:9" x14ac:dyDescent="0.35">
      <c r="B2298" s="16">
        <v>45628</v>
      </c>
      <c r="C2298" s="6" t="s">
        <v>2</v>
      </c>
      <c r="D22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8" s="7">
        <v>0</v>
      </c>
      <c r="F2298" s="9">
        <v>0.21</v>
      </c>
      <c r="G2298" s="11">
        <v>54.649242086491306</v>
      </c>
      <c r="I2298" s="28"/>
    </row>
    <row r="2299" spans="2:9" x14ac:dyDescent="0.35">
      <c r="B2299" s="16">
        <v>45629</v>
      </c>
      <c r="C2299" s="6" t="s">
        <v>2</v>
      </c>
      <c r="D22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299" s="7">
        <v>174.5</v>
      </c>
      <c r="F2299" s="9">
        <v>1.02</v>
      </c>
      <c r="G2299" s="11">
        <v>53.308168718102671</v>
      </c>
      <c r="I2299" s="28"/>
    </row>
    <row r="2300" spans="2:9" x14ac:dyDescent="0.35">
      <c r="B2300" s="16">
        <v>45629</v>
      </c>
      <c r="C2300" s="6" t="s">
        <v>2</v>
      </c>
      <c r="D23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0" s="7">
        <v>0</v>
      </c>
      <c r="F2300" s="9">
        <v>0.55000000000000004</v>
      </c>
      <c r="G2300" s="11">
        <v>54.411274876162331</v>
      </c>
      <c r="I2300" s="28"/>
    </row>
    <row r="2301" spans="2:9" x14ac:dyDescent="0.35">
      <c r="B2301" s="16">
        <v>45630</v>
      </c>
      <c r="C2301" s="6" t="s">
        <v>2</v>
      </c>
      <c r="D23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1" s="7">
        <v>174.5</v>
      </c>
      <c r="F2301" s="9">
        <v>0.69</v>
      </c>
      <c r="G2301" s="11">
        <v>54.119301857585135</v>
      </c>
      <c r="I2301" s="28"/>
    </row>
    <row r="2302" spans="2:9" x14ac:dyDescent="0.35">
      <c r="B2302" s="16">
        <v>45630</v>
      </c>
      <c r="C2302" s="6" t="s">
        <v>2</v>
      </c>
      <c r="D23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2" s="7">
        <v>0</v>
      </c>
      <c r="F2302" s="9">
        <v>0.55000000000000004</v>
      </c>
      <c r="G2302" s="11">
        <v>53.92877213960093</v>
      </c>
      <c r="I2302" s="28"/>
    </row>
    <row r="2303" spans="2:9" x14ac:dyDescent="0.35">
      <c r="B2303" s="16">
        <v>45631</v>
      </c>
      <c r="C2303" s="6" t="s">
        <v>2</v>
      </c>
      <c r="D23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3" s="7">
        <v>174.5</v>
      </c>
      <c r="F2303" s="9">
        <v>4.46</v>
      </c>
      <c r="G2303" s="11">
        <v>49.858838731052771</v>
      </c>
      <c r="I2303" s="28"/>
    </row>
    <row r="2304" spans="2:9" x14ac:dyDescent="0.35">
      <c r="B2304" s="16">
        <v>45631</v>
      </c>
      <c r="C2304" s="6" t="s">
        <v>2</v>
      </c>
      <c r="D23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4" s="7">
        <v>0</v>
      </c>
      <c r="F2304" s="9">
        <v>1.33</v>
      </c>
      <c r="G2304" s="11">
        <v>53.303670588235292</v>
      </c>
      <c r="I2304" s="28"/>
    </row>
    <row r="2305" spans="2:9" x14ac:dyDescent="0.35">
      <c r="B2305" s="16">
        <v>45632</v>
      </c>
      <c r="C2305" s="6" t="s">
        <v>2</v>
      </c>
      <c r="D23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5" s="7">
        <v>174.5</v>
      </c>
      <c r="F2305" s="9">
        <v>0.27</v>
      </c>
      <c r="G2305" s="11">
        <v>53.759903508771927</v>
      </c>
      <c r="I2305" s="28"/>
    </row>
    <row r="2306" spans="2:9" x14ac:dyDescent="0.35">
      <c r="B2306" s="16">
        <v>45632</v>
      </c>
      <c r="C2306" s="6" t="s">
        <v>2</v>
      </c>
      <c r="D23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6" s="7">
        <v>0</v>
      </c>
      <c r="F2306" s="9">
        <v>0.3</v>
      </c>
      <c r="G2306" s="11">
        <v>53.882224334600757</v>
      </c>
      <c r="I2306" s="28"/>
    </row>
    <row r="2307" spans="2:9" x14ac:dyDescent="0.35">
      <c r="B2307" s="16">
        <v>45633</v>
      </c>
      <c r="C2307" s="6" t="s">
        <v>2</v>
      </c>
      <c r="D23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7" s="7">
        <v>174.5</v>
      </c>
      <c r="F2307" s="9">
        <v>0</v>
      </c>
      <c r="G2307" s="11">
        <v>55.137965014577254</v>
      </c>
      <c r="I2307" s="28"/>
    </row>
    <row r="2308" spans="2:9" x14ac:dyDescent="0.35">
      <c r="B2308" s="16">
        <v>45633</v>
      </c>
      <c r="C2308" s="6" t="s">
        <v>2</v>
      </c>
      <c r="D23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8" s="7">
        <v>0</v>
      </c>
      <c r="F2308" s="9">
        <v>0.18</v>
      </c>
      <c r="G2308" s="11">
        <v>53.654366091522874</v>
      </c>
      <c r="I2308" s="28"/>
    </row>
    <row r="2309" spans="2:9" x14ac:dyDescent="0.35">
      <c r="B2309" s="16">
        <v>45632</v>
      </c>
      <c r="C2309" s="6" t="s">
        <v>5</v>
      </c>
      <c r="D23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09" s="7">
        <v>126.9</v>
      </c>
      <c r="F2309" s="9">
        <v>0.57999999999999996</v>
      </c>
      <c r="G2309" s="10">
        <v>54.193397730757432</v>
      </c>
      <c r="I2309" s="28"/>
    </row>
    <row r="2310" spans="2:9" x14ac:dyDescent="0.35">
      <c r="B2310" s="16">
        <v>45635</v>
      </c>
      <c r="C2310" s="6" t="s">
        <v>5</v>
      </c>
      <c r="D23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0" s="7">
        <v>134.4</v>
      </c>
      <c r="F2310" s="9">
        <v>0.24</v>
      </c>
      <c r="G2310" s="10">
        <v>54.539649952696315</v>
      </c>
      <c r="I2310" s="28"/>
    </row>
    <row r="2311" spans="2:9" x14ac:dyDescent="0.35">
      <c r="B2311" s="16">
        <v>45636</v>
      </c>
      <c r="C2311" s="6" t="s">
        <v>5</v>
      </c>
      <c r="D23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1" s="7">
        <v>32.9</v>
      </c>
      <c r="F2311" s="9">
        <v>1.55</v>
      </c>
      <c r="G2311" s="10">
        <v>53.48990777338603</v>
      </c>
      <c r="I2311" s="28"/>
    </row>
    <row r="2312" spans="2:9" x14ac:dyDescent="0.35">
      <c r="B2312" s="16">
        <v>45637</v>
      </c>
      <c r="C2312" s="6" t="s">
        <v>5</v>
      </c>
      <c r="D23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2" s="7">
        <v>172.4</v>
      </c>
      <c r="F2312" s="9">
        <v>0.15</v>
      </c>
      <c r="G2312" s="10">
        <v>52.71531486565177</v>
      </c>
      <c r="I2312" s="28"/>
    </row>
    <row r="2313" spans="2:9" x14ac:dyDescent="0.35">
      <c r="B2313" s="16">
        <v>45639</v>
      </c>
      <c r="C2313" s="6" t="s">
        <v>5</v>
      </c>
      <c r="D23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3" s="7">
        <v>168.5</v>
      </c>
      <c r="F2313" s="9">
        <v>1.03</v>
      </c>
      <c r="G2313" s="10">
        <v>53.93052657890351</v>
      </c>
      <c r="I2313" s="28"/>
    </row>
    <row r="2314" spans="2:9" x14ac:dyDescent="0.35">
      <c r="B2314" s="16">
        <v>45642</v>
      </c>
      <c r="C2314" s="6" t="s">
        <v>5</v>
      </c>
      <c r="D23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4" s="7">
        <v>132.07</v>
      </c>
      <c r="F2314" s="9">
        <v>3.43</v>
      </c>
      <c r="G2314" s="10">
        <v>52.325149172978819</v>
      </c>
      <c r="I2314" s="28"/>
    </row>
    <row r="2315" spans="2:9" x14ac:dyDescent="0.35">
      <c r="B2315" s="16">
        <v>45643</v>
      </c>
      <c r="C2315" s="6" t="s">
        <v>5</v>
      </c>
      <c r="D23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5" s="7">
        <v>131.15</v>
      </c>
      <c r="F2315" s="9">
        <v>7</v>
      </c>
      <c r="G2315" s="10">
        <v>49.180269218293866</v>
      </c>
      <c r="I2315" s="28"/>
    </row>
    <row r="2316" spans="2:9" x14ac:dyDescent="0.35">
      <c r="B2316" s="16">
        <v>45644</v>
      </c>
      <c r="C2316" s="6" t="s">
        <v>5</v>
      </c>
      <c r="D23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6" s="7">
        <v>0</v>
      </c>
      <c r="F2316" s="9">
        <v>4.34</v>
      </c>
      <c r="G2316" s="10">
        <v>50.665149342891283</v>
      </c>
      <c r="I2316" s="28"/>
    </row>
    <row r="2317" spans="2:9" x14ac:dyDescent="0.35">
      <c r="B2317" s="16">
        <v>45645</v>
      </c>
      <c r="C2317" s="6" t="s">
        <v>5</v>
      </c>
      <c r="D23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7" s="7">
        <v>167.1</v>
      </c>
      <c r="F2317" s="9">
        <v>0.15</v>
      </c>
      <c r="G2317" s="10">
        <v>54.882807218094229</v>
      </c>
      <c r="I2317" s="28"/>
    </row>
    <row r="2318" spans="2:9" x14ac:dyDescent="0.35">
      <c r="B2318" s="16">
        <v>45647</v>
      </c>
      <c r="C2318" s="6" t="s">
        <v>5</v>
      </c>
      <c r="D23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8" s="7">
        <v>134.63999999999999</v>
      </c>
      <c r="F2318" s="9">
        <v>0.05</v>
      </c>
      <c r="G2318" s="10">
        <v>54.804511803898983</v>
      </c>
      <c r="I2318" s="28"/>
    </row>
    <row r="2319" spans="2:9" x14ac:dyDescent="0.35">
      <c r="B2319" s="16">
        <v>45649</v>
      </c>
      <c r="C2319" s="6" t="s">
        <v>5</v>
      </c>
      <c r="D23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19" s="7">
        <v>174.62</v>
      </c>
      <c r="F2319" s="9">
        <v>0.37</v>
      </c>
      <c r="G2319" s="10">
        <v>54.157526143280784</v>
      </c>
      <c r="I2319" s="28"/>
    </row>
    <row r="2320" spans="2:9" x14ac:dyDescent="0.35">
      <c r="B2320" s="16">
        <v>45650</v>
      </c>
      <c r="C2320" s="6" t="s">
        <v>5</v>
      </c>
      <c r="D23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0" s="7">
        <v>0</v>
      </c>
      <c r="F2320" s="9">
        <v>0.17</v>
      </c>
      <c r="G2320" s="10">
        <v>54.603333333333332</v>
      </c>
      <c r="I2320" s="28"/>
    </row>
    <row r="2321" spans="2:9" x14ac:dyDescent="0.35">
      <c r="B2321" s="16">
        <v>45635</v>
      </c>
      <c r="C2321" s="6" t="s">
        <v>3</v>
      </c>
      <c r="D23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1" s="7">
        <v>421.7</v>
      </c>
      <c r="F2321" s="11">
        <v>2.65</v>
      </c>
      <c r="G2321" s="11">
        <v>53.539098328799071</v>
      </c>
      <c r="I2321" s="28"/>
    </row>
    <row r="2322" spans="2:9" x14ac:dyDescent="0.35">
      <c r="B2322" s="16">
        <v>45636</v>
      </c>
      <c r="C2322" s="6" t="s">
        <v>3</v>
      </c>
      <c r="D23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2" s="7">
        <v>20.3</v>
      </c>
      <c r="F2322" s="11">
        <v>4.1500000000000004</v>
      </c>
      <c r="G2322" s="11">
        <v>49.070383539752299</v>
      </c>
      <c r="I2322" s="28"/>
    </row>
    <row r="2323" spans="2:9" x14ac:dyDescent="0.35">
      <c r="B2323" s="16">
        <v>45637</v>
      </c>
      <c r="C2323" s="6" t="s">
        <v>3</v>
      </c>
      <c r="D23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3" s="7">
        <v>1529</v>
      </c>
      <c r="F2323" s="11">
        <v>4</v>
      </c>
      <c r="G2323" s="11">
        <v>50.550406531156284</v>
      </c>
      <c r="I2323" s="28"/>
    </row>
    <row r="2324" spans="2:9" x14ac:dyDescent="0.35">
      <c r="B2324" s="16">
        <v>45638</v>
      </c>
      <c r="C2324" s="6" t="s">
        <v>3</v>
      </c>
      <c r="D23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4" s="7">
        <v>69.84</v>
      </c>
      <c r="F2324" s="11">
        <v>5.63</v>
      </c>
      <c r="G2324" s="11">
        <v>47.416646107684613</v>
      </c>
      <c r="I2324" s="28"/>
    </row>
    <row r="2325" spans="2:9" x14ac:dyDescent="0.35">
      <c r="B2325" s="16">
        <v>45639</v>
      </c>
      <c r="C2325" s="6" t="s">
        <v>3</v>
      </c>
      <c r="D23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5" s="7">
        <v>69.84</v>
      </c>
      <c r="F2325" s="11">
        <v>7.63</v>
      </c>
      <c r="G2325" s="11">
        <v>46.79034011337113</v>
      </c>
      <c r="I2325" s="28"/>
    </row>
    <row r="2326" spans="2:9" x14ac:dyDescent="0.35">
      <c r="B2326" s="16">
        <v>45640</v>
      </c>
      <c r="C2326" s="6" t="s">
        <v>3</v>
      </c>
      <c r="D23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6" s="7">
        <v>69.84</v>
      </c>
      <c r="F2326" s="11">
        <v>1.69</v>
      </c>
      <c r="G2326" s="11">
        <v>53.253691872219981</v>
      </c>
      <c r="I2326" s="28"/>
    </row>
    <row r="2327" spans="2:9" x14ac:dyDescent="0.35">
      <c r="B2327" s="16">
        <v>45644</v>
      </c>
      <c r="C2327" s="6" t="s">
        <v>3</v>
      </c>
      <c r="D23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7" s="7">
        <v>69.84</v>
      </c>
      <c r="F2327" s="11">
        <v>3.09</v>
      </c>
      <c r="G2327" s="11">
        <v>52.350878301733914</v>
      </c>
      <c r="I2327" s="28"/>
    </row>
    <row r="2328" spans="2:9" x14ac:dyDescent="0.35">
      <c r="B2328" s="16">
        <v>45647</v>
      </c>
      <c r="C2328" s="6" t="s">
        <v>3</v>
      </c>
      <c r="D23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8" s="7">
        <v>151</v>
      </c>
      <c r="F2328" s="11">
        <v>1.89</v>
      </c>
      <c r="G2328" s="11">
        <v>53.351282503305427</v>
      </c>
      <c r="I2328" s="28"/>
    </row>
    <row r="2329" spans="2:9" x14ac:dyDescent="0.35">
      <c r="B2329" s="16">
        <v>45649</v>
      </c>
      <c r="C2329" s="6" t="s">
        <v>3</v>
      </c>
      <c r="D23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29" s="7">
        <v>151</v>
      </c>
      <c r="F2329" s="11">
        <v>2.2200000000000002</v>
      </c>
      <c r="G2329" s="11">
        <v>51.215164718384699</v>
      </c>
      <c r="I2329" s="28"/>
    </row>
    <row r="2330" spans="2:9" x14ac:dyDescent="0.35">
      <c r="B2330" s="16">
        <v>45629</v>
      </c>
      <c r="C2330" s="6" t="s">
        <v>6</v>
      </c>
      <c r="D23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0" s="7">
        <v>244.8</v>
      </c>
      <c r="F2330" s="9">
        <v>1.89</v>
      </c>
      <c r="G2330" s="10">
        <v>54.139016505019562</v>
      </c>
      <c r="I2330" s="28"/>
    </row>
    <row r="2331" spans="2:9" x14ac:dyDescent="0.35">
      <c r="B2331" s="16">
        <v>45630</v>
      </c>
      <c r="C2331" s="6" t="s">
        <v>6</v>
      </c>
      <c r="D23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1" s="7">
        <v>236.1</v>
      </c>
      <c r="F2331" s="9">
        <v>2.17</v>
      </c>
      <c r="G2331" s="10">
        <v>53.781621110017412</v>
      </c>
      <c r="I2331" s="28"/>
    </row>
    <row r="2332" spans="2:9" x14ac:dyDescent="0.35">
      <c r="B2332" s="16">
        <v>45631</v>
      </c>
      <c r="C2332" s="6" t="s">
        <v>6</v>
      </c>
      <c r="D23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2" s="7">
        <v>247.7</v>
      </c>
      <c r="F2332" s="9">
        <v>2.12</v>
      </c>
      <c r="G2332" s="10">
        <v>53.321749252792202</v>
      </c>
      <c r="I2332" s="28"/>
    </row>
    <row r="2333" spans="2:9" x14ac:dyDescent="0.35">
      <c r="B2333" s="16">
        <v>45632</v>
      </c>
      <c r="C2333" s="6" t="s">
        <v>6</v>
      </c>
      <c r="D23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3" s="7">
        <v>235.1</v>
      </c>
      <c r="F2333" s="9">
        <v>2.72</v>
      </c>
      <c r="G2333" s="10">
        <v>50.10787052938101</v>
      </c>
      <c r="I2333" s="28"/>
    </row>
    <row r="2334" spans="2:9" x14ac:dyDescent="0.35">
      <c r="B2334" s="16">
        <v>45633</v>
      </c>
      <c r="C2334" s="6" t="s">
        <v>6</v>
      </c>
      <c r="D23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4" s="7">
        <v>194.6</v>
      </c>
      <c r="F2334" s="9">
        <v>2.94</v>
      </c>
      <c r="G2334" s="10">
        <v>52.181666666666665</v>
      </c>
      <c r="I2334" s="28"/>
    </row>
    <row r="2335" spans="2:9" x14ac:dyDescent="0.35">
      <c r="B2335" s="16">
        <v>45635</v>
      </c>
      <c r="C2335" s="6" t="s">
        <v>6</v>
      </c>
      <c r="D23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5" s="7">
        <v>141.4</v>
      </c>
      <c r="F2335" s="9">
        <v>2.12</v>
      </c>
      <c r="G2335" s="10">
        <v>53.498075983114859</v>
      </c>
      <c r="I2335" s="28"/>
    </row>
    <row r="2336" spans="2:9" x14ac:dyDescent="0.35">
      <c r="B2336" s="16">
        <v>45636</v>
      </c>
      <c r="C2336" s="6" t="s">
        <v>6</v>
      </c>
      <c r="D23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6" s="7">
        <v>50.2</v>
      </c>
      <c r="F2336" s="9">
        <v>1.23</v>
      </c>
      <c r="G2336" s="10">
        <v>54.311658304064224</v>
      </c>
      <c r="I2336" s="28"/>
    </row>
    <row r="2337" spans="2:9" x14ac:dyDescent="0.35">
      <c r="B2337" s="16">
        <v>45639</v>
      </c>
      <c r="C2337" s="6" t="s">
        <v>6</v>
      </c>
      <c r="D23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7" s="7">
        <v>49.2</v>
      </c>
      <c r="F2337" s="9">
        <v>2.66</v>
      </c>
      <c r="G2337" s="10">
        <v>51.877453954496211</v>
      </c>
      <c r="I2337" s="28"/>
    </row>
    <row r="2338" spans="2:9" x14ac:dyDescent="0.35">
      <c r="B2338" s="16">
        <v>45640</v>
      </c>
      <c r="C2338" s="6" t="s">
        <v>6</v>
      </c>
      <c r="D23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8" s="7">
        <v>34.200000000000003</v>
      </c>
      <c r="F2338" s="9">
        <v>1.52</v>
      </c>
      <c r="G2338" s="10">
        <v>49.590075026795283</v>
      </c>
      <c r="I2338" s="28"/>
    </row>
    <row r="2339" spans="2:9" x14ac:dyDescent="0.35">
      <c r="B2339" s="16">
        <v>45642</v>
      </c>
      <c r="C2339" s="6" t="s">
        <v>6</v>
      </c>
      <c r="D23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39" s="7">
        <v>238.4</v>
      </c>
      <c r="F2339" s="9">
        <v>1.18</v>
      </c>
      <c r="G2339" s="10">
        <v>54.634111785419947</v>
      </c>
      <c r="I2339" s="28"/>
    </row>
    <row r="2340" spans="2:9" x14ac:dyDescent="0.35">
      <c r="B2340" s="16">
        <v>45643</v>
      </c>
      <c r="C2340" s="6" t="s">
        <v>6</v>
      </c>
      <c r="D23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0" s="7">
        <v>345.6</v>
      </c>
      <c r="F2340" s="9">
        <v>1.86</v>
      </c>
      <c r="G2340" s="10">
        <v>53.448088388731556</v>
      </c>
      <c r="I2340" s="28"/>
    </row>
    <row r="2341" spans="2:9" x14ac:dyDescent="0.35">
      <c r="B2341" s="16">
        <v>45644</v>
      </c>
      <c r="C2341" s="6" t="s">
        <v>6</v>
      </c>
      <c r="D23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1" s="7">
        <v>203.9</v>
      </c>
      <c r="F2341" s="9">
        <v>1.4</v>
      </c>
      <c r="G2341" s="10">
        <v>53.562235597592426</v>
      </c>
      <c r="I2341" s="28"/>
    </row>
    <row r="2342" spans="2:9" x14ac:dyDescent="0.35">
      <c r="B2342" s="16">
        <v>45645</v>
      </c>
      <c r="C2342" s="6" t="s">
        <v>6</v>
      </c>
      <c r="D23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2" s="7">
        <v>332.09</v>
      </c>
      <c r="F2342" s="9">
        <v>1.72</v>
      </c>
      <c r="G2342" s="10">
        <v>53.277809152872443</v>
      </c>
      <c r="I2342" s="28"/>
    </row>
    <row r="2343" spans="2:9" x14ac:dyDescent="0.35">
      <c r="B2343" s="16">
        <v>45646</v>
      </c>
      <c r="C2343" s="6" t="s">
        <v>6</v>
      </c>
      <c r="D23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3" s="7">
        <v>379.08</v>
      </c>
      <c r="F2343" s="9">
        <v>6.62</v>
      </c>
      <c r="G2343" s="10">
        <v>48.637164420050048</v>
      </c>
      <c r="I2343" s="28"/>
    </row>
    <row r="2344" spans="2:9" x14ac:dyDescent="0.35">
      <c r="B2344" s="16">
        <v>45647</v>
      </c>
      <c r="C2344" s="6" t="s">
        <v>6</v>
      </c>
      <c r="D23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4" s="7">
        <v>390.18</v>
      </c>
      <c r="F2344" s="9">
        <v>2.89</v>
      </c>
      <c r="G2344" s="10">
        <v>52.50188542921039</v>
      </c>
      <c r="I2344" s="28"/>
    </row>
    <row r="2345" spans="2:9" x14ac:dyDescent="0.35">
      <c r="B2345" s="16">
        <v>45649</v>
      </c>
      <c r="C2345" s="6" t="s">
        <v>6</v>
      </c>
      <c r="D23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5" s="7">
        <v>295.87</v>
      </c>
      <c r="F2345" s="9">
        <v>3.27</v>
      </c>
      <c r="G2345" s="10">
        <v>52.040656280777142</v>
      </c>
      <c r="I2345" s="28"/>
    </row>
    <row r="2346" spans="2:9" x14ac:dyDescent="0.35">
      <c r="B2346" s="16">
        <v>45650</v>
      </c>
      <c r="C2346" s="6" t="s">
        <v>6</v>
      </c>
      <c r="D23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6" s="7">
        <v>313.41000000000003</v>
      </c>
      <c r="F2346" s="9">
        <v>1.3</v>
      </c>
      <c r="G2346" s="10">
        <v>53.674796233019414</v>
      </c>
      <c r="I2346" s="28"/>
    </row>
    <row r="2347" spans="2:9" x14ac:dyDescent="0.35">
      <c r="B2347" s="16">
        <v>45660</v>
      </c>
      <c r="C2347" s="6" t="s">
        <v>5</v>
      </c>
      <c r="D23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7" s="7">
        <v>67.209999999999994</v>
      </c>
      <c r="F2347" s="9">
        <v>1.6</v>
      </c>
      <c r="G2347" s="10">
        <v>53.170445691647409</v>
      </c>
      <c r="I2347" s="28"/>
    </row>
    <row r="2348" spans="2:9" x14ac:dyDescent="0.35">
      <c r="B2348" s="16">
        <v>45665</v>
      </c>
      <c r="C2348" s="6" t="s">
        <v>5</v>
      </c>
      <c r="D23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8" s="7">
        <v>238.34</v>
      </c>
      <c r="F2348" s="9">
        <v>4.3468749999999998</v>
      </c>
      <c r="G2348" s="10">
        <v>51.838560785498494</v>
      </c>
      <c r="I2348" s="28"/>
    </row>
    <row r="2349" spans="2:9" x14ac:dyDescent="0.35">
      <c r="B2349" s="16">
        <v>45666</v>
      </c>
      <c r="C2349" s="6" t="s">
        <v>5</v>
      </c>
      <c r="D23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49" s="7">
        <v>138.26</v>
      </c>
      <c r="F2349" s="9">
        <v>1.18235</v>
      </c>
      <c r="G2349" s="10">
        <v>53.658707638999211</v>
      </c>
      <c r="I2349" s="28"/>
    </row>
    <row r="2350" spans="2:9" x14ac:dyDescent="0.35">
      <c r="B2350" s="16">
        <v>45667</v>
      </c>
      <c r="C2350" s="6" t="s">
        <v>5</v>
      </c>
      <c r="D23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0" s="7">
        <v>32.99</v>
      </c>
      <c r="F2350" s="9">
        <v>2.43425</v>
      </c>
      <c r="G2350" s="10">
        <v>52.39142212300991</v>
      </c>
      <c r="I2350" s="28"/>
    </row>
    <row r="2351" spans="2:9" x14ac:dyDescent="0.35">
      <c r="B2351" s="16">
        <v>45668</v>
      </c>
      <c r="C2351" s="6" t="s">
        <v>5</v>
      </c>
      <c r="D23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1" s="7">
        <v>175.59</v>
      </c>
      <c r="F2351" s="9">
        <v>0.48150000000000004</v>
      </c>
      <c r="G2351" s="10">
        <v>50.556950127538386</v>
      </c>
      <c r="I2351" s="28"/>
    </row>
    <row r="2352" spans="2:9" x14ac:dyDescent="0.35">
      <c r="B2352" s="16">
        <v>45670</v>
      </c>
      <c r="C2352" s="6" t="s">
        <v>5</v>
      </c>
      <c r="D23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2" s="7">
        <v>136.03</v>
      </c>
      <c r="F2352" s="9">
        <v>1.0646500000000001</v>
      </c>
      <c r="G2352" s="10">
        <v>53.988205064377681</v>
      </c>
      <c r="I2352" s="28"/>
    </row>
    <row r="2353" spans="2:9" x14ac:dyDescent="0.35">
      <c r="B2353" s="16">
        <v>45671</v>
      </c>
      <c r="C2353" s="6" t="s">
        <v>5</v>
      </c>
      <c r="D23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3" s="7">
        <v>67.37</v>
      </c>
      <c r="F2353" s="9">
        <v>2.5278749999999999</v>
      </c>
      <c r="G2353" s="10">
        <v>51.818886467670829</v>
      </c>
      <c r="I2353" s="28"/>
    </row>
    <row r="2354" spans="2:9" x14ac:dyDescent="0.35">
      <c r="B2354" s="16">
        <v>45672</v>
      </c>
      <c r="C2354" s="6" t="s">
        <v>5</v>
      </c>
      <c r="D23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4" s="7">
        <v>111.81</v>
      </c>
      <c r="F2354" s="9">
        <v>1.9500750000000002</v>
      </c>
      <c r="G2354" s="10">
        <v>53.462991470470875</v>
      </c>
      <c r="I2354" s="28"/>
    </row>
    <row r="2355" spans="2:9" x14ac:dyDescent="0.35">
      <c r="B2355" s="16">
        <v>45673</v>
      </c>
      <c r="C2355" s="6" t="s">
        <v>5</v>
      </c>
      <c r="D23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5" s="7">
        <v>147.21</v>
      </c>
      <c r="F2355" s="9">
        <v>5.6469250000000004</v>
      </c>
      <c r="G2355" s="10">
        <v>49.698865976049703</v>
      </c>
      <c r="I2355" s="28"/>
    </row>
    <row r="2356" spans="2:9" x14ac:dyDescent="0.35">
      <c r="B2356" s="16">
        <v>45674</v>
      </c>
      <c r="C2356" s="6" t="s">
        <v>5</v>
      </c>
      <c r="D23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6" s="7">
        <v>140.87</v>
      </c>
      <c r="F2356" s="9">
        <v>2.01695</v>
      </c>
      <c r="G2356" s="10">
        <v>52.622044699523997</v>
      </c>
      <c r="I2356" s="28"/>
    </row>
    <row r="2357" spans="2:9" x14ac:dyDescent="0.35">
      <c r="B2357" s="16">
        <v>45675</v>
      </c>
      <c r="C2357" s="6" t="s">
        <v>5</v>
      </c>
      <c r="D23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7" s="7">
        <v>108.22</v>
      </c>
      <c r="F2357" s="9">
        <v>0.91752500000000015</v>
      </c>
      <c r="G2357" s="10">
        <v>54.260870846971365</v>
      </c>
      <c r="I2357" s="28"/>
    </row>
    <row r="2358" spans="2:9" x14ac:dyDescent="0.35">
      <c r="B2358" s="16">
        <v>45677</v>
      </c>
      <c r="C2358" s="6" t="s">
        <v>5</v>
      </c>
      <c r="D23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8" s="7">
        <v>213.26</v>
      </c>
      <c r="F2358" s="9">
        <v>3.2848999999999999</v>
      </c>
      <c r="G2358" s="10">
        <v>51.720139770908368</v>
      </c>
      <c r="I2358" s="28"/>
    </row>
    <row r="2359" spans="2:9" x14ac:dyDescent="0.35">
      <c r="B2359" s="16">
        <v>45678</v>
      </c>
      <c r="C2359" s="6" t="s">
        <v>5</v>
      </c>
      <c r="D23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59" s="7">
        <v>108.29</v>
      </c>
      <c r="F2359" s="9">
        <v>3.5149500000000002</v>
      </c>
      <c r="G2359" s="10">
        <v>51.811445586061481</v>
      </c>
      <c r="I2359" s="28"/>
    </row>
    <row r="2360" spans="2:9" x14ac:dyDescent="0.35">
      <c r="B2360" s="16">
        <v>45671</v>
      </c>
      <c r="C2360" s="6" t="s">
        <v>3</v>
      </c>
      <c r="D23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0" s="7">
        <v>45.38</v>
      </c>
      <c r="F2360" s="11">
        <v>1.1128</v>
      </c>
      <c r="G2360" s="11">
        <v>53.765728847777147</v>
      </c>
      <c r="I2360" s="28"/>
    </row>
    <row r="2361" spans="2:9" x14ac:dyDescent="0.35">
      <c r="B2361" s="16">
        <v>45672</v>
      </c>
      <c r="C2361" s="6" t="s">
        <v>3</v>
      </c>
      <c r="D23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1" s="7">
        <v>69.94</v>
      </c>
      <c r="F2361" s="11">
        <v>2.2015250000000002</v>
      </c>
      <c r="G2361" s="11">
        <v>53.066238889443717</v>
      </c>
      <c r="I2361" s="28"/>
    </row>
    <row r="2362" spans="2:9" x14ac:dyDescent="0.35">
      <c r="B2362" s="16">
        <v>45673</v>
      </c>
      <c r="C2362" s="6" t="s">
        <v>3</v>
      </c>
      <c r="D23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2" s="7">
        <v>68.36</v>
      </c>
      <c r="F2362" s="11">
        <v>1.9607750000000002</v>
      </c>
      <c r="G2362" s="11">
        <v>51.584006962834785</v>
      </c>
      <c r="I2362" s="28"/>
    </row>
    <row r="2363" spans="2:9" x14ac:dyDescent="0.35">
      <c r="B2363" s="16">
        <v>45675</v>
      </c>
      <c r="C2363" s="6" t="s">
        <v>3</v>
      </c>
      <c r="D23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3" s="7">
        <v>20.36</v>
      </c>
      <c r="F2363" s="11">
        <v>2.8649250000000004</v>
      </c>
      <c r="G2363" s="11">
        <v>52.905372300637964</v>
      </c>
      <c r="I2363" s="28"/>
    </row>
    <row r="2364" spans="2:9" x14ac:dyDescent="0.35">
      <c r="B2364" s="16">
        <v>45678</v>
      </c>
      <c r="C2364" s="6" t="s">
        <v>3</v>
      </c>
      <c r="D23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4" s="7">
        <v>45</v>
      </c>
      <c r="F2364" s="11">
        <v>1.0807</v>
      </c>
      <c r="G2364" s="11">
        <v>53.737128211691719</v>
      </c>
      <c r="I2364" s="28"/>
    </row>
    <row r="2365" spans="2:9" x14ac:dyDescent="0.35">
      <c r="B2365" s="16">
        <v>45660</v>
      </c>
      <c r="C2365" s="6" t="s">
        <v>6</v>
      </c>
      <c r="D23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5" s="7">
        <v>132.44</v>
      </c>
      <c r="F2365" s="9">
        <v>1.33</v>
      </c>
      <c r="G2365" s="10">
        <v>53.530085517024951</v>
      </c>
      <c r="I2365" s="28"/>
    </row>
    <row r="2366" spans="2:9" x14ac:dyDescent="0.35">
      <c r="B2366" s="16">
        <v>45665</v>
      </c>
      <c r="C2366" s="6" t="s">
        <v>6</v>
      </c>
      <c r="D23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6" s="7">
        <v>129.80000000000001</v>
      </c>
      <c r="F2366" s="9">
        <v>2.6429000000000005</v>
      </c>
      <c r="G2366" s="10">
        <v>52.770127416790857</v>
      </c>
      <c r="I2366" s="28"/>
    </row>
    <row r="2367" spans="2:9" x14ac:dyDescent="0.35">
      <c r="B2367" s="16">
        <v>45666</v>
      </c>
      <c r="C2367" s="6" t="s">
        <v>6</v>
      </c>
      <c r="D23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7" s="7">
        <v>421.38</v>
      </c>
      <c r="F2367" s="9">
        <v>1.7227000000000001</v>
      </c>
      <c r="G2367" s="10">
        <v>53.008122101910821</v>
      </c>
      <c r="I2367" s="28"/>
    </row>
    <row r="2368" spans="2:9" x14ac:dyDescent="0.35">
      <c r="B2368" s="16">
        <v>45667</v>
      </c>
      <c r="C2368" s="6" t="s">
        <v>6</v>
      </c>
      <c r="D23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8" s="7">
        <v>375.54</v>
      </c>
      <c r="F2368" s="9">
        <v>1.8270250000000001</v>
      </c>
      <c r="G2368" s="10">
        <v>47.694521340247306</v>
      </c>
      <c r="I2368" s="28"/>
    </row>
    <row r="2369" spans="2:9" x14ac:dyDescent="0.35">
      <c r="B2369" s="16">
        <v>45668</v>
      </c>
      <c r="C2369" s="6" t="s">
        <v>6</v>
      </c>
      <c r="D23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69" s="7">
        <v>335.36</v>
      </c>
      <c r="F2369" s="9">
        <v>2.4396</v>
      </c>
      <c r="G2369" s="10">
        <v>53.232114618746962</v>
      </c>
      <c r="I2369" s="28"/>
    </row>
    <row r="2370" spans="2:9" x14ac:dyDescent="0.35">
      <c r="B2370" s="16">
        <v>45670</v>
      </c>
      <c r="C2370" s="6" t="s">
        <v>6</v>
      </c>
      <c r="D23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0" s="7">
        <v>342.56</v>
      </c>
      <c r="F2370" s="9">
        <v>2.1212750000000002</v>
      </c>
      <c r="G2370" s="10">
        <v>53.353471709265172</v>
      </c>
      <c r="I2370" s="28"/>
    </row>
    <row r="2371" spans="2:9" x14ac:dyDescent="0.35">
      <c r="B2371" s="16">
        <v>45671</v>
      </c>
      <c r="C2371" s="6" t="s">
        <v>6</v>
      </c>
      <c r="D23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1" s="7">
        <v>268.16000000000003</v>
      </c>
      <c r="F2371" s="9">
        <v>1.42845</v>
      </c>
      <c r="G2371" s="10">
        <v>52.498818029756542</v>
      </c>
      <c r="I2371" s="28"/>
    </row>
    <row r="2372" spans="2:9" x14ac:dyDescent="0.35">
      <c r="B2372" s="16">
        <v>45672</v>
      </c>
      <c r="C2372" s="6" t="s">
        <v>6</v>
      </c>
      <c r="D23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2" s="7">
        <v>334.78</v>
      </c>
      <c r="F2372" s="9">
        <v>1.5220750000000003</v>
      </c>
      <c r="G2372" s="10">
        <v>54.042930101429</v>
      </c>
      <c r="I2372" s="28"/>
    </row>
    <row r="2373" spans="2:9" x14ac:dyDescent="0.35">
      <c r="B2373" s="16">
        <v>45673</v>
      </c>
      <c r="C2373" s="6" t="s">
        <v>6</v>
      </c>
      <c r="D23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3" s="7">
        <v>314.39999999999998</v>
      </c>
      <c r="F2373" s="9">
        <v>2.6375500000000001</v>
      </c>
      <c r="G2373" s="10">
        <v>52.369473684210519</v>
      </c>
      <c r="I2373" s="28"/>
    </row>
    <row r="2374" spans="2:9" x14ac:dyDescent="0.35">
      <c r="B2374" s="16">
        <v>45674</v>
      </c>
      <c r="C2374" s="6" t="s">
        <v>6</v>
      </c>
      <c r="D23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4" s="7">
        <v>249.64</v>
      </c>
      <c r="F2374" s="9">
        <v>4.1435750000000002</v>
      </c>
      <c r="G2374" s="10">
        <v>51.783585459847799</v>
      </c>
      <c r="I2374" s="28"/>
    </row>
    <row r="2375" spans="2:9" x14ac:dyDescent="0.35">
      <c r="B2375" s="16">
        <v>45675</v>
      </c>
      <c r="C2375" s="6" t="s">
        <v>6</v>
      </c>
      <c r="D23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5" s="7">
        <v>384.74</v>
      </c>
      <c r="F2375" s="9">
        <v>3.2929250000000003</v>
      </c>
      <c r="G2375" s="10">
        <v>52.38972972972973</v>
      </c>
      <c r="I2375" s="28"/>
    </row>
    <row r="2376" spans="2:9" x14ac:dyDescent="0.35">
      <c r="B2376" s="16">
        <v>45677</v>
      </c>
      <c r="C2376" s="6" t="s">
        <v>6</v>
      </c>
      <c r="D23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6" s="7">
        <v>163.68</v>
      </c>
      <c r="F2376" s="9">
        <v>2.1774500000000003</v>
      </c>
      <c r="G2376" s="10">
        <v>52.611175888046297</v>
      </c>
      <c r="I2376" s="28"/>
    </row>
    <row r="2377" spans="2:9" x14ac:dyDescent="0.35">
      <c r="B2377" s="16">
        <v>45678</v>
      </c>
      <c r="C2377" s="6" t="s">
        <v>6</v>
      </c>
      <c r="D23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7" s="7">
        <v>238.56</v>
      </c>
      <c r="F2377" s="9">
        <v>1.6692000000000002</v>
      </c>
      <c r="G2377" s="10">
        <v>53.846494353843092</v>
      </c>
      <c r="I2377" s="28"/>
    </row>
    <row r="2378" spans="2:9" x14ac:dyDescent="0.35">
      <c r="B2378" s="16">
        <v>45660</v>
      </c>
      <c r="C2378" s="6" t="s">
        <v>2</v>
      </c>
      <c r="D23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8" s="7">
        <v>132.44</v>
      </c>
      <c r="F2378" s="9">
        <v>0.49</v>
      </c>
      <c r="G2378" s="11">
        <v>52.856487378320409</v>
      </c>
      <c r="I2378" s="28"/>
    </row>
    <row r="2379" spans="2:9" x14ac:dyDescent="0.35">
      <c r="B2379" s="16">
        <v>45660</v>
      </c>
      <c r="C2379" s="6" t="s">
        <v>2</v>
      </c>
      <c r="D23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79" s="7">
        <v>129.80000000000001</v>
      </c>
      <c r="F2379" s="9">
        <v>0.28000000000000003</v>
      </c>
      <c r="G2379" s="11">
        <v>54.23707032220657</v>
      </c>
      <c r="I2379" s="28"/>
    </row>
    <row r="2380" spans="2:9" x14ac:dyDescent="0.35">
      <c r="B2380" s="16">
        <v>45665</v>
      </c>
      <c r="C2380" s="6" t="s">
        <v>2</v>
      </c>
      <c r="D23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0" s="7">
        <v>421.38</v>
      </c>
      <c r="F2380" s="9">
        <v>0.57999999999999996</v>
      </c>
      <c r="G2380" s="11">
        <v>53.510697325668581</v>
      </c>
      <c r="I2380" s="28"/>
    </row>
    <row r="2381" spans="2:9" x14ac:dyDescent="0.35">
      <c r="B2381" s="16">
        <v>45666</v>
      </c>
      <c r="C2381" s="6" t="s">
        <v>2</v>
      </c>
      <c r="D23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1" s="7">
        <v>375.54</v>
      </c>
      <c r="F2381" s="9">
        <v>0.25412499999999999</v>
      </c>
      <c r="G2381" s="11">
        <v>54.761644564999003</v>
      </c>
      <c r="I2381" s="28"/>
    </row>
    <row r="2382" spans="2:9" x14ac:dyDescent="0.35">
      <c r="B2382" s="16">
        <v>45667</v>
      </c>
      <c r="C2382" s="6" t="s">
        <v>2</v>
      </c>
      <c r="D23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2" s="7">
        <v>335.36</v>
      </c>
      <c r="F2382" s="9">
        <v>0.69817499999999999</v>
      </c>
      <c r="G2382" s="11">
        <v>54.131824304533701</v>
      </c>
      <c r="I2382" s="28"/>
    </row>
    <row r="2383" spans="2:9" x14ac:dyDescent="0.35">
      <c r="B2383" s="16">
        <v>45668</v>
      </c>
      <c r="C2383" s="6" t="s">
        <v>2</v>
      </c>
      <c r="D23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3" s="7">
        <v>342.56</v>
      </c>
      <c r="F2383" s="9">
        <v>1.0807</v>
      </c>
      <c r="G2383" s="11">
        <v>51.203112652908999</v>
      </c>
      <c r="I2383" s="28"/>
    </row>
    <row r="2384" spans="2:9" x14ac:dyDescent="0.35">
      <c r="B2384" s="16">
        <v>45670</v>
      </c>
      <c r="C2384" s="6" t="s">
        <v>2</v>
      </c>
      <c r="D23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4" s="7">
        <v>268.16000000000003</v>
      </c>
      <c r="F2384" s="9">
        <v>0.79447500000000015</v>
      </c>
      <c r="G2384" s="11">
        <v>52.694549299278485</v>
      </c>
      <c r="I2384" s="28"/>
    </row>
    <row r="2385" spans="2:9" x14ac:dyDescent="0.35">
      <c r="B2385" s="16">
        <v>45671</v>
      </c>
      <c r="C2385" s="6" t="s">
        <v>2</v>
      </c>
      <c r="D23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5" s="7">
        <v>334.78</v>
      </c>
      <c r="F2385" s="9">
        <v>4.3843250000000005</v>
      </c>
      <c r="G2385" s="11">
        <v>49.201108341274576</v>
      </c>
      <c r="I2385" s="28"/>
    </row>
    <row r="2386" spans="2:9" x14ac:dyDescent="0.35">
      <c r="B2386" s="16">
        <v>45672</v>
      </c>
      <c r="C2386" s="6" t="s">
        <v>2</v>
      </c>
      <c r="D23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6" s="7">
        <v>314.39999999999998</v>
      </c>
      <c r="F2386" s="9">
        <v>1.1449</v>
      </c>
      <c r="G2386" s="11">
        <v>52.810565278738757</v>
      </c>
      <c r="I2386" s="28"/>
    </row>
    <row r="2387" spans="2:9" x14ac:dyDescent="0.35">
      <c r="B2387" s="16">
        <v>45673</v>
      </c>
      <c r="C2387" s="6" t="s">
        <v>2</v>
      </c>
      <c r="D23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7" s="7">
        <v>249.64</v>
      </c>
      <c r="F2387" s="9">
        <v>2.8863249999999998</v>
      </c>
      <c r="G2387" s="11">
        <v>50.457904865771809</v>
      </c>
      <c r="I2387" s="28"/>
    </row>
    <row r="2388" spans="2:9" x14ac:dyDescent="0.35">
      <c r="B2388" s="16">
        <v>45674</v>
      </c>
      <c r="C2388" s="6" t="s">
        <v>2</v>
      </c>
      <c r="D23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8" s="7">
        <v>384.74</v>
      </c>
      <c r="F2388" s="9">
        <v>1.0245250000000001</v>
      </c>
      <c r="G2388" s="11">
        <v>52.869248490865772</v>
      </c>
      <c r="I2388" s="28"/>
    </row>
    <row r="2389" spans="2:9" x14ac:dyDescent="0.35">
      <c r="B2389" s="16">
        <v>45675</v>
      </c>
      <c r="C2389" s="6" t="s">
        <v>2</v>
      </c>
      <c r="D23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89" s="7">
        <v>163.68</v>
      </c>
      <c r="F2389" s="9">
        <v>0.92287500000000011</v>
      </c>
      <c r="G2389" s="11">
        <v>54.329460115731258</v>
      </c>
      <c r="I2389" s="28"/>
    </row>
    <row r="2390" spans="2:9" x14ac:dyDescent="0.35">
      <c r="B2390" s="16">
        <v>45677</v>
      </c>
      <c r="C2390" s="6" t="s">
        <v>2</v>
      </c>
      <c r="D23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0" s="7">
        <v>238.56</v>
      </c>
      <c r="F2390" s="9">
        <v>0.67410000000000003</v>
      </c>
      <c r="G2390" s="11">
        <v>53.769369386994128</v>
      </c>
      <c r="I2390" s="28"/>
    </row>
    <row r="2391" spans="2:9" x14ac:dyDescent="0.35">
      <c r="B2391" s="16">
        <v>45678</v>
      </c>
      <c r="C2391" s="6" t="s">
        <v>2</v>
      </c>
      <c r="D23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1" s="7">
        <v>238.56</v>
      </c>
      <c r="F2391" s="9">
        <v>0.85867500000000008</v>
      </c>
      <c r="G2391" s="11">
        <v>53.179898211297072</v>
      </c>
      <c r="I2391" s="28"/>
    </row>
    <row r="2392" spans="2:9" x14ac:dyDescent="0.35">
      <c r="B2392" s="16">
        <v>45679</v>
      </c>
      <c r="C2392" s="6" t="s">
        <v>2</v>
      </c>
      <c r="D23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2" s="7">
        <v>353.98</v>
      </c>
      <c r="F2392" s="9">
        <v>0.56977500000000003</v>
      </c>
      <c r="G2392" s="11">
        <v>54.71208097648109</v>
      </c>
      <c r="I2392" s="28"/>
    </row>
    <row r="2393" spans="2:9" x14ac:dyDescent="0.35">
      <c r="B2393" s="16">
        <v>45680</v>
      </c>
      <c r="C2393" s="6" t="s">
        <v>2</v>
      </c>
      <c r="D23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3" s="7">
        <v>337.34</v>
      </c>
      <c r="F2393" s="9">
        <v>1.6852500000000001</v>
      </c>
      <c r="G2393" s="11">
        <v>52.263379064215144</v>
      </c>
      <c r="I2393" s="28"/>
    </row>
    <row r="2394" spans="2:9" x14ac:dyDescent="0.35">
      <c r="B2394" s="16">
        <v>45681</v>
      </c>
      <c r="C2394" s="6" t="s">
        <v>2</v>
      </c>
      <c r="D23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4" s="7">
        <v>336.46</v>
      </c>
      <c r="F2394" s="9">
        <v>1.52475</v>
      </c>
      <c r="G2394" s="11">
        <v>52.554868310069793</v>
      </c>
      <c r="I2394" s="28"/>
    </row>
    <row r="2395" spans="2:9" x14ac:dyDescent="0.35">
      <c r="B2395" s="16">
        <v>45682</v>
      </c>
      <c r="C2395" s="6" t="s">
        <v>2</v>
      </c>
      <c r="D23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5" s="7">
        <v>577</v>
      </c>
      <c r="F2395" s="9">
        <v>0.98707500000000004</v>
      </c>
      <c r="G2395" s="11">
        <v>53.445766301260257</v>
      </c>
      <c r="I2395" s="28"/>
    </row>
    <row r="2396" spans="2:9" x14ac:dyDescent="0.35">
      <c r="B2396" s="16">
        <v>45684</v>
      </c>
      <c r="C2396" s="6" t="s">
        <v>2</v>
      </c>
      <c r="D23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6" s="7">
        <v>577</v>
      </c>
      <c r="F2396" s="9">
        <v>1.64245</v>
      </c>
      <c r="G2396" s="11">
        <v>52.990904299140169</v>
      </c>
      <c r="I2396" s="28"/>
    </row>
    <row r="2397" spans="2:9" x14ac:dyDescent="0.35">
      <c r="B2397" s="16">
        <v>45679</v>
      </c>
      <c r="C2397" s="6" t="s">
        <v>6</v>
      </c>
      <c r="D23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7" s="7">
        <v>209.66</v>
      </c>
      <c r="F2397" s="9">
        <v>3.1538249999999999</v>
      </c>
      <c r="G2397" s="10">
        <v>52.914745405513386</v>
      </c>
      <c r="I2397" s="28"/>
    </row>
    <row r="2398" spans="2:9" x14ac:dyDescent="0.35">
      <c r="B2398" s="16">
        <v>45680</v>
      </c>
      <c r="C2398" s="6" t="s">
        <v>6</v>
      </c>
      <c r="D23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8" s="7">
        <v>1066.32</v>
      </c>
      <c r="F2398" s="9">
        <v>3.8252500000000005</v>
      </c>
      <c r="G2398" s="10">
        <v>52.207476318675837</v>
      </c>
      <c r="I2398" s="28"/>
    </row>
    <row r="2399" spans="2:9" x14ac:dyDescent="0.35">
      <c r="B2399" s="16">
        <v>45681</v>
      </c>
      <c r="C2399" s="6" t="s">
        <v>6</v>
      </c>
      <c r="D23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399" s="7">
        <v>572.64</v>
      </c>
      <c r="F2399" s="9">
        <v>2.5893999999999999</v>
      </c>
      <c r="G2399" s="10">
        <v>53.255459934308377</v>
      </c>
      <c r="I2399" s="28"/>
    </row>
    <row r="2400" spans="2:9" x14ac:dyDescent="0.35">
      <c r="B2400" s="16">
        <v>45682</v>
      </c>
      <c r="C2400" s="6" t="s">
        <v>6</v>
      </c>
      <c r="D24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0" s="7">
        <v>547.77</v>
      </c>
      <c r="F2400" s="9">
        <v>2.1961750000000002</v>
      </c>
      <c r="G2400" s="10">
        <v>53.412595801660331</v>
      </c>
      <c r="I2400" s="28"/>
    </row>
    <row r="2401" spans="2:9" x14ac:dyDescent="0.35">
      <c r="B2401" s="16">
        <v>45684</v>
      </c>
      <c r="C2401" s="6" t="s">
        <v>6</v>
      </c>
      <c r="D24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1" s="7">
        <v>339.07</v>
      </c>
      <c r="F2401" s="9">
        <v>2.4235500000000001</v>
      </c>
      <c r="G2401" s="10">
        <v>53.291775000000001</v>
      </c>
      <c r="I2401" s="28"/>
    </row>
    <row r="2402" spans="2:9" x14ac:dyDescent="0.35">
      <c r="B2402" s="16">
        <v>45679</v>
      </c>
      <c r="C2402" s="6" t="s">
        <v>5</v>
      </c>
      <c r="D24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2" s="7">
        <v>137.03</v>
      </c>
      <c r="F2402" s="9">
        <v>0.66875000000000007</v>
      </c>
      <c r="G2402" s="10">
        <v>54.694103403130917</v>
      </c>
      <c r="I2402" s="28"/>
    </row>
    <row r="2403" spans="2:9" x14ac:dyDescent="0.35">
      <c r="B2403" s="16">
        <v>45680</v>
      </c>
      <c r="C2403" s="6" t="s">
        <v>5</v>
      </c>
      <c r="D24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3" s="7">
        <v>169.16</v>
      </c>
      <c r="F2403" s="9">
        <v>3.3491</v>
      </c>
      <c r="G2403" s="10">
        <v>51.803621792101339</v>
      </c>
      <c r="I2403" s="28"/>
    </row>
    <row r="2404" spans="2:9" x14ac:dyDescent="0.35">
      <c r="B2404" s="16">
        <v>45681</v>
      </c>
      <c r="C2404" s="6" t="s">
        <v>5</v>
      </c>
      <c r="D24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4" s="7">
        <v>205.75</v>
      </c>
      <c r="F2404" s="9">
        <v>4.4699250000000008</v>
      </c>
      <c r="G2404" s="10">
        <v>51.604925380629737</v>
      </c>
      <c r="I2404" s="28"/>
    </row>
    <row r="2405" spans="2:9" x14ac:dyDescent="0.35">
      <c r="B2405" s="16">
        <v>45682</v>
      </c>
      <c r="C2405" s="6" t="s">
        <v>5</v>
      </c>
      <c r="D24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5" s="7">
        <v>204.96</v>
      </c>
      <c r="F2405" s="9">
        <v>1.4899750000000003</v>
      </c>
      <c r="G2405" s="10">
        <v>53.17369211713514</v>
      </c>
      <c r="I2405" s="28"/>
    </row>
    <row r="2406" spans="2:9" x14ac:dyDescent="0.35">
      <c r="B2406" s="16">
        <v>45680</v>
      </c>
      <c r="C2406" s="6" t="s">
        <v>3</v>
      </c>
      <c r="D24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6" s="7">
        <v>46</v>
      </c>
      <c r="F2406" s="11">
        <v>2.9799500000000005</v>
      </c>
      <c r="G2406" s="11">
        <v>52.893719254786006</v>
      </c>
      <c r="I2406" s="28"/>
    </row>
    <row r="2407" spans="2:9" x14ac:dyDescent="0.35">
      <c r="B2407" s="16">
        <v>45681</v>
      </c>
      <c r="C2407" s="6" t="s">
        <v>3</v>
      </c>
      <c r="D24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7" s="7">
        <v>86</v>
      </c>
      <c r="F2407" s="11">
        <v>3.1993000000000005</v>
      </c>
      <c r="G2407" s="11">
        <v>52.392762074038558</v>
      </c>
      <c r="I2407" s="28"/>
    </row>
    <row r="2408" spans="2:9" x14ac:dyDescent="0.35">
      <c r="B2408" s="16">
        <v>45682</v>
      </c>
      <c r="C2408" s="6" t="s">
        <v>3</v>
      </c>
      <c r="D24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8" s="7">
        <v>94.12</v>
      </c>
      <c r="F2408" s="11">
        <v>1.8618000000000001</v>
      </c>
      <c r="G2408" s="11">
        <v>53.494311796859371</v>
      </c>
      <c r="I2408" s="28"/>
    </row>
    <row r="2409" spans="2:9" x14ac:dyDescent="0.35">
      <c r="B2409" s="16">
        <v>45685</v>
      </c>
      <c r="C2409" s="6" t="s">
        <v>2</v>
      </c>
      <c r="D24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09" s="7">
        <v>384</v>
      </c>
      <c r="F2409" s="9">
        <v>0.57245000000000001</v>
      </c>
      <c r="G2409" s="11">
        <v>53.564164217209445</v>
      </c>
      <c r="I2409" s="28"/>
    </row>
    <row r="2410" spans="2:9" x14ac:dyDescent="0.35">
      <c r="B2410" s="16">
        <v>45685</v>
      </c>
      <c r="C2410" s="6" t="s">
        <v>2</v>
      </c>
      <c r="D24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0" s="7">
        <v>384</v>
      </c>
      <c r="F2410" s="9">
        <v>1.7173500000000002</v>
      </c>
      <c r="G2410" s="11">
        <v>52.047340890873613</v>
      </c>
      <c r="I2410" s="28"/>
    </row>
    <row r="2411" spans="2:9" x14ac:dyDescent="0.35">
      <c r="B2411" s="16">
        <v>45686</v>
      </c>
      <c r="C2411" s="6" t="s">
        <v>2</v>
      </c>
      <c r="D24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1" s="7">
        <v>384</v>
      </c>
      <c r="F2411" s="9">
        <v>5.7967250000000003</v>
      </c>
      <c r="G2411" s="11">
        <v>49.44838730950471</v>
      </c>
      <c r="I2411" s="28"/>
    </row>
    <row r="2412" spans="2:9" x14ac:dyDescent="0.35">
      <c r="B2412" s="16">
        <v>45686</v>
      </c>
      <c r="C2412" s="6" t="s">
        <v>2</v>
      </c>
      <c r="D24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2" s="7">
        <v>384</v>
      </c>
      <c r="F2412" s="9">
        <v>5.0958750000000004</v>
      </c>
      <c r="G2412" s="11">
        <v>49.432427920873735</v>
      </c>
      <c r="I2412" s="28"/>
    </row>
    <row r="2413" spans="2:9" x14ac:dyDescent="0.35">
      <c r="B2413" s="16">
        <v>45687</v>
      </c>
      <c r="C2413" s="6" t="s">
        <v>2</v>
      </c>
      <c r="D24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3" s="7">
        <v>384</v>
      </c>
      <c r="F2413" s="9">
        <v>0.92020000000000002</v>
      </c>
      <c r="G2413" s="11">
        <v>53.222832305538887</v>
      </c>
      <c r="I2413" s="28"/>
    </row>
    <row r="2414" spans="2:9" x14ac:dyDescent="0.35">
      <c r="B2414" s="16">
        <v>45687</v>
      </c>
      <c r="C2414" s="6" t="s">
        <v>2</v>
      </c>
      <c r="D24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4" s="7">
        <v>384</v>
      </c>
      <c r="F2414" s="9">
        <v>0.44672499999999998</v>
      </c>
      <c r="G2414" s="11">
        <v>54.490651568343168</v>
      </c>
      <c r="I2414" s="28"/>
    </row>
    <row r="2415" spans="2:9" x14ac:dyDescent="0.35">
      <c r="B2415" s="16">
        <v>45688</v>
      </c>
      <c r="C2415" s="6" t="s">
        <v>2</v>
      </c>
      <c r="D24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5" s="7">
        <v>919.24</v>
      </c>
      <c r="F2415" s="9">
        <v>0.30495</v>
      </c>
      <c r="G2415" s="11">
        <v>54.632354838066767</v>
      </c>
      <c r="I2415" s="28"/>
    </row>
    <row r="2416" spans="2:9" x14ac:dyDescent="0.35">
      <c r="B2416" s="16">
        <v>45691</v>
      </c>
      <c r="C2416" s="6" t="s">
        <v>2</v>
      </c>
      <c r="D24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6" s="7">
        <v>312.66000000000003</v>
      </c>
      <c r="F2416" s="9">
        <v>0.51895000000000002</v>
      </c>
      <c r="G2416" s="11">
        <v>45.759074126012194</v>
      </c>
      <c r="I2416" s="28"/>
    </row>
    <row r="2417" spans="2:9" x14ac:dyDescent="0.35">
      <c r="B2417" s="16">
        <v>45692</v>
      </c>
      <c r="C2417" s="6" t="s">
        <v>2</v>
      </c>
      <c r="D24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7" s="7">
        <v>303.42</v>
      </c>
      <c r="F2417" s="9">
        <v>2.5</v>
      </c>
      <c r="G2417" s="11">
        <v>54.084384787542497</v>
      </c>
      <c r="I2417" s="28"/>
    </row>
    <row r="2418" spans="2:9" x14ac:dyDescent="0.35">
      <c r="B2418" s="16">
        <v>45693</v>
      </c>
      <c r="C2418" s="6" t="s">
        <v>2</v>
      </c>
      <c r="D24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8" s="7">
        <v>403.26</v>
      </c>
      <c r="F2418" s="9">
        <v>0.7677250000000001</v>
      </c>
      <c r="G2418" s="11">
        <v>52.805100498802872</v>
      </c>
      <c r="I2418" s="28"/>
    </row>
    <row r="2419" spans="2:9" x14ac:dyDescent="0.35">
      <c r="B2419" s="16">
        <v>45685</v>
      </c>
      <c r="C2419" s="6" t="s">
        <v>6</v>
      </c>
      <c r="D24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19" s="7">
        <v>649.92999999999995</v>
      </c>
      <c r="F2419" s="9">
        <v>2.5599750000000001</v>
      </c>
      <c r="G2419" s="10">
        <v>52.457728156952456</v>
      </c>
      <c r="I2419" s="28"/>
    </row>
    <row r="2420" spans="2:9" x14ac:dyDescent="0.35">
      <c r="B2420" s="16">
        <v>45686</v>
      </c>
      <c r="C2420" s="6" t="s">
        <v>6</v>
      </c>
      <c r="D24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0" s="7">
        <v>487.05</v>
      </c>
      <c r="F2420" s="9">
        <v>3.3517749999999999</v>
      </c>
      <c r="G2420" s="10">
        <v>52.484571428571428</v>
      </c>
      <c r="I2420" s="28"/>
    </row>
    <row r="2421" spans="2:9" x14ac:dyDescent="0.35">
      <c r="B2421" s="16">
        <v>45687</v>
      </c>
      <c r="C2421" s="6" t="s">
        <v>6</v>
      </c>
      <c r="D24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1" s="7">
        <v>614.82000000000005</v>
      </c>
      <c r="F2421" s="9">
        <v>2.3085250000000004</v>
      </c>
      <c r="G2421" s="10">
        <v>53.446621892803599</v>
      </c>
      <c r="I2421" s="28"/>
    </row>
    <row r="2422" spans="2:9" x14ac:dyDescent="0.35">
      <c r="B2422" s="16">
        <v>45688</v>
      </c>
      <c r="C2422" s="6" t="s">
        <v>6</v>
      </c>
      <c r="D24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2" s="7">
        <v>905.68</v>
      </c>
      <c r="F2422" s="9">
        <v>2.4422750000000004</v>
      </c>
      <c r="G2422" s="10">
        <v>53.375025565633408</v>
      </c>
      <c r="I2422" s="28"/>
    </row>
    <row r="2423" spans="2:9" x14ac:dyDescent="0.35">
      <c r="B2423" s="18">
        <v>45689</v>
      </c>
      <c r="C2423" s="6" t="s">
        <v>6</v>
      </c>
      <c r="D24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3" s="7">
        <v>137.19</v>
      </c>
      <c r="F2423" s="9">
        <v>2.4422750000000004</v>
      </c>
      <c r="G2423" s="10">
        <v>53.375025565633408</v>
      </c>
      <c r="I2423" s="28"/>
    </row>
    <row r="2424" spans="2:9" x14ac:dyDescent="0.35">
      <c r="B2424" s="18">
        <v>45689</v>
      </c>
      <c r="C2424" s="6" t="s">
        <v>6</v>
      </c>
      <c r="D24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4" s="7">
        <v>347.14</v>
      </c>
      <c r="F2424" s="9">
        <v>2.2871250000000005</v>
      </c>
      <c r="G2424" s="10">
        <v>52.874978938813101</v>
      </c>
      <c r="I2424" s="28"/>
    </row>
    <row r="2425" spans="2:9" x14ac:dyDescent="0.35">
      <c r="B2425" s="18">
        <v>45691</v>
      </c>
      <c r="C2425" s="6" t="s">
        <v>6</v>
      </c>
      <c r="D24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5" s="7">
        <v>490.27</v>
      </c>
      <c r="F2425" s="9">
        <v>2.4850749999999997</v>
      </c>
      <c r="G2425" s="10">
        <v>52.858330744526647</v>
      </c>
      <c r="I2425" s="28"/>
    </row>
    <row r="2426" spans="2:9" x14ac:dyDescent="0.35">
      <c r="B2426" s="18">
        <v>45692</v>
      </c>
      <c r="C2426" s="6" t="s">
        <v>6</v>
      </c>
      <c r="D24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6" s="7">
        <v>296.27</v>
      </c>
      <c r="F2426" s="9">
        <v>2.2737500000000002</v>
      </c>
      <c r="G2426" s="10">
        <v>53.498575000000002</v>
      </c>
      <c r="I2426" s="28"/>
    </row>
    <row r="2427" spans="2:9" x14ac:dyDescent="0.35">
      <c r="B2427" s="18">
        <v>45693</v>
      </c>
      <c r="C2427" s="6" t="s">
        <v>6</v>
      </c>
      <c r="D24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7" s="7">
        <v>395.32</v>
      </c>
      <c r="F2427" s="9">
        <v>2.14</v>
      </c>
      <c r="G2427" s="10">
        <v>53.025054284606433</v>
      </c>
      <c r="I2427" s="28"/>
    </row>
    <row r="2428" spans="2:9" x14ac:dyDescent="0.35">
      <c r="B2428" s="18">
        <v>45685</v>
      </c>
      <c r="C2428" s="6" t="s">
        <v>5</v>
      </c>
      <c r="D24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8" s="7">
        <v>204.96</v>
      </c>
      <c r="F2428" s="9">
        <v>0.62060000000000004</v>
      </c>
      <c r="G2428" s="10">
        <v>53.839142438160785</v>
      </c>
      <c r="I2428" s="28"/>
    </row>
    <row r="2429" spans="2:9" x14ac:dyDescent="0.35">
      <c r="B2429" s="18">
        <v>45687</v>
      </c>
      <c r="C2429" s="6" t="s">
        <v>5</v>
      </c>
      <c r="D24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29" s="7">
        <v>207.27</v>
      </c>
      <c r="F2429" s="9">
        <v>0.89344999999999997</v>
      </c>
      <c r="G2429" s="10">
        <v>53.837209263147372</v>
      </c>
      <c r="I2429" s="28"/>
    </row>
    <row r="2430" spans="2:9" x14ac:dyDescent="0.35">
      <c r="B2430" s="18">
        <v>45688</v>
      </c>
      <c r="C2430" s="6" t="s">
        <v>5</v>
      </c>
      <c r="D24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0" s="7">
        <v>37.479999999999997</v>
      </c>
      <c r="F2430" s="9">
        <v>0.25680000000000003</v>
      </c>
      <c r="G2430" s="10">
        <v>55.036020234398478</v>
      </c>
      <c r="I2430" s="28"/>
    </row>
    <row r="2431" spans="2:9" x14ac:dyDescent="0.35">
      <c r="B2431" s="18">
        <v>45689</v>
      </c>
      <c r="C2431" s="6" t="s">
        <v>5</v>
      </c>
      <c r="D24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1" s="7">
        <v>166.74</v>
      </c>
      <c r="F2431" s="9">
        <v>1.1449</v>
      </c>
      <c r="G2431" s="10">
        <v>53.909926903281956</v>
      </c>
      <c r="I2431" s="28"/>
    </row>
    <row r="2432" spans="2:9" x14ac:dyDescent="0.35">
      <c r="B2432" s="18">
        <v>45692</v>
      </c>
      <c r="C2432" s="6" t="s">
        <v>5</v>
      </c>
      <c r="D24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2" s="7">
        <v>173.32</v>
      </c>
      <c r="F2432" s="9">
        <v>1.8725000000000001</v>
      </c>
      <c r="G2432" s="10">
        <v>53.343912082749647</v>
      </c>
      <c r="I2432" s="28"/>
    </row>
    <row r="2433" spans="2:9" x14ac:dyDescent="0.35">
      <c r="B2433" s="18">
        <v>45685</v>
      </c>
      <c r="C2433" s="6" t="s">
        <v>3</v>
      </c>
      <c r="D24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3" s="7">
        <v>21.86</v>
      </c>
      <c r="F2433" s="9">
        <v>4.5635500000000002</v>
      </c>
      <c r="G2433" s="10">
        <v>49.804938453865333</v>
      </c>
      <c r="I2433" s="28"/>
    </row>
    <row r="2434" spans="2:9" x14ac:dyDescent="0.35">
      <c r="B2434" s="18">
        <v>45686</v>
      </c>
      <c r="C2434" s="6" t="s">
        <v>3</v>
      </c>
      <c r="D24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4" s="7">
        <v>43.32</v>
      </c>
      <c r="F2434" s="9">
        <v>3.485525</v>
      </c>
      <c r="G2434" s="10">
        <v>50.449958732369709</v>
      </c>
      <c r="I2434" s="28"/>
    </row>
    <row r="2435" spans="2:9" x14ac:dyDescent="0.35">
      <c r="B2435" s="18">
        <v>45687</v>
      </c>
      <c r="C2435" s="6" t="s">
        <v>3</v>
      </c>
      <c r="D24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5" s="7">
        <v>80.94</v>
      </c>
      <c r="F2435" s="9">
        <v>6.0160749999999998</v>
      </c>
      <c r="G2435" s="10">
        <v>49.258315831253128</v>
      </c>
      <c r="I2435" s="28"/>
    </row>
    <row r="2436" spans="2:9" x14ac:dyDescent="0.35">
      <c r="B2436" s="18">
        <v>45688</v>
      </c>
      <c r="C2436" s="6" t="s">
        <v>3</v>
      </c>
      <c r="D24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6" s="7">
        <v>153.26</v>
      </c>
      <c r="F2436" s="9">
        <v>3.4614500000000001</v>
      </c>
      <c r="G2436" s="10">
        <v>52.41897081002098</v>
      </c>
      <c r="I2436" s="28"/>
    </row>
    <row r="2437" spans="2:9" x14ac:dyDescent="0.35">
      <c r="B2437" s="18">
        <v>45691</v>
      </c>
      <c r="C2437" s="6" t="s">
        <v>3</v>
      </c>
      <c r="D24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7" s="7">
        <v>84.92</v>
      </c>
      <c r="F2437" s="19">
        <v>5.2911500000000009</v>
      </c>
      <c r="G2437" s="10">
        <v>49.797517315194554</v>
      </c>
      <c r="I2437" s="28"/>
    </row>
    <row r="2438" spans="2:9" x14ac:dyDescent="0.35">
      <c r="B2438" s="18">
        <v>45692</v>
      </c>
      <c r="C2438" s="6" t="s">
        <v>3</v>
      </c>
      <c r="D24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8" s="7">
        <v>85.5</v>
      </c>
      <c r="F2438" s="9">
        <v>1.42845</v>
      </c>
      <c r="G2438" s="10">
        <v>53.743275000000004</v>
      </c>
      <c r="I2438" s="28"/>
    </row>
    <row r="2439" spans="2:9" x14ac:dyDescent="0.35">
      <c r="B2439" s="18">
        <v>45694</v>
      </c>
      <c r="C2439" s="6" t="s">
        <v>5</v>
      </c>
      <c r="D24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39" s="7">
        <v>139.63</v>
      </c>
      <c r="F2439" s="9">
        <v>2.4128500000000002</v>
      </c>
      <c r="G2439" s="10">
        <v>52.813708679359934</v>
      </c>
      <c r="I2439" s="28"/>
    </row>
    <row r="2440" spans="2:9" x14ac:dyDescent="0.35">
      <c r="B2440" s="18">
        <v>45695</v>
      </c>
      <c r="C2440" s="6" t="s">
        <v>5</v>
      </c>
      <c r="D24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0" s="7">
        <v>70.989999999999995</v>
      </c>
      <c r="F2440" s="9">
        <v>0.86670000000000014</v>
      </c>
      <c r="G2440" s="10">
        <v>54.478677681329081</v>
      </c>
      <c r="I2440" s="28"/>
    </row>
    <row r="2441" spans="2:9" x14ac:dyDescent="0.35">
      <c r="B2441" s="18">
        <v>45696</v>
      </c>
      <c r="C2441" s="6" t="s">
        <v>5</v>
      </c>
      <c r="D24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1" s="7">
        <v>103.4</v>
      </c>
      <c r="F2441" s="9">
        <v>5.2135749999999996</v>
      </c>
      <c r="G2441" s="10">
        <v>50.829813238506603</v>
      </c>
      <c r="I2441" s="28"/>
    </row>
    <row r="2442" spans="2:9" x14ac:dyDescent="0.35">
      <c r="B2442" s="18">
        <v>45694</v>
      </c>
      <c r="C2442" s="6" t="s">
        <v>3</v>
      </c>
      <c r="D24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2" s="7">
        <v>65.2</v>
      </c>
      <c r="F2442" s="19">
        <v>9.5791750000000011</v>
      </c>
      <c r="G2442" s="10">
        <v>46.641063004243634</v>
      </c>
      <c r="I2442" s="28"/>
    </row>
    <row r="2443" spans="2:9" x14ac:dyDescent="0.35">
      <c r="B2443" s="18">
        <v>45695</v>
      </c>
      <c r="C2443" s="6" t="s">
        <v>3</v>
      </c>
      <c r="D24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3" s="7">
        <v>89.42</v>
      </c>
      <c r="F2443" s="19">
        <v>3.5390250000000005</v>
      </c>
      <c r="G2443" s="10">
        <v>50.8691282633512</v>
      </c>
      <c r="I2443" s="28"/>
    </row>
    <row r="2444" spans="2:9" x14ac:dyDescent="0.35">
      <c r="B2444" s="18">
        <v>45696</v>
      </c>
      <c r="C2444" s="6" t="s">
        <v>3</v>
      </c>
      <c r="D24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4" s="7">
        <v>93.34</v>
      </c>
      <c r="F2444" s="19">
        <v>2.9451750000000003</v>
      </c>
      <c r="G2444" s="10">
        <v>51.989616650019975</v>
      </c>
      <c r="I2444" s="28"/>
    </row>
    <row r="2445" spans="2:9" x14ac:dyDescent="0.35">
      <c r="B2445" s="18">
        <v>45694</v>
      </c>
      <c r="C2445" s="6" t="s">
        <v>6</v>
      </c>
      <c r="D24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5" s="7">
        <v>536.69000000000005</v>
      </c>
      <c r="F2445" s="9">
        <v>1.2947</v>
      </c>
      <c r="G2445" s="10">
        <v>53.805380507695382</v>
      </c>
      <c r="I2445" s="28"/>
    </row>
    <row r="2446" spans="2:9" x14ac:dyDescent="0.35">
      <c r="B2446" s="18">
        <v>45695</v>
      </c>
      <c r="C2446" s="6" t="s">
        <v>6</v>
      </c>
      <c r="D24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6" s="7">
        <v>266.3</v>
      </c>
      <c r="F2446" s="9">
        <v>2.2015250000000002</v>
      </c>
      <c r="G2446" s="10">
        <v>53.213937282229956</v>
      </c>
      <c r="I2446" s="28"/>
    </row>
    <row r="2447" spans="2:9" x14ac:dyDescent="0.35">
      <c r="B2447" s="18">
        <v>45696</v>
      </c>
      <c r="C2447" s="6" t="s">
        <v>6</v>
      </c>
      <c r="D24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7" s="7">
        <v>295.2</v>
      </c>
      <c r="F2447" s="9">
        <v>2.2684000000000002</v>
      </c>
      <c r="G2447" s="10">
        <v>52.273269198564599</v>
      </c>
      <c r="I2447" s="28"/>
    </row>
    <row r="2448" spans="2:9" x14ac:dyDescent="0.35">
      <c r="B2448" s="18">
        <v>45694</v>
      </c>
      <c r="C2448" s="6" t="s">
        <v>2</v>
      </c>
      <c r="D24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8" s="7">
        <v>403.26</v>
      </c>
      <c r="F2448" s="9">
        <v>2.57335</v>
      </c>
      <c r="G2448" s="10">
        <v>50.245641967122459</v>
      </c>
      <c r="I2448" s="28"/>
    </row>
    <row r="2449" spans="2:9" x14ac:dyDescent="0.35">
      <c r="B2449" s="18">
        <v>45695</v>
      </c>
      <c r="C2449" s="6" t="s">
        <v>2</v>
      </c>
      <c r="D24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49" s="7">
        <v>339.86</v>
      </c>
      <c r="F2449" s="9">
        <v>0.44940000000000002</v>
      </c>
      <c r="G2449" s="10">
        <v>54.486116776644664</v>
      </c>
      <c r="I2449" s="28"/>
    </row>
    <row r="2450" spans="2:9" x14ac:dyDescent="0.35">
      <c r="B2450" s="18">
        <v>45696</v>
      </c>
      <c r="C2450" s="6" t="s">
        <v>2</v>
      </c>
      <c r="D24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0" s="7">
        <v>265.94</v>
      </c>
      <c r="F2450" s="9">
        <v>1.2973749999999999</v>
      </c>
      <c r="G2450" s="10">
        <v>53.080095038015209</v>
      </c>
      <c r="I2450" s="28"/>
    </row>
    <row r="2451" spans="2:9" x14ac:dyDescent="0.35">
      <c r="B2451" s="18">
        <v>45698</v>
      </c>
      <c r="C2451" s="6" t="s">
        <v>2</v>
      </c>
      <c r="D24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1" s="7">
        <v>141.78</v>
      </c>
      <c r="F2451" s="9">
        <v>0.80785000000000007</v>
      </c>
      <c r="G2451" s="10">
        <v>52.304092683996792</v>
      </c>
      <c r="I2451" s="28"/>
    </row>
    <row r="2452" spans="2:9" x14ac:dyDescent="0.35">
      <c r="B2452" s="18">
        <v>45694</v>
      </c>
      <c r="C2452" s="6" t="s">
        <v>6</v>
      </c>
      <c r="D24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2" s="7">
        <v>536.69000000000005</v>
      </c>
      <c r="F2452" s="9">
        <v>1.2947</v>
      </c>
      <c r="G2452" s="10">
        <v>53.805380507695382</v>
      </c>
      <c r="I2452" s="28"/>
    </row>
    <row r="2453" spans="2:9" x14ac:dyDescent="0.35">
      <c r="B2453" s="18">
        <v>45695</v>
      </c>
      <c r="C2453" s="6" t="s">
        <v>6</v>
      </c>
      <c r="D24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3" s="7">
        <v>266.3</v>
      </c>
      <c r="F2453" s="9">
        <v>2.2015250000000002</v>
      </c>
      <c r="G2453" s="10">
        <v>53.213937282229956</v>
      </c>
      <c r="I2453" s="28"/>
    </row>
    <row r="2454" spans="2:9" x14ac:dyDescent="0.35">
      <c r="B2454" s="18">
        <v>45696</v>
      </c>
      <c r="C2454" s="6" t="s">
        <v>6</v>
      </c>
      <c r="D24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4" s="7">
        <v>295.2</v>
      </c>
      <c r="F2454" s="9">
        <v>2.2684000000000002</v>
      </c>
      <c r="G2454" s="10">
        <v>52.273269198564599</v>
      </c>
      <c r="I2454" s="28"/>
    </row>
    <row r="2455" spans="2:9" x14ac:dyDescent="0.35">
      <c r="B2455" s="18">
        <v>45698</v>
      </c>
      <c r="C2455" s="6" t="s">
        <v>6</v>
      </c>
      <c r="D24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5" s="7">
        <v>332.17</v>
      </c>
      <c r="F2455" s="9">
        <v>1.9420500000000001</v>
      </c>
      <c r="G2455" s="10">
        <v>53.323714285714281</v>
      </c>
      <c r="I2455" s="28"/>
    </row>
    <row r="2456" spans="2:9" x14ac:dyDescent="0.35">
      <c r="B2456" s="18">
        <v>45699</v>
      </c>
      <c r="C2456" s="6" t="s">
        <v>6</v>
      </c>
      <c r="D24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6" s="7">
        <v>222.76</v>
      </c>
      <c r="F2456" s="9">
        <v>2.640225</v>
      </c>
      <c r="G2456" s="10">
        <v>52.462151493954231</v>
      </c>
      <c r="I2456" s="28"/>
    </row>
    <row r="2457" spans="2:9" x14ac:dyDescent="0.35">
      <c r="B2457" s="18">
        <v>45700</v>
      </c>
      <c r="C2457" s="6" t="s">
        <v>6</v>
      </c>
      <c r="D24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7" s="7">
        <v>35.21</v>
      </c>
      <c r="F2457" s="9">
        <v>2.8381750000000001</v>
      </c>
      <c r="G2457" s="10">
        <v>52.640434190844289</v>
      </c>
      <c r="I2457" s="28"/>
    </row>
    <row r="2458" spans="2:9" x14ac:dyDescent="0.35">
      <c r="B2458" s="18">
        <v>45701</v>
      </c>
      <c r="C2458" s="6" t="s">
        <v>6</v>
      </c>
      <c r="D24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8" s="7">
        <v>419.5</v>
      </c>
      <c r="F2458" s="9">
        <v>1.46055</v>
      </c>
      <c r="G2458" s="10">
        <v>53.886686704739006</v>
      </c>
      <c r="I2458" s="28"/>
    </row>
    <row r="2459" spans="2:9" x14ac:dyDescent="0.35">
      <c r="B2459" s="18">
        <v>45702</v>
      </c>
      <c r="C2459" s="6" t="s">
        <v>6</v>
      </c>
      <c r="D24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59" s="7">
        <v>308.08999999999997</v>
      </c>
      <c r="F2459" s="19">
        <v>4.7080000000000011</v>
      </c>
      <c r="G2459" s="10">
        <v>51.2896191904048</v>
      </c>
      <c r="I2459" s="28"/>
    </row>
    <row r="2460" spans="2:9" x14ac:dyDescent="0.35">
      <c r="B2460" s="18">
        <v>45703</v>
      </c>
      <c r="C2460" s="6" t="s">
        <v>6</v>
      </c>
      <c r="D24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0" s="7">
        <v>251.09</v>
      </c>
      <c r="F2460" s="9">
        <v>2.2871250000000005</v>
      </c>
      <c r="G2460" s="10">
        <v>52.566932114882512</v>
      </c>
      <c r="I2460" s="28"/>
    </row>
    <row r="2461" spans="2:9" x14ac:dyDescent="0.35">
      <c r="B2461" s="18">
        <v>45705</v>
      </c>
      <c r="C2461" s="6" t="s">
        <v>6</v>
      </c>
      <c r="D24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1" s="7">
        <v>222.18</v>
      </c>
      <c r="F2461" s="9">
        <v>1.77085</v>
      </c>
      <c r="G2461" s="10">
        <v>52.41289906037585</v>
      </c>
      <c r="I2461" s="28"/>
    </row>
    <row r="2462" spans="2:9" x14ac:dyDescent="0.35">
      <c r="B2462" s="18">
        <v>45706</v>
      </c>
      <c r="C2462" s="6" t="s">
        <v>6</v>
      </c>
      <c r="D24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2" s="7">
        <v>242.86</v>
      </c>
      <c r="F2462" s="9">
        <v>1.8323750000000001</v>
      </c>
      <c r="G2462" s="10">
        <v>53.143636481324279</v>
      </c>
      <c r="I2462" s="28"/>
    </row>
    <row r="2463" spans="2:9" x14ac:dyDescent="0.35">
      <c r="B2463" s="18">
        <v>45707</v>
      </c>
      <c r="C2463" s="6" t="s">
        <v>6</v>
      </c>
      <c r="D24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3" s="7">
        <v>167.41</v>
      </c>
      <c r="F2463" s="9">
        <v>2.1025500000000004</v>
      </c>
      <c r="G2463" s="10">
        <v>52.941058953057748</v>
      </c>
      <c r="I2463" s="28"/>
    </row>
    <row r="2464" spans="2:9" x14ac:dyDescent="0.35">
      <c r="B2464" s="18">
        <v>45708</v>
      </c>
      <c r="C2464" s="6" t="s">
        <v>6</v>
      </c>
      <c r="D24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4" s="7">
        <v>370.05</v>
      </c>
      <c r="F2464" s="9">
        <v>2.2844500000000001</v>
      </c>
      <c r="G2464" s="10">
        <v>51.845550995896303</v>
      </c>
      <c r="I2464" s="28"/>
    </row>
    <row r="2465" spans="2:9" x14ac:dyDescent="0.35">
      <c r="B2465" s="18">
        <v>45698</v>
      </c>
      <c r="C2465" s="6" t="s">
        <v>3</v>
      </c>
      <c r="D24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5" s="7">
        <v>45.54</v>
      </c>
      <c r="F2465" s="9">
        <v>2.6803500000000002</v>
      </c>
      <c r="G2465" s="10">
        <v>53.028511046978522</v>
      </c>
      <c r="I2465" s="28"/>
    </row>
    <row r="2466" spans="2:9" x14ac:dyDescent="0.35">
      <c r="B2466" s="18">
        <v>45699</v>
      </c>
      <c r="C2466" s="6" t="s">
        <v>3</v>
      </c>
      <c r="D24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6" s="7">
        <v>66.400000000000006</v>
      </c>
      <c r="F2466" s="19">
        <v>4.5207499999999996</v>
      </c>
      <c r="G2466" s="10">
        <v>50.389767969293452</v>
      </c>
      <c r="I2466" s="28"/>
    </row>
    <row r="2467" spans="2:9" x14ac:dyDescent="0.35">
      <c r="B2467" s="18">
        <v>45700</v>
      </c>
      <c r="C2467" s="6" t="s">
        <v>3</v>
      </c>
      <c r="D24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7" s="7">
        <v>91.34</v>
      </c>
      <c r="F2467" s="19">
        <v>3.1377750000000004</v>
      </c>
      <c r="G2467" s="10">
        <v>49.871142775779376</v>
      </c>
      <c r="I2467" s="28"/>
    </row>
    <row r="2468" spans="2:9" x14ac:dyDescent="0.35">
      <c r="B2468" s="18">
        <v>45701</v>
      </c>
      <c r="C2468" s="6" t="s">
        <v>3</v>
      </c>
      <c r="D24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8" s="7">
        <v>89.16</v>
      </c>
      <c r="F2468" s="19">
        <v>2.996</v>
      </c>
      <c r="G2468" s="10">
        <v>52.118926946423201</v>
      </c>
      <c r="I2468" s="28"/>
    </row>
    <row r="2469" spans="2:9" x14ac:dyDescent="0.35">
      <c r="B2469" s="18">
        <v>45702</v>
      </c>
      <c r="C2469" s="6" t="s">
        <v>3</v>
      </c>
      <c r="D24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69" s="7">
        <v>64.540000000000006</v>
      </c>
      <c r="F2469" s="9">
        <v>2.5947499999999999</v>
      </c>
      <c r="G2469" s="10">
        <v>53.028450220887521</v>
      </c>
      <c r="I2469" s="28"/>
    </row>
    <row r="2470" spans="2:9" x14ac:dyDescent="0.35">
      <c r="B2470" s="18">
        <v>45705</v>
      </c>
      <c r="C2470" s="6" t="s">
        <v>3</v>
      </c>
      <c r="D24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0" s="7">
        <v>61.88</v>
      </c>
      <c r="F2470" s="9">
        <v>1.5113750000000001</v>
      </c>
      <c r="G2470" s="10">
        <v>53.356919691969196</v>
      </c>
      <c r="I2470" s="28"/>
    </row>
    <row r="2471" spans="2:9" x14ac:dyDescent="0.35">
      <c r="B2471" s="18">
        <v>45707</v>
      </c>
      <c r="C2471" s="6" t="s">
        <v>3</v>
      </c>
      <c r="D24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1" s="7">
        <v>21.32</v>
      </c>
      <c r="F2471" s="9">
        <v>2.7124500000000005</v>
      </c>
      <c r="G2471" s="10">
        <v>51.967276375664028</v>
      </c>
      <c r="I2471" s="28"/>
    </row>
    <row r="2472" spans="2:9" x14ac:dyDescent="0.35">
      <c r="B2472" s="18">
        <v>45708</v>
      </c>
      <c r="C2472" s="6" t="s">
        <v>3</v>
      </c>
      <c r="D24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2" s="7">
        <v>91.32</v>
      </c>
      <c r="F2472" s="9">
        <v>1.5755749999999999</v>
      </c>
      <c r="G2472" s="10">
        <v>53.719838194166996</v>
      </c>
      <c r="I2472" s="28"/>
    </row>
    <row r="2473" spans="2:9" x14ac:dyDescent="0.35">
      <c r="B2473" s="18">
        <v>45699</v>
      </c>
      <c r="C2473" s="6" t="s">
        <v>5</v>
      </c>
      <c r="D24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3" s="7">
        <v>221.06</v>
      </c>
      <c r="F2473" s="9">
        <v>4.173</v>
      </c>
      <c r="G2473" s="10">
        <v>51.433164861612511</v>
      </c>
      <c r="I2473" s="28"/>
    </row>
    <row r="2474" spans="2:9" x14ac:dyDescent="0.35">
      <c r="B2474" s="18">
        <v>45700</v>
      </c>
      <c r="C2474" s="6" t="s">
        <v>5</v>
      </c>
      <c r="D24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4" s="7">
        <v>137.22</v>
      </c>
      <c r="F2474" s="9">
        <v>0.56977500000000003</v>
      </c>
      <c r="G2474" s="10">
        <v>54.128181097316784</v>
      </c>
      <c r="I2474" s="28"/>
    </row>
    <row r="2475" spans="2:9" x14ac:dyDescent="0.35">
      <c r="B2475" s="18">
        <v>45701</v>
      </c>
      <c r="C2475" s="6" t="s">
        <v>5</v>
      </c>
      <c r="D24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5" s="7">
        <v>70.87</v>
      </c>
      <c r="F2475" s="9">
        <v>4.876525</v>
      </c>
      <c r="G2475" s="10">
        <v>50.764396088537005</v>
      </c>
      <c r="I2475" s="28"/>
    </row>
    <row r="2476" spans="2:9" x14ac:dyDescent="0.35">
      <c r="B2476" s="18">
        <v>45702</v>
      </c>
      <c r="C2476" s="6" t="s">
        <v>5</v>
      </c>
      <c r="D24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6" s="7">
        <v>137.74</v>
      </c>
      <c r="F2476" s="9">
        <v>11.906425</v>
      </c>
      <c r="G2476" s="10">
        <v>46.282837993716335</v>
      </c>
      <c r="I2476" s="28"/>
    </row>
    <row r="2477" spans="2:9" x14ac:dyDescent="0.35">
      <c r="B2477" s="18">
        <v>45703</v>
      </c>
      <c r="C2477" s="6" t="s">
        <v>5</v>
      </c>
      <c r="D24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7" s="7">
        <v>34.44</v>
      </c>
      <c r="F2477" s="9">
        <v>5.2965000000000009</v>
      </c>
      <c r="G2477" s="10">
        <v>51.540861298086504</v>
      </c>
      <c r="I2477" s="28"/>
    </row>
    <row r="2478" spans="2:9" x14ac:dyDescent="0.35">
      <c r="B2478" s="18">
        <v>45699</v>
      </c>
      <c r="C2478" s="6" t="s">
        <v>2</v>
      </c>
      <c r="D24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8" s="7">
        <v>212.44</v>
      </c>
      <c r="F2478" s="9">
        <v>1.329475</v>
      </c>
      <c r="G2478" s="10">
        <v>52.890569989236013</v>
      </c>
      <c r="I2478" s="28"/>
    </row>
    <row r="2479" spans="2:9" x14ac:dyDescent="0.35">
      <c r="B2479" s="18">
        <v>45700</v>
      </c>
      <c r="C2479" s="6" t="s">
        <v>2</v>
      </c>
      <c r="D24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79" s="7">
        <v>278.82</v>
      </c>
      <c r="F2479" s="9">
        <v>2.7632750000000001</v>
      </c>
      <c r="G2479" s="10">
        <v>50.618307808601941</v>
      </c>
      <c r="I2479" s="28"/>
    </row>
    <row r="2480" spans="2:9" x14ac:dyDescent="0.35">
      <c r="B2480" s="18">
        <v>45701</v>
      </c>
      <c r="C2480" s="6" t="s">
        <v>2</v>
      </c>
      <c r="D24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0" s="7">
        <v>176.24</v>
      </c>
      <c r="F2480" s="9">
        <v>0.57245000000000001</v>
      </c>
      <c r="G2480" s="10">
        <v>54.408684367541767</v>
      </c>
      <c r="I2480" s="28"/>
    </row>
    <row r="2481" spans="2:9" x14ac:dyDescent="0.35">
      <c r="B2481" s="18">
        <v>45702</v>
      </c>
      <c r="C2481" s="6" t="s">
        <v>2</v>
      </c>
      <c r="D24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1" s="7">
        <v>316.62</v>
      </c>
      <c r="F2481" s="9">
        <v>1.457875</v>
      </c>
      <c r="G2481" s="10">
        <v>51.908430845771143</v>
      </c>
      <c r="I2481" s="28"/>
    </row>
    <row r="2482" spans="2:9" x14ac:dyDescent="0.35">
      <c r="B2482" s="18">
        <v>45703</v>
      </c>
      <c r="C2482" s="6" t="s">
        <v>2</v>
      </c>
      <c r="D24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2" s="7">
        <v>242.36</v>
      </c>
      <c r="F2482" s="9">
        <v>1.7494500000000002</v>
      </c>
      <c r="G2482" s="10">
        <v>52.704573821154419</v>
      </c>
      <c r="I2482" s="28"/>
    </row>
    <row r="2483" spans="2:9" x14ac:dyDescent="0.35">
      <c r="B2483" s="18">
        <v>45705</v>
      </c>
      <c r="C2483" s="6" t="s">
        <v>2</v>
      </c>
      <c r="D24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3" s="7">
        <v>104.7</v>
      </c>
      <c r="F2483" s="9">
        <v>1.04325</v>
      </c>
      <c r="G2483" s="10">
        <v>51.753285000000005</v>
      </c>
      <c r="I2483" s="28"/>
    </row>
    <row r="2484" spans="2:9" x14ac:dyDescent="0.35">
      <c r="B2484" s="18">
        <v>45706</v>
      </c>
      <c r="C2484" s="6" t="s">
        <v>2</v>
      </c>
      <c r="D24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4" s="7">
        <v>171.28</v>
      </c>
      <c r="F2484" s="9">
        <v>0.43067500000000003</v>
      </c>
      <c r="G2484" s="10">
        <v>53.701935920074348</v>
      </c>
      <c r="I2484" s="28"/>
    </row>
    <row r="2485" spans="2:9" x14ac:dyDescent="0.35">
      <c r="B2485" s="18">
        <v>45707</v>
      </c>
      <c r="C2485" s="6" t="s">
        <v>2</v>
      </c>
      <c r="D24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5" s="7">
        <v>307.77999999999997</v>
      </c>
      <c r="F2485" s="9">
        <v>0.52162500000000001</v>
      </c>
      <c r="G2485" s="10">
        <v>52.472366802788848</v>
      </c>
      <c r="I2485" s="28"/>
    </row>
    <row r="2486" spans="2:9" x14ac:dyDescent="0.35">
      <c r="B2486" s="18">
        <v>45709</v>
      </c>
      <c r="C2486" s="6" t="s">
        <v>3</v>
      </c>
      <c r="D24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6" s="7">
        <v>90.38</v>
      </c>
      <c r="F2486" s="19">
        <v>4.2907000000000002</v>
      </c>
      <c r="G2486" s="10">
        <v>51.306954175422796</v>
      </c>
      <c r="I2486" s="28"/>
    </row>
    <row r="2487" spans="2:9" x14ac:dyDescent="0.35">
      <c r="B2487" s="18">
        <v>45710</v>
      </c>
      <c r="C2487" s="6" t="s">
        <v>3</v>
      </c>
      <c r="D24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7" s="7">
        <v>62.3</v>
      </c>
      <c r="F2487" s="9">
        <v>1.885875</v>
      </c>
      <c r="G2487" s="10">
        <v>53.431490651661143</v>
      </c>
      <c r="I2487" s="28"/>
    </row>
    <row r="2488" spans="2:9" x14ac:dyDescent="0.35">
      <c r="B2488" s="18">
        <v>45712</v>
      </c>
      <c r="C2488" s="6" t="s">
        <v>3</v>
      </c>
      <c r="D24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8" s="7">
        <v>45.38</v>
      </c>
      <c r="F2488" s="9">
        <v>1.7601500000000001</v>
      </c>
      <c r="G2488" s="10">
        <v>53.510458868378812</v>
      </c>
      <c r="I2488" s="28"/>
    </row>
    <row r="2489" spans="2:9" x14ac:dyDescent="0.35">
      <c r="B2489" s="18">
        <v>45709</v>
      </c>
      <c r="C2489" s="6" t="s">
        <v>6</v>
      </c>
      <c r="D24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89" s="7">
        <v>237.93</v>
      </c>
      <c r="F2489" s="9">
        <v>2.3192250000000003</v>
      </c>
      <c r="G2489" s="10">
        <v>53.051048828734253</v>
      </c>
      <c r="I2489" s="28"/>
    </row>
    <row r="2490" spans="2:9" x14ac:dyDescent="0.35">
      <c r="B2490" s="18">
        <v>45710</v>
      </c>
      <c r="C2490" s="6" t="s">
        <v>6</v>
      </c>
      <c r="D24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0" s="7">
        <v>441.41</v>
      </c>
      <c r="F2490" s="9">
        <v>1.843075</v>
      </c>
      <c r="G2490" s="10">
        <v>53.48554588919972</v>
      </c>
      <c r="I2490" s="28"/>
    </row>
    <row r="2491" spans="2:9" x14ac:dyDescent="0.35">
      <c r="B2491" s="18">
        <v>45712</v>
      </c>
      <c r="C2491" s="6" t="s">
        <v>6</v>
      </c>
      <c r="D24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1" s="7">
        <v>689.25</v>
      </c>
      <c r="F2491" s="9">
        <v>2.5546250000000001</v>
      </c>
      <c r="G2491" s="10">
        <v>52.926086525798034</v>
      </c>
      <c r="I2491" s="28"/>
    </row>
    <row r="2492" spans="2:9" x14ac:dyDescent="0.35">
      <c r="B2492" s="18">
        <v>45708</v>
      </c>
      <c r="C2492" s="6" t="s">
        <v>2</v>
      </c>
      <c r="D24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2" s="7">
        <v>522.36</v>
      </c>
      <c r="F2492" s="9">
        <v>0.13642500000000002</v>
      </c>
      <c r="G2492" s="10">
        <v>53.979747841766418</v>
      </c>
      <c r="I2492" s="28"/>
    </row>
    <row r="2493" spans="2:9" x14ac:dyDescent="0.35">
      <c r="B2493" s="18">
        <v>45709</v>
      </c>
      <c r="C2493" s="6" t="s">
        <v>2</v>
      </c>
      <c r="D24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3" s="7">
        <v>343.98</v>
      </c>
      <c r="F2493" s="9">
        <v>0.46277500000000005</v>
      </c>
      <c r="G2493" s="10">
        <v>53.993333333333325</v>
      </c>
      <c r="I2493" s="28"/>
    </row>
    <row r="2494" spans="2:9" x14ac:dyDescent="0.35">
      <c r="B2494" s="18">
        <v>45710</v>
      </c>
      <c r="C2494" s="6" t="s">
        <v>2</v>
      </c>
      <c r="D24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4" s="7">
        <v>371.42</v>
      </c>
      <c r="F2494" s="9">
        <v>1.3000500000000001</v>
      </c>
      <c r="G2494" s="10">
        <v>53.308034960796142</v>
      </c>
      <c r="I2494" s="28"/>
    </row>
    <row r="2495" spans="2:9" x14ac:dyDescent="0.35">
      <c r="B2495" s="18">
        <v>45712</v>
      </c>
      <c r="C2495" s="6" t="s">
        <v>2</v>
      </c>
      <c r="D24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5" s="7">
        <v>271.92</v>
      </c>
      <c r="F2495" s="9">
        <v>0.22470000000000001</v>
      </c>
      <c r="G2495" s="10">
        <v>55.024323432343238</v>
      </c>
      <c r="I2495" s="28"/>
    </row>
    <row r="2496" spans="2:9" x14ac:dyDescent="0.35">
      <c r="B2496" s="18">
        <v>45717</v>
      </c>
      <c r="C2496" s="6" t="s">
        <v>5</v>
      </c>
      <c r="D24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6" s="7">
        <v>64.63</v>
      </c>
      <c r="F2496" s="9">
        <v>3.6968500000000004</v>
      </c>
      <c r="G2496" s="10">
        <v>51.851464684466023</v>
      </c>
      <c r="I2496" s="28"/>
    </row>
    <row r="2497" spans="2:9" x14ac:dyDescent="0.35">
      <c r="B2497" s="18">
        <v>45713</v>
      </c>
      <c r="C2497" s="6" t="s">
        <v>3</v>
      </c>
      <c r="D24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7" s="7">
        <v>88.66</v>
      </c>
      <c r="F2497" s="9">
        <v>1.7280500000000001</v>
      </c>
      <c r="G2497" s="10">
        <v>53.554523166216349</v>
      </c>
      <c r="I2497" s="28"/>
    </row>
    <row r="2498" spans="2:9" x14ac:dyDescent="0.35">
      <c r="B2498" s="18">
        <v>45714</v>
      </c>
      <c r="C2498" s="6" t="s">
        <v>3</v>
      </c>
      <c r="D24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8" s="7">
        <v>92.02</v>
      </c>
      <c r="F2498" s="9">
        <v>1.7280500000000001</v>
      </c>
      <c r="G2498" s="10">
        <v>53.554523166216349</v>
      </c>
      <c r="I2498" s="28"/>
    </row>
    <row r="2499" spans="2:9" x14ac:dyDescent="0.35">
      <c r="B2499" s="18">
        <v>45715</v>
      </c>
      <c r="C2499" s="6" t="s">
        <v>3</v>
      </c>
      <c r="D24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499" s="7">
        <v>91.12</v>
      </c>
      <c r="F2499" s="9">
        <v>1.7280500000000001</v>
      </c>
      <c r="G2499" s="10">
        <v>53.554523166216349</v>
      </c>
      <c r="I2499" s="28"/>
    </row>
    <row r="2500" spans="2:9" x14ac:dyDescent="0.35">
      <c r="B2500" s="18">
        <v>45716</v>
      </c>
      <c r="C2500" s="6" t="s">
        <v>3</v>
      </c>
      <c r="D25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0" s="7">
        <v>112.76</v>
      </c>
      <c r="F2500" s="9">
        <v>1.7280500000000001</v>
      </c>
      <c r="G2500" s="10">
        <v>53.554523166216349</v>
      </c>
      <c r="I2500" s="28"/>
    </row>
    <row r="2501" spans="2:9" x14ac:dyDescent="0.35">
      <c r="B2501" s="18">
        <v>45713</v>
      </c>
      <c r="C2501" s="6" t="s">
        <v>6</v>
      </c>
      <c r="D25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1" s="7">
        <v>446.61</v>
      </c>
      <c r="F2501" s="9">
        <v>2.3780750000000004</v>
      </c>
      <c r="G2501" s="10">
        <v>52.92755389221557</v>
      </c>
      <c r="I2501" s="28"/>
    </row>
    <row r="2502" spans="2:9" x14ac:dyDescent="0.35">
      <c r="B2502" s="18">
        <v>45714</v>
      </c>
      <c r="C2502" s="6" t="s">
        <v>6</v>
      </c>
      <c r="D25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2" s="7">
        <v>348.17</v>
      </c>
      <c r="F2502" s="9">
        <v>2.3780750000000004</v>
      </c>
      <c r="G2502" s="10">
        <v>52.92755389221557</v>
      </c>
      <c r="I2502" s="28"/>
    </row>
    <row r="2503" spans="2:9" x14ac:dyDescent="0.35">
      <c r="B2503" s="18">
        <v>45715</v>
      </c>
      <c r="C2503" s="6" t="s">
        <v>6</v>
      </c>
      <c r="D25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3" s="7">
        <v>527.48</v>
      </c>
      <c r="F2503" s="9">
        <v>2.3780750000000004</v>
      </c>
      <c r="G2503" s="10">
        <v>52.92755389221557</v>
      </c>
      <c r="I2503" s="28"/>
    </row>
    <row r="2504" spans="2:9" x14ac:dyDescent="0.35">
      <c r="B2504" s="18">
        <v>45716</v>
      </c>
      <c r="C2504" s="6" t="s">
        <v>6</v>
      </c>
      <c r="D25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4" s="7">
        <v>591.07000000000005</v>
      </c>
      <c r="F2504" s="9">
        <v>1.5622</v>
      </c>
      <c r="G2504" s="10">
        <v>53.312540778544978</v>
      </c>
      <c r="I2504" s="28"/>
    </row>
    <row r="2505" spans="2:9" x14ac:dyDescent="0.35">
      <c r="B2505" s="18">
        <v>45717</v>
      </c>
      <c r="C2505" s="6" t="s">
        <v>6</v>
      </c>
      <c r="D25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5" s="7">
        <v>0</v>
      </c>
      <c r="F2505" s="9">
        <v>2.2844500000000001</v>
      </c>
      <c r="G2505" s="10">
        <v>53.281131962467555</v>
      </c>
      <c r="I2505" s="28"/>
    </row>
    <row r="2506" spans="2:9" x14ac:dyDescent="0.35">
      <c r="B2506" s="18">
        <v>45713</v>
      </c>
      <c r="C2506" s="6" t="s">
        <v>2</v>
      </c>
      <c r="D25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6" s="7">
        <v>178.04</v>
      </c>
      <c r="F2506" s="9">
        <v>2.2844500000000001</v>
      </c>
      <c r="G2506" s="10">
        <v>53.281131962467555</v>
      </c>
      <c r="I2506" s="28"/>
    </row>
    <row r="2507" spans="2:9" x14ac:dyDescent="0.35">
      <c r="B2507" s="18">
        <v>45714</v>
      </c>
      <c r="C2507" s="6" t="s">
        <v>2</v>
      </c>
      <c r="D25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7" s="7">
        <v>388.24</v>
      </c>
      <c r="F2507" s="9">
        <v>2.2844500000000001</v>
      </c>
      <c r="G2507" s="10">
        <v>53.281131962467555</v>
      </c>
      <c r="I2507" s="28"/>
    </row>
    <row r="2508" spans="2:9" x14ac:dyDescent="0.35">
      <c r="B2508" s="18">
        <v>45715</v>
      </c>
      <c r="C2508" s="6" t="s">
        <v>2</v>
      </c>
      <c r="D25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8" s="7">
        <v>375.94</v>
      </c>
      <c r="F2508" s="9">
        <v>0.79180000000000006</v>
      </c>
      <c r="G2508" s="11">
        <v>51.025267057278633</v>
      </c>
      <c r="I2508" s="28"/>
    </row>
    <row r="2509" spans="2:9" x14ac:dyDescent="0.35">
      <c r="B2509" s="18">
        <v>45716</v>
      </c>
      <c r="C2509" s="6" t="s">
        <v>2</v>
      </c>
      <c r="D25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09" s="7">
        <v>561.46</v>
      </c>
      <c r="F2509" s="9">
        <v>1.2091000000000001</v>
      </c>
      <c r="G2509" s="11">
        <v>51.102900340068011</v>
      </c>
      <c r="I2509" s="28"/>
    </row>
    <row r="2510" spans="2:9" x14ac:dyDescent="0.35">
      <c r="B2510" s="18">
        <v>45717</v>
      </c>
      <c r="C2510" s="6" t="s">
        <v>2</v>
      </c>
      <c r="D25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0" s="7">
        <v>0</v>
      </c>
      <c r="F2510" s="9">
        <v>1.040575</v>
      </c>
      <c r="G2510" s="11">
        <v>52.240906839384778</v>
      </c>
      <c r="I2510" s="28"/>
    </row>
    <row r="2511" spans="2:9" x14ac:dyDescent="0.35">
      <c r="B2511" s="18">
        <v>45716</v>
      </c>
      <c r="C2511" s="6" t="s">
        <v>4</v>
      </c>
      <c r="D25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1" s="7">
        <v>190.64</v>
      </c>
      <c r="F2511" s="11">
        <v>4.3629249999999997</v>
      </c>
      <c r="G2511" s="11">
        <v>51.460735900271438</v>
      </c>
      <c r="I2511" s="28"/>
    </row>
    <row r="2512" spans="2:9" x14ac:dyDescent="0.35">
      <c r="B2512" s="18">
        <v>45717</v>
      </c>
      <c r="C2512" s="6" t="s">
        <v>3</v>
      </c>
      <c r="D25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2" s="7">
        <v>29.428000000000001</v>
      </c>
      <c r="F2512" s="11">
        <v>1.5407999999999999</v>
      </c>
      <c r="G2512" s="11">
        <v>53.72656861760867</v>
      </c>
      <c r="I2512" s="28"/>
    </row>
    <row r="2513" spans="2:9" x14ac:dyDescent="0.35">
      <c r="B2513" s="18">
        <v>45719</v>
      </c>
      <c r="C2513" s="6" t="s">
        <v>3</v>
      </c>
      <c r="D25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3" s="7">
        <v>29.428000000000001</v>
      </c>
      <c r="F2513" s="11">
        <v>2.5145000000000004</v>
      </c>
      <c r="G2513" s="11">
        <v>53.22151169643746</v>
      </c>
      <c r="I2513" s="28"/>
    </row>
    <row r="2514" spans="2:9" x14ac:dyDescent="0.35">
      <c r="B2514" s="18">
        <v>45721</v>
      </c>
      <c r="C2514" s="6" t="s">
        <v>3</v>
      </c>
      <c r="D25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4" s="7">
        <v>29.428000000000001</v>
      </c>
      <c r="F2514" s="11">
        <v>10.849800000000002</v>
      </c>
      <c r="G2514" s="11">
        <v>45.867528460155782</v>
      </c>
      <c r="I2514" s="28"/>
    </row>
    <row r="2515" spans="2:9" x14ac:dyDescent="0.35">
      <c r="B2515" s="18">
        <v>45722</v>
      </c>
      <c r="C2515" s="6" t="s">
        <v>3</v>
      </c>
      <c r="D25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5" s="7">
        <v>41.32</v>
      </c>
      <c r="F2515" s="11">
        <v>2.2149000000000001</v>
      </c>
      <c r="G2515" s="11">
        <v>53.43835053612586</v>
      </c>
      <c r="I2515" s="28"/>
    </row>
    <row r="2516" spans="2:9" x14ac:dyDescent="0.35">
      <c r="B2516" s="18">
        <v>45723</v>
      </c>
      <c r="C2516" s="6" t="s">
        <v>3</v>
      </c>
      <c r="D25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6" s="7">
        <v>63.7</v>
      </c>
      <c r="F2516" s="11">
        <v>2.019625</v>
      </c>
      <c r="G2516" s="11">
        <v>53.320029129566777</v>
      </c>
      <c r="I2516" s="28"/>
    </row>
    <row r="2517" spans="2:9" x14ac:dyDescent="0.35">
      <c r="B2517" s="18">
        <v>45724</v>
      </c>
      <c r="C2517" s="6" t="s">
        <v>3</v>
      </c>
      <c r="D25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7" s="7">
        <v>70.680000000000007</v>
      </c>
      <c r="F2517" s="11">
        <v>11.253725000000001</v>
      </c>
      <c r="G2517" s="11">
        <v>43.36679557356608</v>
      </c>
      <c r="I2517" s="28"/>
    </row>
    <row r="2518" spans="2:9" x14ac:dyDescent="0.35">
      <c r="B2518" s="18">
        <v>45726</v>
      </c>
      <c r="C2518" s="6" t="s">
        <v>3</v>
      </c>
      <c r="D25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8" s="7">
        <v>62.9</v>
      </c>
      <c r="F2518" s="11">
        <v>5.3473249999999997</v>
      </c>
      <c r="G2518" s="11">
        <v>49.867104310827003</v>
      </c>
      <c r="I2518" s="28"/>
    </row>
    <row r="2519" spans="2:9" x14ac:dyDescent="0.35">
      <c r="B2519" s="18">
        <v>45727</v>
      </c>
      <c r="C2519" s="6" t="s">
        <v>3</v>
      </c>
      <c r="D25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19" s="7">
        <v>21.64</v>
      </c>
      <c r="F2519" s="11">
        <v>6.0856250000000003</v>
      </c>
      <c r="G2519" s="11">
        <v>49.854532139278554</v>
      </c>
      <c r="I2519" s="28"/>
    </row>
    <row r="2520" spans="2:9" x14ac:dyDescent="0.35">
      <c r="B2520" s="18">
        <v>45728</v>
      </c>
      <c r="C2520" s="6" t="s">
        <v>3</v>
      </c>
      <c r="D25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0" s="7">
        <v>63.94</v>
      </c>
      <c r="F2520" s="11">
        <v>10.2934</v>
      </c>
      <c r="G2520" s="11">
        <v>46.446163199440448</v>
      </c>
      <c r="I2520" s="28"/>
    </row>
    <row r="2521" spans="2:9" x14ac:dyDescent="0.35">
      <c r="B2521" s="18">
        <v>45729</v>
      </c>
      <c r="C2521" s="6" t="s">
        <v>3</v>
      </c>
      <c r="D25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1" s="7">
        <v>63.94</v>
      </c>
      <c r="F2521" s="11">
        <v>5.7485749999999998</v>
      </c>
      <c r="G2521" s="11">
        <v>44.207239619619621</v>
      </c>
      <c r="I2521" s="28"/>
    </row>
    <row r="2522" spans="2:9" x14ac:dyDescent="0.35">
      <c r="B2522" s="18">
        <v>45730</v>
      </c>
      <c r="C2522" s="6" t="s">
        <v>3</v>
      </c>
      <c r="D25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2" s="7">
        <v>80.739999999999995</v>
      </c>
      <c r="F2522" s="11">
        <v>3.2715250000000005</v>
      </c>
      <c r="G2522" s="11">
        <v>51.166329723656766</v>
      </c>
      <c r="I2522" s="28"/>
    </row>
    <row r="2523" spans="2:9" x14ac:dyDescent="0.35">
      <c r="B2523" s="18">
        <v>45731</v>
      </c>
      <c r="C2523" s="6" t="s">
        <v>3</v>
      </c>
      <c r="D25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3" s="7">
        <v>64.739999999999995</v>
      </c>
      <c r="F2523" s="11">
        <v>2.7659500000000001</v>
      </c>
      <c r="G2523" s="11">
        <v>52.562549808230123</v>
      </c>
      <c r="I2523" s="28"/>
    </row>
    <row r="2524" spans="2:9" x14ac:dyDescent="0.35">
      <c r="B2524" s="18">
        <v>45734</v>
      </c>
      <c r="C2524" s="6" t="s">
        <v>3</v>
      </c>
      <c r="D25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4" s="7">
        <v>104.6</v>
      </c>
      <c r="F2524" s="11">
        <v>2.1078999999999999</v>
      </c>
      <c r="G2524" s="11">
        <v>53.442616675407052</v>
      </c>
      <c r="I2524" s="28"/>
    </row>
    <row r="2525" spans="2:9" x14ac:dyDescent="0.35">
      <c r="B2525" s="18">
        <v>45735</v>
      </c>
      <c r="C2525" s="6" t="s">
        <v>3</v>
      </c>
      <c r="D25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5" s="7">
        <v>83.98</v>
      </c>
      <c r="F2525" s="11">
        <v>9.7584</v>
      </c>
      <c r="G2525" s="11">
        <v>45.901043377563333</v>
      </c>
      <c r="I2525" s="28"/>
    </row>
    <row r="2526" spans="2:9" x14ac:dyDescent="0.35">
      <c r="B2526" s="18">
        <v>45717</v>
      </c>
      <c r="C2526" s="6" t="s">
        <v>5</v>
      </c>
      <c r="D25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6" s="7">
        <v>127.58</v>
      </c>
      <c r="F2526" s="9">
        <v>3.6968500000000004</v>
      </c>
      <c r="G2526" s="10">
        <v>51.851464684466023</v>
      </c>
      <c r="I2526" s="28"/>
    </row>
    <row r="2527" spans="2:9" x14ac:dyDescent="0.35">
      <c r="B2527" s="18">
        <v>45719</v>
      </c>
      <c r="C2527" s="6" t="s">
        <v>5</v>
      </c>
      <c r="D25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7" s="7">
        <v>63.09</v>
      </c>
      <c r="F2527" s="9">
        <v>1.1957249999999999</v>
      </c>
      <c r="G2527" s="10">
        <v>53.921298712166767</v>
      </c>
      <c r="I2527" s="28"/>
    </row>
    <row r="2528" spans="2:9" x14ac:dyDescent="0.35">
      <c r="B2528" s="18">
        <v>45720</v>
      </c>
      <c r="C2528" s="6" t="s">
        <v>5</v>
      </c>
      <c r="D25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8" s="7">
        <v>127.66</v>
      </c>
      <c r="F2528" s="9">
        <v>8.5493000000000006</v>
      </c>
      <c r="G2528" s="10">
        <v>48.822079991297862</v>
      </c>
      <c r="I2528" s="28"/>
    </row>
    <row r="2529" spans="2:9" x14ac:dyDescent="0.35">
      <c r="B2529" s="18">
        <v>45721</v>
      </c>
      <c r="C2529" s="6" t="s">
        <v>5</v>
      </c>
      <c r="D25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29" s="7">
        <v>220.58</v>
      </c>
      <c r="F2529" s="9">
        <v>3.5069249999999998</v>
      </c>
      <c r="G2529" s="10">
        <v>51.805284070033871</v>
      </c>
      <c r="I2529" s="28"/>
    </row>
    <row r="2530" spans="2:9" x14ac:dyDescent="0.35">
      <c r="B2530" s="18">
        <v>45726</v>
      </c>
      <c r="C2530" s="6" t="s">
        <v>5</v>
      </c>
      <c r="D25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0" s="7">
        <v>34.31</v>
      </c>
      <c r="F2530" s="9">
        <v>0.65537500000000004</v>
      </c>
      <c r="G2530" s="10">
        <v>54.40226174920128</v>
      </c>
      <c r="I2530" s="28"/>
    </row>
    <row r="2531" spans="2:9" x14ac:dyDescent="0.35">
      <c r="B2531" s="18">
        <v>45728</v>
      </c>
      <c r="C2531" s="6" t="s">
        <v>5</v>
      </c>
      <c r="D25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1" s="7">
        <v>35.1</v>
      </c>
      <c r="F2531" s="9">
        <v>1.045925</v>
      </c>
      <c r="G2531" s="10">
        <v>53.992918235294113</v>
      </c>
      <c r="I2531" s="28"/>
    </row>
    <row r="2532" spans="2:9" x14ac:dyDescent="0.35">
      <c r="B2532" s="18">
        <v>45730</v>
      </c>
      <c r="C2532" s="6" t="s">
        <v>5</v>
      </c>
      <c r="D25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2" s="7">
        <v>139.86000000000001</v>
      </c>
      <c r="F2532" s="9">
        <v>1.0004500000000001</v>
      </c>
      <c r="G2532" s="10">
        <v>53.232941947284026</v>
      </c>
      <c r="I2532" s="28"/>
    </row>
    <row r="2533" spans="2:9" x14ac:dyDescent="0.35">
      <c r="B2533" s="18">
        <v>45733</v>
      </c>
      <c r="C2533" s="6" t="s">
        <v>5</v>
      </c>
      <c r="D25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3" s="7">
        <v>31.71</v>
      </c>
      <c r="F2533" s="9">
        <v>1.3375000000000001</v>
      </c>
      <c r="G2533" s="10">
        <v>53.820609455719556</v>
      </c>
      <c r="I2533" s="28"/>
    </row>
    <row r="2534" spans="2:9" x14ac:dyDescent="0.35">
      <c r="B2534" s="18">
        <v>45735</v>
      </c>
      <c r="C2534" s="6" t="s">
        <v>5</v>
      </c>
      <c r="D25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4" s="7">
        <v>113.6</v>
      </c>
      <c r="F2534" s="9">
        <v>8.196200000000001</v>
      </c>
      <c r="G2534" s="10">
        <v>45.765658009968945</v>
      </c>
      <c r="I2534" s="28"/>
    </row>
    <row r="2535" spans="2:9" x14ac:dyDescent="0.35">
      <c r="B2535" s="18">
        <v>45717</v>
      </c>
      <c r="C2535" s="6" t="s">
        <v>6</v>
      </c>
      <c r="D25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5" s="7">
        <v>271.83999999999997</v>
      </c>
      <c r="F2535" s="9">
        <v>2.2844500000000001</v>
      </c>
      <c r="G2535" s="10">
        <v>53.281131962467555</v>
      </c>
      <c r="I2535" s="28"/>
    </row>
    <row r="2536" spans="2:9" x14ac:dyDescent="0.35">
      <c r="B2536" s="18">
        <v>45719</v>
      </c>
      <c r="C2536" s="6" t="s">
        <v>6</v>
      </c>
      <c r="D25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6" s="7">
        <v>223.89</v>
      </c>
      <c r="F2536" s="9">
        <v>2.6027750000000003</v>
      </c>
      <c r="G2536" s="10">
        <v>52.395409632683652</v>
      </c>
      <c r="I2536" s="28"/>
    </row>
    <row r="2537" spans="2:9" x14ac:dyDescent="0.35">
      <c r="B2537" s="18">
        <v>45720</v>
      </c>
      <c r="C2537" s="6" t="s">
        <v>6</v>
      </c>
      <c r="D25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7" s="7">
        <v>377.93</v>
      </c>
      <c r="F2537" s="9">
        <v>1.7628250000000001</v>
      </c>
      <c r="G2537" s="10">
        <v>53.688453927643408</v>
      </c>
      <c r="I2537" s="28"/>
    </row>
    <row r="2538" spans="2:9" x14ac:dyDescent="0.35">
      <c r="B2538" s="18">
        <v>45721</v>
      </c>
      <c r="C2538" s="6" t="s">
        <v>6</v>
      </c>
      <c r="D25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8" s="7">
        <v>416.24</v>
      </c>
      <c r="F2538" s="9">
        <v>3.1779000000000006</v>
      </c>
      <c r="G2538" s="10">
        <v>52.045027282554052</v>
      </c>
      <c r="I2538" s="28"/>
    </row>
    <row r="2539" spans="2:9" x14ac:dyDescent="0.35">
      <c r="B2539" s="18">
        <v>45722</v>
      </c>
      <c r="C2539" s="6" t="s">
        <v>6</v>
      </c>
      <c r="D25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39" s="7">
        <v>346.81</v>
      </c>
      <c r="F2539" s="9">
        <v>2.1293000000000002</v>
      </c>
      <c r="G2539" s="10">
        <v>52.722293577981652</v>
      </c>
      <c r="I2539" s="28"/>
    </row>
    <row r="2540" spans="2:9" x14ac:dyDescent="0.35">
      <c r="B2540" s="18">
        <v>45723</v>
      </c>
      <c r="C2540" s="6" t="s">
        <v>6</v>
      </c>
      <c r="D25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0" s="7">
        <v>259.85000000000002</v>
      </c>
      <c r="F2540" s="9">
        <v>1.7013000000000003</v>
      </c>
      <c r="G2540" s="10">
        <v>53.411115350223547</v>
      </c>
      <c r="I2540" s="28"/>
    </row>
    <row r="2541" spans="2:9" x14ac:dyDescent="0.35">
      <c r="B2541" s="18">
        <v>45724</v>
      </c>
      <c r="C2541" s="6" t="s">
        <v>6</v>
      </c>
      <c r="D25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1" s="7">
        <v>188.48</v>
      </c>
      <c r="F2541" s="9">
        <v>2.3218999999999999</v>
      </c>
      <c r="G2541" s="10">
        <v>52.68369451510334</v>
      </c>
      <c r="I2541" s="28"/>
    </row>
    <row r="2542" spans="2:9" x14ac:dyDescent="0.35">
      <c r="B2542" s="18">
        <v>45726</v>
      </c>
      <c r="C2542" s="6" t="s">
        <v>6</v>
      </c>
      <c r="D25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2" s="7">
        <v>375.51</v>
      </c>
      <c r="F2542" s="9">
        <v>2.0383500000000003</v>
      </c>
      <c r="G2542" s="10">
        <v>53.163417721518989</v>
      </c>
      <c r="I2542" s="28"/>
    </row>
    <row r="2543" spans="2:9" x14ac:dyDescent="0.35">
      <c r="B2543" s="18">
        <v>45727</v>
      </c>
      <c r="C2543" s="6" t="s">
        <v>6</v>
      </c>
      <c r="D25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3" s="7">
        <v>172.2</v>
      </c>
      <c r="F2543" s="9">
        <v>2.30585</v>
      </c>
      <c r="G2543" s="10">
        <v>52.726960460834079</v>
      </c>
      <c r="I2543" s="28"/>
    </row>
    <row r="2544" spans="2:9" x14ac:dyDescent="0.35">
      <c r="B2544" s="18">
        <v>45728</v>
      </c>
      <c r="C2544" s="6" t="s">
        <v>6</v>
      </c>
      <c r="D25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4" s="7">
        <v>243.23</v>
      </c>
      <c r="F2544" s="9">
        <v>3.8332750000000004</v>
      </c>
      <c r="G2544" s="10">
        <v>51.930575601094269</v>
      </c>
      <c r="I2544" s="28"/>
    </row>
    <row r="2545" spans="2:9" x14ac:dyDescent="0.35">
      <c r="B2545" s="18">
        <v>45729</v>
      </c>
      <c r="C2545" s="6" t="s">
        <v>6</v>
      </c>
      <c r="D25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5" s="7">
        <v>526.69000000000005</v>
      </c>
      <c r="F2545" s="9">
        <v>2.2764250000000001</v>
      </c>
      <c r="G2545" s="10">
        <v>53.157458762371284</v>
      </c>
      <c r="I2545" s="28"/>
    </row>
    <row r="2546" spans="2:9" x14ac:dyDescent="0.35">
      <c r="B2546" s="18">
        <v>45730</v>
      </c>
      <c r="C2546" s="6" t="s">
        <v>6</v>
      </c>
      <c r="D25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6" s="7">
        <v>195.25</v>
      </c>
      <c r="F2546" s="9">
        <v>2.5091500000000004</v>
      </c>
      <c r="G2546" s="10">
        <v>52.540833029124279</v>
      </c>
      <c r="I2546" s="28"/>
    </row>
    <row r="2547" spans="2:9" x14ac:dyDescent="0.35">
      <c r="B2547" s="18">
        <v>45731</v>
      </c>
      <c r="C2547" s="6" t="s">
        <v>6</v>
      </c>
      <c r="D25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7" s="7">
        <v>610.95000000000005</v>
      </c>
      <c r="F2547" s="9">
        <v>2.0624250000000002</v>
      </c>
      <c r="G2547" s="10">
        <v>53.502603626942999</v>
      </c>
      <c r="I2547" s="28"/>
    </row>
    <row r="2548" spans="2:9" x14ac:dyDescent="0.35">
      <c r="B2548" s="18">
        <v>45733</v>
      </c>
      <c r="C2548" s="6" t="s">
        <v>6</v>
      </c>
      <c r="D25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8" s="7">
        <v>308.16000000000003</v>
      </c>
      <c r="F2548" s="9">
        <v>1.8725000000000001</v>
      </c>
      <c r="G2548" s="10">
        <v>53.583360590347027</v>
      </c>
      <c r="I2548" s="28"/>
    </row>
    <row r="2549" spans="2:9" x14ac:dyDescent="0.35">
      <c r="B2549" s="18">
        <v>45734</v>
      </c>
      <c r="C2549" s="6" t="s">
        <v>6</v>
      </c>
      <c r="D25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49" s="7">
        <v>530.44000000000005</v>
      </c>
      <c r="F2549" s="9">
        <v>1.4712500000000002</v>
      </c>
      <c r="G2549" s="10">
        <v>53.52512290167865</v>
      </c>
      <c r="I2549" s="28"/>
    </row>
    <row r="2550" spans="2:9" x14ac:dyDescent="0.35">
      <c r="B2550" s="18">
        <v>45735</v>
      </c>
      <c r="C2550" s="6" t="s">
        <v>6</v>
      </c>
      <c r="D25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0" s="7">
        <v>324.97000000000003</v>
      </c>
      <c r="F2550" s="9">
        <v>3.3410750000000005</v>
      </c>
      <c r="G2550" s="10">
        <v>52.282724368573426</v>
      </c>
      <c r="I2550" s="28"/>
    </row>
    <row r="2551" spans="2:9" x14ac:dyDescent="0.35">
      <c r="B2551" s="18">
        <v>45717</v>
      </c>
      <c r="C2551" s="6" t="s">
        <v>2</v>
      </c>
      <c r="D25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1" s="7">
        <v>171.35333333333335</v>
      </c>
      <c r="F2551" s="9">
        <v>1.040575</v>
      </c>
      <c r="G2551" s="11">
        <v>52.240906839384778</v>
      </c>
      <c r="I2551" s="28"/>
    </row>
    <row r="2552" spans="2:9" x14ac:dyDescent="0.35">
      <c r="B2552" s="18">
        <v>45719</v>
      </c>
      <c r="C2552" s="6" t="s">
        <v>2</v>
      </c>
      <c r="D25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2" s="7">
        <v>171.35333333333335</v>
      </c>
      <c r="F2552" s="9">
        <v>2.4021500000000002</v>
      </c>
      <c r="G2552" s="11">
        <v>53.087507840681369</v>
      </c>
      <c r="I2552" s="28"/>
    </row>
    <row r="2553" spans="2:9" x14ac:dyDescent="0.35">
      <c r="B2553" s="18">
        <v>45720</v>
      </c>
      <c r="C2553" s="6" t="s">
        <v>2</v>
      </c>
      <c r="D25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3" s="7">
        <v>171.35333333333335</v>
      </c>
      <c r="F2553" s="9">
        <v>0.39055000000000001</v>
      </c>
      <c r="G2553" s="11">
        <v>53.710977835723597</v>
      </c>
      <c r="I2553" s="28"/>
    </row>
    <row r="2554" spans="2:9" x14ac:dyDescent="0.35">
      <c r="B2554" s="18">
        <v>45721</v>
      </c>
      <c r="C2554" s="6" t="s">
        <v>2</v>
      </c>
      <c r="D25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4" s="7">
        <v>375.32</v>
      </c>
      <c r="F2554" s="9">
        <v>0.82390000000000008</v>
      </c>
      <c r="G2554" s="11">
        <v>52.78926398077693</v>
      </c>
      <c r="I2554" s="28"/>
    </row>
    <row r="2555" spans="2:9" x14ac:dyDescent="0.35">
      <c r="B2555" s="18">
        <v>45722</v>
      </c>
      <c r="C2555" s="6" t="s">
        <v>2</v>
      </c>
      <c r="D25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5" s="7">
        <v>367.46</v>
      </c>
      <c r="F2555" s="9">
        <v>0.31564999999999999</v>
      </c>
      <c r="G2555" s="11">
        <v>54.093566573370651</v>
      </c>
      <c r="I2555" s="28"/>
    </row>
    <row r="2556" spans="2:9" x14ac:dyDescent="0.35">
      <c r="B2556" s="18">
        <v>45723</v>
      </c>
      <c r="C2556" s="6" t="s">
        <v>2</v>
      </c>
      <c r="D25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6" s="7">
        <v>320.08</v>
      </c>
      <c r="F2556" s="9">
        <v>0.42265000000000003</v>
      </c>
      <c r="G2556" s="11">
        <v>51.385230599558852</v>
      </c>
      <c r="I2556" s="28"/>
    </row>
    <row r="2557" spans="2:9" x14ac:dyDescent="0.35">
      <c r="B2557" s="18">
        <v>45724</v>
      </c>
      <c r="C2557" s="6" t="s">
        <v>2</v>
      </c>
      <c r="D25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7" s="7">
        <v>316.08</v>
      </c>
      <c r="F2557" s="9">
        <v>1.013825</v>
      </c>
      <c r="G2557" s="11">
        <v>52.471303038565829</v>
      </c>
      <c r="I2557" s="28"/>
    </row>
    <row r="2558" spans="2:9" x14ac:dyDescent="0.35">
      <c r="B2558" s="18">
        <v>45726</v>
      </c>
      <c r="C2558" s="6" t="s">
        <v>2</v>
      </c>
      <c r="D25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8" s="7">
        <v>304.92</v>
      </c>
      <c r="F2558" s="9">
        <v>0.62327500000000002</v>
      </c>
      <c r="G2558" s="11">
        <v>54.1185296482412</v>
      </c>
      <c r="I2558" s="28"/>
    </row>
    <row r="2559" spans="2:9" x14ac:dyDescent="0.35">
      <c r="B2559" s="18">
        <v>45728</v>
      </c>
      <c r="C2559" s="6" t="s">
        <v>2</v>
      </c>
      <c r="D25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59" s="7">
        <v>554.08000000000004</v>
      </c>
      <c r="F2559" s="9">
        <v>1.5194000000000001</v>
      </c>
      <c r="G2559" s="11">
        <v>53.231475082392883</v>
      </c>
      <c r="I2559" s="28"/>
    </row>
    <row r="2560" spans="2:9" x14ac:dyDescent="0.35">
      <c r="B2560" s="18">
        <v>45729</v>
      </c>
      <c r="C2560" s="6" t="s">
        <v>2</v>
      </c>
      <c r="D25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0" s="7">
        <v>616.08000000000004</v>
      </c>
      <c r="F2560" s="9">
        <v>2.233625</v>
      </c>
      <c r="G2560" s="11">
        <v>51.549092746764977</v>
      </c>
      <c r="I2560" s="28"/>
    </row>
    <row r="2561" spans="2:9" x14ac:dyDescent="0.35">
      <c r="B2561" s="18">
        <v>45731</v>
      </c>
      <c r="C2561" s="6" t="s">
        <v>2</v>
      </c>
      <c r="D25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1" s="7">
        <v>315.33999999999997</v>
      </c>
      <c r="F2561" s="9">
        <v>0.82390000000000008</v>
      </c>
      <c r="G2561" s="11">
        <v>54.372969125902166</v>
      </c>
      <c r="I2561" s="28"/>
    </row>
    <row r="2562" spans="2:9" x14ac:dyDescent="0.35">
      <c r="B2562" s="18">
        <v>45733</v>
      </c>
      <c r="C2562" s="6" t="s">
        <v>2</v>
      </c>
      <c r="D25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2" s="7">
        <v>210.2</v>
      </c>
      <c r="F2562" s="9">
        <v>1.211775</v>
      </c>
      <c r="G2562" s="11">
        <v>52.634813077557759</v>
      </c>
      <c r="I2562" s="28"/>
    </row>
    <row r="2563" spans="2:9" x14ac:dyDescent="0.35">
      <c r="B2563" s="18">
        <v>45734</v>
      </c>
      <c r="C2563" s="6" t="s">
        <v>2</v>
      </c>
      <c r="D25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3" s="7">
        <v>209.26</v>
      </c>
      <c r="F2563" s="9">
        <v>1.08605</v>
      </c>
      <c r="G2563" s="11">
        <v>53.122610132158592</v>
      </c>
      <c r="I2563" s="28"/>
    </row>
    <row r="2564" spans="2:9" x14ac:dyDescent="0.35">
      <c r="B2564" s="18">
        <v>45735</v>
      </c>
      <c r="C2564" s="6" t="s">
        <v>2</v>
      </c>
      <c r="D25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4" s="7">
        <v>323.7</v>
      </c>
      <c r="F2564" s="9">
        <v>1.6799000000000002</v>
      </c>
      <c r="G2564" s="11">
        <v>51.229620938628159</v>
      </c>
      <c r="I2564" s="28"/>
    </row>
    <row r="2565" spans="2:9" x14ac:dyDescent="0.35">
      <c r="B2565" s="18">
        <v>45720</v>
      </c>
      <c r="C2565" s="6" t="s">
        <v>4</v>
      </c>
      <c r="D25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5" s="7">
        <v>51.06</v>
      </c>
      <c r="F2565" s="11">
        <v>3.4935500000000004</v>
      </c>
      <c r="G2565" s="11">
        <v>51.811511079915775</v>
      </c>
      <c r="I2565" s="28"/>
    </row>
    <row r="2566" spans="2:9" x14ac:dyDescent="0.35">
      <c r="B2566" s="18">
        <v>45721</v>
      </c>
      <c r="C2566" s="6" t="s">
        <v>4</v>
      </c>
      <c r="D25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6" s="7">
        <v>146.86000000000001</v>
      </c>
      <c r="F2566" s="11">
        <v>2.5626500000000001</v>
      </c>
      <c r="G2566" s="11">
        <v>53.023507499999994</v>
      </c>
      <c r="I2566" s="28"/>
    </row>
    <row r="2567" spans="2:9" x14ac:dyDescent="0.35">
      <c r="B2567" s="18">
        <v>45722</v>
      </c>
      <c r="C2567" s="6" t="s">
        <v>4</v>
      </c>
      <c r="D25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7" s="7">
        <v>72.58</v>
      </c>
      <c r="F2567" s="11">
        <v>4.2532500000000004</v>
      </c>
      <c r="G2567" s="11">
        <v>51.532872745490984</v>
      </c>
      <c r="I2567" s="28"/>
    </row>
    <row r="2568" spans="2:9" x14ac:dyDescent="0.35">
      <c r="B2568" s="18">
        <v>45723</v>
      </c>
      <c r="C2568" s="6" t="s">
        <v>4</v>
      </c>
      <c r="D25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8" s="7">
        <v>26.5</v>
      </c>
      <c r="F2568" s="11">
        <v>3.7878000000000003</v>
      </c>
      <c r="G2568" s="11">
        <v>51.366474499648341</v>
      </c>
      <c r="I2568" s="28"/>
    </row>
    <row r="2569" spans="2:9" x14ac:dyDescent="0.35">
      <c r="B2569" s="18">
        <v>45724</v>
      </c>
      <c r="C2569" s="6" t="s">
        <v>4</v>
      </c>
      <c r="D25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69" s="7">
        <v>25.05</v>
      </c>
      <c r="F2569" s="11">
        <v>1.8163250000000002</v>
      </c>
      <c r="G2569" s="11">
        <v>52.584062512602074</v>
      </c>
      <c r="I2569" s="28"/>
    </row>
    <row r="2570" spans="2:9" x14ac:dyDescent="0.35">
      <c r="B2570" s="18">
        <v>45727</v>
      </c>
      <c r="C2570" s="6" t="s">
        <v>4</v>
      </c>
      <c r="D25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0" s="7">
        <v>24.01</v>
      </c>
      <c r="F2570" s="11">
        <v>3.6941750000000004</v>
      </c>
      <c r="G2570" s="11">
        <v>52.323937079643819</v>
      </c>
      <c r="I2570" s="28"/>
    </row>
    <row r="2571" spans="2:9" x14ac:dyDescent="0.35">
      <c r="B2571" s="18">
        <v>45728</v>
      </c>
      <c r="C2571" s="6" t="s">
        <v>4</v>
      </c>
      <c r="D25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1" s="7">
        <v>123.02</v>
      </c>
      <c r="F2571" s="11">
        <v>3.0495000000000001</v>
      </c>
      <c r="G2571" s="11">
        <v>52.673123559474895</v>
      </c>
      <c r="I2571" s="28"/>
    </row>
    <row r="2572" spans="2:9" x14ac:dyDescent="0.35">
      <c r="B2572" s="18">
        <v>45729</v>
      </c>
      <c r="C2572" s="6" t="s">
        <v>4</v>
      </c>
      <c r="D25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2" s="7">
        <v>24.07</v>
      </c>
      <c r="F2572" s="11">
        <v>2.0410250000000003</v>
      </c>
      <c r="G2572" s="11">
        <v>53.460780921907798</v>
      </c>
      <c r="I2572" s="28"/>
    </row>
    <row r="2573" spans="2:9" x14ac:dyDescent="0.35">
      <c r="B2573" s="18">
        <v>45733</v>
      </c>
      <c r="C2573" s="6" t="s">
        <v>4</v>
      </c>
      <c r="D25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3" s="7">
        <v>100.07</v>
      </c>
      <c r="F2573" s="11">
        <v>2.09185</v>
      </c>
      <c r="G2573" s="11">
        <v>53.710009970787972</v>
      </c>
      <c r="I2573" s="28"/>
    </row>
    <row r="2574" spans="2:9" x14ac:dyDescent="0.35">
      <c r="B2574" s="18">
        <v>45735</v>
      </c>
      <c r="C2574" s="6" t="s">
        <v>4</v>
      </c>
      <c r="D25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4" s="7">
        <v>75.33</v>
      </c>
      <c r="F2574" s="11">
        <v>4.7909250000000005</v>
      </c>
      <c r="G2574" s="11">
        <v>50.979802380059979</v>
      </c>
      <c r="I2574" s="28"/>
    </row>
    <row r="2575" spans="2:9" x14ac:dyDescent="0.35">
      <c r="B2575" s="18">
        <v>45736</v>
      </c>
      <c r="C2575" s="6" t="s">
        <v>5</v>
      </c>
      <c r="D25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5" s="7">
        <v>30.84</v>
      </c>
      <c r="F2575" s="9">
        <v>1.185025</v>
      </c>
      <c r="G2575" s="10">
        <v>54.112520762393594</v>
      </c>
      <c r="I2575" s="28"/>
    </row>
    <row r="2576" spans="2:9" x14ac:dyDescent="0.35">
      <c r="B2576" s="18">
        <v>45737</v>
      </c>
      <c r="C2576" s="6" t="s">
        <v>5</v>
      </c>
      <c r="D25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6" s="7">
        <v>32.590000000000003</v>
      </c>
      <c r="F2576" s="9">
        <v>0.72760000000000014</v>
      </c>
      <c r="G2576" s="10">
        <v>53.800710068256826</v>
      </c>
      <c r="I2576" s="28"/>
    </row>
    <row r="2577" spans="2:9" x14ac:dyDescent="0.35">
      <c r="B2577" s="18">
        <v>45741</v>
      </c>
      <c r="C2577" s="6" t="s">
        <v>5</v>
      </c>
      <c r="D25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7" s="7">
        <v>145.19</v>
      </c>
      <c r="F2577" s="9">
        <v>1.7334000000000003</v>
      </c>
      <c r="G2577" s="10">
        <v>53.221074677596718</v>
      </c>
      <c r="I2577" s="28"/>
    </row>
    <row r="2578" spans="2:9" x14ac:dyDescent="0.35">
      <c r="B2578" s="18">
        <v>45742</v>
      </c>
      <c r="C2578" s="6" t="s">
        <v>5</v>
      </c>
      <c r="D25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8" s="7">
        <v>34.049999999999997</v>
      </c>
      <c r="F2578" s="9">
        <v>7.2706500000000007</v>
      </c>
      <c r="G2578" s="10">
        <v>48.197679736524535</v>
      </c>
      <c r="I2578" s="28"/>
    </row>
    <row r="2579" spans="2:9" x14ac:dyDescent="0.35">
      <c r="B2579" s="18">
        <v>45743</v>
      </c>
      <c r="C2579" s="6" t="s">
        <v>5</v>
      </c>
      <c r="D25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79" s="7">
        <v>127.35</v>
      </c>
      <c r="F2579" s="9">
        <v>0.65537500000000004</v>
      </c>
      <c r="G2579" s="10">
        <v>53.576802359437757</v>
      </c>
      <c r="I2579" s="28"/>
    </row>
    <row r="2580" spans="2:9" x14ac:dyDescent="0.35">
      <c r="B2580" s="18">
        <v>45744</v>
      </c>
      <c r="C2580" s="6" t="s">
        <v>5</v>
      </c>
      <c r="D25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0" s="7">
        <v>129.58000000000001</v>
      </c>
      <c r="F2580" s="9">
        <v>0.93625000000000003</v>
      </c>
      <c r="G2580" s="10">
        <v>52.134552103475833</v>
      </c>
      <c r="I2580" s="28"/>
    </row>
    <row r="2581" spans="2:9" x14ac:dyDescent="0.35">
      <c r="B2581" s="18">
        <v>45745</v>
      </c>
      <c r="C2581" s="6" t="s">
        <v>5</v>
      </c>
      <c r="D25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1" s="7">
        <v>137.12</v>
      </c>
      <c r="F2581" s="9">
        <v>2.5091500000000004</v>
      </c>
      <c r="G2581" s="10">
        <v>51.905215503712618</v>
      </c>
      <c r="I2581" s="28"/>
    </row>
    <row r="2582" spans="2:9" x14ac:dyDescent="0.35">
      <c r="B2582" s="18">
        <v>45737</v>
      </c>
      <c r="C2582" s="6" t="s">
        <v>3</v>
      </c>
      <c r="D25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2" s="7">
        <v>43.38</v>
      </c>
      <c r="F2582" s="11">
        <v>17.762000000000004</v>
      </c>
      <c r="G2582" s="11">
        <v>37.853916283716273</v>
      </c>
      <c r="I2582" s="28"/>
    </row>
    <row r="2583" spans="2:9" x14ac:dyDescent="0.35">
      <c r="B2583" s="18">
        <v>45742</v>
      </c>
      <c r="C2583" s="6" t="s">
        <v>3</v>
      </c>
      <c r="D25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3" s="7">
        <v>39.92</v>
      </c>
      <c r="F2583" s="11">
        <v>5.4436250000000008</v>
      </c>
      <c r="G2583" s="11">
        <v>49.89836359077232</v>
      </c>
      <c r="I2583" s="28"/>
    </row>
    <row r="2584" spans="2:9" x14ac:dyDescent="0.35">
      <c r="B2584" s="18">
        <v>45743</v>
      </c>
      <c r="C2584" s="6" t="s">
        <v>3</v>
      </c>
      <c r="D25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4" s="7">
        <v>61.68</v>
      </c>
      <c r="F2584" s="11">
        <v>1.9714750000000001</v>
      </c>
      <c r="G2584" s="11">
        <v>53.036143418508971</v>
      </c>
      <c r="I2584" s="28"/>
    </row>
    <row r="2585" spans="2:9" x14ac:dyDescent="0.35">
      <c r="B2585" s="18">
        <v>45744</v>
      </c>
      <c r="C2585" s="6" t="s">
        <v>3</v>
      </c>
      <c r="D25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5" s="7">
        <v>89.24</v>
      </c>
      <c r="F2585" s="11">
        <v>3.0120500000000003</v>
      </c>
      <c r="G2585" s="11">
        <v>51.493911719765926</v>
      </c>
      <c r="I2585" s="28"/>
    </row>
    <row r="2586" spans="2:9" x14ac:dyDescent="0.35">
      <c r="B2586" s="18">
        <v>45745</v>
      </c>
      <c r="C2586" s="6" t="s">
        <v>3</v>
      </c>
      <c r="D25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6" s="7">
        <v>72.88</v>
      </c>
      <c r="F2586" s="11">
        <v>3.0120500000000003</v>
      </c>
      <c r="G2586" s="11">
        <v>51.493911719765926</v>
      </c>
      <c r="I2586" s="28"/>
    </row>
    <row r="2587" spans="2:9" x14ac:dyDescent="0.35">
      <c r="B2587" s="18">
        <v>45744</v>
      </c>
      <c r="C2587" s="6" t="s">
        <v>9</v>
      </c>
      <c r="D25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7" s="7">
        <v>139.66</v>
      </c>
      <c r="F2587" s="9">
        <v>3.485525</v>
      </c>
      <c r="G2587" s="10">
        <v>52.483330668939921</v>
      </c>
      <c r="I2587" s="28"/>
    </row>
    <row r="2588" spans="2:9" x14ac:dyDescent="0.35">
      <c r="B2588" s="18">
        <v>45745</v>
      </c>
      <c r="C2588" s="6" t="s">
        <v>9</v>
      </c>
      <c r="D25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8" s="7">
        <v>170.94</v>
      </c>
      <c r="F2588" s="9">
        <v>0.62327500000000002</v>
      </c>
      <c r="G2588" s="10">
        <v>51.373637551512708</v>
      </c>
      <c r="I2588" s="28"/>
    </row>
    <row r="2589" spans="2:9" x14ac:dyDescent="0.35">
      <c r="B2589" s="18">
        <v>45736</v>
      </c>
      <c r="C2589" s="6" t="s">
        <v>6</v>
      </c>
      <c r="D25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89" s="7">
        <v>258.37</v>
      </c>
      <c r="F2589" s="9">
        <v>3.1030000000000002</v>
      </c>
      <c r="G2589" s="10">
        <v>51.686341728308676</v>
      </c>
      <c r="I2589" s="28"/>
    </row>
    <row r="2590" spans="2:9" x14ac:dyDescent="0.35">
      <c r="B2590" s="18">
        <v>45737</v>
      </c>
      <c r="C2590" s="6" t="s">
        <v>6</v>
      </c>
      <c r="D25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0" s="7">
        <v>34.15</v>
      </c>
      <c r="F2590" s="9">
        <v>3.5203000000000002</v>
      </c>
      <c r="G2590" s="10">
        <v>52.213659634036595</v>
      </c>
      <c r="I2590" s="28"/>
    </row>
    <row r="2591" spans="2:9" x14ac:dyDescent="0.35">
      <c r="B2591" s="18">
        <v>45738</v>
      </c>
      <c r="C2591" s="6" t="s">
        <v>6</v>
      </c>
      <c r="D25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1" s="7">
        <v>281.43</v>
      </c>
      <c r="F2591" s="9">
        <v>2.6215000000000002</v>
      </c>
      <c r="G2591" s="10">
        <v>52.398561007294887</v>
      </c>
      <c r="I2591" s="28"/>
    </row>
    <row r="2592" spans="2:9" x14ac:dyDescent="0.35">
      <c r="B2592" s="18">
        <v>45741</v>
      </c>
      <c r="C2592" s="6" t="s">
        <v>6</v>
      </c>
      <c r="D25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2" s="7">
        <v>204.46</v>
      </c>
      <c r="F2592" s="9">
        <v>3.0307750000000002</v>
      </c>
      <c r="G2592" s="10">
        <v>52.343875263210172</v>
      </c>
      <c r="I2592" s="28"/>
    </row>
    <row r="2593" spans="2:9" x14ac:dyDescent="0.35">
      <c r="B2593" s="18">
        <v>45742</v>
      </c>
      <c r="C2593" s="6" t="s">
        <v>6</v>
      </c>
      <c r="D25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3" s="7">
        <v>264.52</v>
      </c>
      <c r="F2593" s="9">
        <v>3.21</v>
      </c>
      <c r="G2593" s="10">
        <v>52.283891891891891</v>
      </c>
      <c r="I2593" s="28"/>
    </row>
    <row r="2594" spans="2:9" x14ac:dyDescent="0.35">
      <c r="B2594" s="18">
        <v>45743</v>
      </c>
      <c r="C2594" s="6" t="s">
        <v>6</v>
      </c>
      <c r="D25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4" s="7">
        <v>345.89</v>
      </c>
      <c r="F2594" s="9">
        <v>2.0463750000000003</v>
      </c>
      <c r="G2594" s="10">
        <v>53.245481764292172</v>
      </c>
      <c r="I2594" s="28"/>
    </row>
    <row r="2595" spans="2:9" x14ac:dyDescent="0.35">
      <c r="B2595" s="18">
        <v>45744</v>
      </c>
      <c r="C2595" s="6" t="s">
        <v>6</v>
      </c>
      <c r="D25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5" s="7">
        <v>247.26</v>
      </c>
      <c r="F2595" s="9">
        <v>3.0307750000000002</v>
      </c>
      <c r="G2595" s="10">
        <v>51.822821001907435</v>
      </c>
      <c r="I2595" s="28"/>
    </row>
    <row r="2596" spans="2:9" x14ac:dyDescent="0.35">
      <c r="B2596" s="18">
        <v>45745</v>
      </c>
      <c r="C2596" s="6" t="s">
        <v>6</v>
      </c>
      <c r="D25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6" s="7">
        <v>206.57</v>
      </c>
      <c r="F2596" s="9">
        <v>2.303175</v>
      </c>
      <c r="G2596" s="10">
        <v>51.573381373620904</v>
      </c>
      <c r="I2596" s="28"/>
    </row>
    <row r="2597" spans="2:9" x14ac:dyDescent="0.35">
      <c r="B2597" s="18">
        <v>45736</v>
      </c>
      <c r="C2597" s="6" t="s">
        <v>2</v>
      </c>
      <c r="D25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7" s="7">
        <v>316.06</v>
      </c>
      <c r="F2597" s="9">
        <v>1.0914000000000001</v>
      </c>
      <c r="G2597" s="11">
        <v>52.60522664089175</v>
      </c>
      <c r="I2597" s="28"/>
    </row>
    <row r="2598" spans="2:9" x14ac:dyDescent="0.35">
      <c r="B2598" s="18">
        <v>45737</v>
      </c>
      <c r="C2598" s="6" t="s">
        <v>2</v>
      </c>
      <c r="D25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8" s="7">
        <v>347.98</v>
      </c>
      <c r="F2598" s="9">
        <v>0.86402500000000004</v>
      </c>
      <c r="G2598" s="11">
        <v>52.007483291583164</v>
      </c>
      <c r="I2598" s="28"/>
    </row>
    <row r="2599" spans="2:9" x14ac:dyDescent="0.35">
      <c r="B2599" s="18">
        <v>45738</v>
      </c>
      <c r="C2599" s="6" t="s">
        <v>2</v>
      </c>
      <c r="D25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599" s="7">
        <v>233.38</v>
      </c>
      <c r="F2599" s="9">
        <v>0.53767500000000001</v>
      </c>
      <c r="G2599" s="11">
        <v>53.916084126189283</v>
      </c>
      <c r="I2599" s="28"/>
    </row>
    <row r="2600" spans="2:9" x14ac:dyDescent="0.35">
      <c r="B2600" s="18">
        <v>45741</v>
      </c>
      <c r="C2600" s="6" t="s">
        <v>2</v>
      </c>
      <c r="D26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0" s="7">
        <v>37.659999999999997</v>
      </c>
      <c r="F2600" s="9">
        <v>1.5916250000000001</v>
      </c>
      <c r="G2600" s="11">
        <v>50.851221620328403</v>
      </c>
      <c r="I2600" s="28"/>
    </row>
    <row r="2601" spans="2:9" x14ac:dyDescent="0.35">
      <c r="B2601" s="18">
        <v>45742</v>
      </c>
      <c r="C2601" s="6" t="s">
        <v>2</v>
      </c>
      <c r="D26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1" s="7">
        <v>348.88</v>
      </c>
      <c r="F2601" s="9">
        <v>0.51092499999999996</v>
      </c>
      <c r="G2601" s="11">
        <v>50.611637057111317</v>
      </c>
      <c r="I2601" s="28"/>
    </row>
    <row r="2602" spans="2:9" x14ac:dyDescent="0.35">
      <c r="B2602" s="18">
        <v>45743</v>
      </c>
      <c r="C2602" s="6" t="s">
        <v>2</v>
      </c>
      <c r="D26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2" s="7">
        <v>433.44</v>
      </c>
      <c r="F2602" s="9">
        <v>0.89344999999999997</v>
      </c>
      <c r="G2602" s="11">
        <v>52.400790977443606</v>
      </c>
      <c r="I2602" s="28"/>
    </row>
    <row r="2603" spans="2:9" x14ac:dyDescent="0.35">
      <c r="B2603" s="18">
        <v>45744</v>
      </c>
      <c r="C2603" s="6" t="s">
        <v>2</v>
      </c>
      <c r="D26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3" s="7">
        <v>306.83999999999997</v>
      </c>
      <c r="F2603" s="9">
        <v>0.39055000000000001</v>
      </c>
      <c r="G2603" s="11">
        <v>51.899152442938302</v>
      </c>
      <c r="I2603" s="28"/>
    </row>
    <row r="2604" spans="2:9" x14ac:dyDescent="0.35">
      <c r="B2604" s="18">
        <v>45745</v>
      </c>
      <c r="C2604" s="6" t="s">
        <v>2</v>
      </c>
      <c r="D26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4" s="7">
        <v>0</v>
      </c>
      <c r="F2604" s="9">
        <v>1.008475</v>
      </c>
      <c r="G2604" s="11">
        <v>52.914989035087721</v>
      </c>
      <c r="I2604" s="28"/>
    </row>
    <row r="2605" spans="2:9" x14ac:dyDescent="0.35">
      <c r="B2605" s="18">
        <v>45737</v>
      </c>
      <c r="C2605" s="6" t="s">
        <v>4</v>
      </c>
      <c r="D26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5" s="7">
        <v>74.91</v>
      </c>
      <c r="F2605" s="11">
        <v>3.12975</v>
      </c>
      <c r="G2605" s="11">
        <v>52.719316237942124</v>
      </c>
      <c r="I2605" s="28"/>
    </row>
    <row r="2606" spans="2:9" x14ac:dyDescent="0.35">
      <c r="B2606" s="18">
        <v>45742</v>
      </c>
      <c r="C2606" s="6" t="s">
        <v>4</v>
      </c>
      <c r="D26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6" s="7">
        <v>119.94</v>
      </c>
      <c r="F2606" s="11">
        <v>1.7788750000000002</v>
      </c>
      <c r="G2606" s="11">
        <v>53.324866094927174</v>
      </c>
      <c r="I2606" s="28"/>
    </row>
    <row r="2607" spans="2:9" x14ac:dyDescent="0.35">
      <c r="B2607" s="18">
        <v>45743</v>
      </c>
      <c r="C2607" s="6" t="s">
        <v>4</v>
      </c>
      <c r="D26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7" s="7">
        <v>73.569999999999993</v>
      </c>
      <c r="F2607" s="11">
        <v>1.5702250000000002</v>
      </c>
      <c r="G2607" s="11">
        <v>53.806027070063692</v>
      </c>
      <c r="I2607" s="28"/>
    </row>
    <row r="2608" spans="2:9" x14ac:dyDescent="0.35">
      <c r="B2608" s="18">
        <v>45744</v>
      </c>
      <c r="C2608" s="6" t="s">
        <v>4</v>
      </c>
      <c r="D26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8" s="7">
        <v>24.41</v>
      </c>
      <c r="F2608" s="11">
        <v>2.3780750000000004</v>
      </c>
      <c r="G2608" s="11">
        <v>52.615537782760335</v>
      </c>
      <c r="I2608" s="28"/>
    </row>
    <row r="2609" spans="2:9" x14ac:dyDescent="0.35">
      <c r="B2609" s="18">
        <v>45745</v>
      </c>
      <c r="C2609" s="6" t="s">
        <v>4</v>
      </c>
      <c r="D26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09" s="7">
        <v>51.19</v>
      </c>
      <c r="F2609" s="11">
        <v>2.1132500000000003</v>
      </c>
      <c r="G2609" s="11">
        <v>53.022245295720225</v>
      </c>
      <c r="I2609" s="28"/>
    </row>
    <row r="2610" spans="2:9" x14ac:dyDescent="0.35">
      <c r="B2610" s="18">
        <v>45748</v>
      </c>
      <c r="C2610" s="6" t="s">
        <v>5</v>
      </c>
      <c r="D26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0" s="7">
        <v>36.56</v>
      </c>
      <c r="F2610" s="9">
        <v>0.89077500000000009</v>
      </c>
      <c r="G2610" s="10">
        <v>53.510555255214051</v>
      </c>
      <c r="I2610" s="28"/>
    </row>
    <row r="2611" spans="2:9" x14ac:dyDescent="0.35">
      <c r="B2611" s="18">
        <v>45750</v>
      </c>
      <c r="C2611" s="6" t="s">
        <v>5</v>
      </c>
      <c r="D26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1" s="7">
        <v>136.05000000000001</v>
      </c>
      <c r="F2611" s="9">
        <v>1.0165</v>
      </c>
      <c r="G2611" s="10">
        <v>52.170275364038616</v>
      </c>
      <c r="I2611" s="28"/>
    </row>
    <row r="2612" spans="2:9" x14ac:dyDescent="0.35">
      <c r="B2612" s="18">
        <v>45751</v>
      </c>
      <c r="C2612" s="6" t="s">
        <v>5</v>
      </c>
      <c r="D26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2" s="7">
        <v>169.93</v>
      </c>
      <c r="F2612" s="9">
        <v>0.32100000000000001</v>
      </c>
      <c r="G2612" s="10">
        <v>54.288367015805314</v>
      </c>
      <c r="I2612" s="28"/>
    </row>
    <row r="2613" spans="2:9" x14ac:dyDescent="0.35">
      <c r="B2613" s="18">
        <v>45752</v>
      </c>
      <c r="C2613" s="6" t="s">
        <v>5</v>
      </c>
      <c r="D26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3" s="7">
        <v>123.01</v>
      </c>
      <c r="F2613" s="9">
        <v>0.57780000000000009</v>
      </c>
      <c r="G2613" s="10">
        <v>54.096652123534717</v>
      </c>
      <c r="I2613" s="28"/>
    </row>
    <row r="2614" spans="2:9" x14ac:dyDescent="0.35">
      <c r="B2614" s="16">
        <v>45748</v>
      </c>
      <c r="C2614" s="6" t="s">
        <v>3</v>
      </c>
      <c r="D26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4" s="7">
        <v>93.12</v>
      </c>
      <c r="F2614" s="11">
        <v>1.64245</v>
      </c>
      <c r="G2614" s="11">
        <v>53.464872437850843</v>
      </c>
      <c r="I2614" s="28"/>
    </row>
    <row r="2615" spans="2:9" x14ac:dyDescent="0.35">
      <c r="B2615" s="16">
        <v>45749</v>
      </c>
      <c r="C2615" s="6" t="s">
        <v>3</v>
      </c>
      <c r="D26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5" s="7">
        <v>69.02</v>
      </c>
      <c r="F2615" s="11">
        <v>1.4418249999999999</v>
      </c>
      <c r="G2615" s="11">
        <v>53.195253081513457</v>
      </c>
      <c r="I2615" s="28"/>
    </row>
    <row r="2616" spans="2:9" x14ac:dyDescent="0.35">
      <c r="B2616" s="16">
        <v>45751</v>
      </c>
      <c r="C2616" s="6" t="s">
        <v>3</v>
      </c>
      <c r="D26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6" s="7">
        <v>65.94</v>
      </c>
      <c r="F2616" s="11">
        <v>1.5755749999999999</v>
      </c>
      <c r="G2616" s="11">
        <v>53.778214285714277</v>
      </c>
      <c r="I2616" s="28"/>
    </row>
    <row r="2617" spans="2:9" x14ac:dyDescent="0.35">
      <c r="B2617" s="16">
        <v>45752</v>
      </c>
      <c r="C2617" s="6" t="s">
        <v>3</v>
      </c>
      <c r="D26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7" s="7">
        <v>63.4</v>
      </c>
      <c r="F2617" s="11">
        <v>1.9955500000000002</v>
      </c>
      <c r="G2617" s="11">
        <v>53.655332436102242</v>
      </c>
      <c r="I2617" s="28"/>
    </row>
    <row r="2618" spans="2:9" x14ac:dyDescent="0.35">
      <c r="B2618" s="16">
        <v>45751</v>
      </c>
      <c r="C2618" s="6" t="s">
        <v>9</v>
      </c>
      <c r="D26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8" s="7">
        <v>208</v>
      </c>
      <c r="F2618" s="9">
        <v>1.9313500000000001</v>
      </c>
      <c r="G2618" s="10">
        <v>53.607473736868435</v>
      </c>
      <c r="I2618" s="28"/>
    </row>
    <row r="2619" spans="2:9" x14ac:dyDescent="0.35">
      <c r="B2619" s="16">
        <v>45752</v>
      </c>
      <c r="C2619" s="6" t="s">
        <v>9</v>
      </c>
      <c r="D26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19" s="7">
        <v>173.56</v>
      </c>
      <c r="F2619" s="9">
        <v>2.7418750000000003</v>
      </c>
      <c r="G2619" s="10">
        <v>52.769865731462929</v>
      </c>
      <c r="I2619" s="28"/>
    </row>
    <row r="2620" spans="2:9" x14ac:dyDescent="0.35">
      <c r="B2620" s="16">
        <v>45748</v>
      </c>
      <c r="C2620" s="6" t="s">
        <v>6</v>
      </c>
      <c r="D26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0" s="7">
        <v>104.75</v>
      </c>
      <c r="F2620" s="9">
        <v>2.0009000000000001</v>
      </c>
      <c r="G2620" s="10">
        <v>53.254190352281825</v>
      </c>
      <c r="I2620" s="28"/>
    </row>
    <row r="2621" spans="2:9" x14ac:dyDescent="0.35">
      <c r="B2621" s="16">
        <v>45749</v>
      </c>
      <c r="C2621" s="6" t="s">
        <v>6</v>
      </c>
      <c r="D26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1" s="7">
        <v>342.49</v>
      </c>
      <c r="F2621" s="9">
        <v>2.92645</v>
      </c>
      <c r="G2621" s="10">
        <v>52.481170551948054</v>
      </c>
      <c r="I2621" s="28"/>
    </row>
    <row r="2622" spans="2:9" x14ac:dyDescent="0.35">
      <c r="B2622" s="16">
        <v>45750</v>
      </c>
      <c r="C2622" s="6" t="s">
        <v>6</v>
      </c>
      <c r="D26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2" s="7">
        <v>275.32</v>
      </c>
      <c r="F2622" s="9">
        <v>2.7258249999999999</v>
      </c>
      <c r="G2622" s="10">
        <v>52.572026423292044</v>
      </c>
      <c r="I2622" s="28"/>
    </row>
    <row r="2623" spans="2:9" x14ac:dyDescent="0.35">
      <c r="B2623" s="16">
        <v>45751</v>
      </c>
      <c r="C2623" s="6" t="s">
        <v>6</v>
      </c>
      <c r="D26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3" s="7">
        <v>463.36</v>
      </c>
      <c r="F2623" s="9">
        <v>2.6081250000000002</v>
      </c>
      <c r="G2623" s="10">
        <v>52.30727036481759</v>
      </c>
      <c r="I2623" s="28"/>
    </row>
    <row r="2624" spans="2:9" x14ac:dyDescent="0.35">
      <c r="B2624" s="16">
        <v>45752</v>
      </c>
      <c r="C2624" s="6" t="s">
        <v>6</v>
      </c>
      <c r="D26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4" s="7">
        <v>269.69</v>
      </c>
      <c r="F2624" s="9">
        <v>1.805625</v>
      </c>
      <c r="G2624" s="10">
        <v>53.828783254693306</v>
      </c>
      <c r="I2624" s="28"/>
    </row>
    <row r="2625" spans="2:9" x14ac:dyDescent="0.35">
      <c r="B2625" s="16">
        <v>45748</v>
      </c>
      <c r="C2625" s="6" t="s">
        <v>2</v>
      </c>
      <c r="D26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5" s="7">
        <v>430.88</v>
      </c>
      <c r="F2625" s="9">
        <v>0.72760000000000014</v>
      </c>
      <c r="G2625" s="11">
        <v>53.301382532927555</v>
      </c>
      <c r="I2625" s="28"/>
    </row>
    <row r="2626" spans="2:9" x14ac:dyDescent="0.35">
      <c r="B2626" s="16">
        <v>45749</v>
      </c>
      <c r="C2626" s="6" t="s">
        <v>2</v>
      </c>
      <c r="D26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6" s="7">
        <v>144.63999999999999</v>
      </c>
      <c r="F2626" s="9">
        <v>1.95275</v>
      </c>
      <c r="G2626" s="11">
        <v>48.438057222973654</v>
      </c>
      <c r="I2626" s="28"/>
    </row>
    <row r="2627" spans="2:9" x14ac:dyDescent="0.35">
      <c r="B2627" s="16">
        <v>45750</v>
      </c>
      <c r="C2627" s="6" t="s">
        <v>2</v>
      </c>
      <c r="D26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7" s="7">
        <v>272.7</v>
      </c>
      <c r="F2627" s="9">
        <v>0.91485000000000005</v>
      </c>
      <c r="G2627" s="11">
        <v>53.139824998741823</v>
      </c>
      <c r="I2627" s="28"/>
    </row>
    <row r="2628" spans="2:9" x14ac:dyDescent="0.35">
      <c r="B2628" s="16">
        <v>45751</v>
      </c>
      <c r="C2628" s="6" t="s">
        <v>2</v>
      </c>
      <c r="D26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8" s="7">
        <v>171.14</v>
      </c>
      <c r="F2628" s="9">
        <v>0.40125</v>
      </c>
      <c r="G2628" s="11">
        <v>53.991398032918511</v>
      </c>
      <c r="I2628" s="28"/>
    </row>
    <row r="2629" spans="2:9" x14ac:dyDescent="0.35">
      <c r="B2629" s="16">
        <v>45749</v>
      </c>
      <c r="C2629" s="6" t="s">
        <v>7</v>
      </c>
      <c r="D26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29" s="7">
        <v>49.95</v>
      </c>
      <c r="F2629" s="9">
        <v>7.2171500000000002</v>
      </c>
      <c r="G2629" s="11">
        <v>50.074874981985595</v>
      </c>
      <c r="I2629" s="28"/>
    </row>
    <row r="2630" spans="2:9" x14ac:dyDescent="0.35">
      <c r="B2630" s="16">
        <v>45752</v>
      </c>
      <c r="C2630" s="6" t="s">
        <v>7</v>
      </c>
      <c r="D26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0" s="7">
        <v>49.72</v>
      </c>
      <c r="F2630" s="9">
        <v>3.0789249999999999</v>
      </c>
      <c r="G2630" s="11">
        <v>52.878005376128378</v>
      </c>
      <c r="I2630" s="28"/>
    </row>
    <row r="2631" spans="2:9" x14ac:dyDescent="0.35">
      <c r="B2631" s="16">
        <v>45748</v>
      </c>
      <c r="C2631" s="6" t="s">
        <v>4</v>
      </c>
      <c r="D26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1" s="7">
        <v>146.94</v>
      </c>
      <c r="F2631" s="11">
        <v>3.0093750000000004</v>
      </c>
      <c r="G2631" s="11">
        <v>52.478972979813193</v>
      </c>
      <c r="I2631" s="28"/>
    </row>
    <row r="2632" spans="2:9" x14ac:dyDescent="0.35">
      <c r="B2632" s="16">
        <v>45751</v>
      </c>
      <c r="C2632" s="6" t="s">
        <v>4</v>
      </c>
      <c r="D26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2" s="7">
        <v>70.7</v>
      </c>
      <c r="F2632" s="11">
        <v>1.431125</v>
      </c>
      <c r="G2632" s="11">
        <v>53.988805442583732</v>
      </c>
      <c r="I2632" s="28"/>
    </row>
    <row r="2633" spans="2:9" x14ac:dyDescent="0.35">
      <c r="B2633" s="16">
        <v>45754</v>
      </c>
      <c r="C2633" s="6" t="s">
        <v>5</v>
      </c>
      <c r="D26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3" s="7">
        <v>29.42</v>
      </c>
      <c r="F2633" s="9">
        <v>4.7106750000000002</v>
      </c>
      <c r="G2633" s="10">
        <v>50.996195456547859</v>
      </c>
      <c r="I2633" s="28"/>
    </row>
    <row r="2634" spans="2:9" x14ac:dyDescent="0.35">
      <c r="B2634" s="16">
        <v>45755</v>
      </c>
      <c r="C2634" s="6" t="s">
        <v>5</v>
      </c>
      <c r="D26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4" s="7">
        <v>98.96</v>
      </c>
      <c r="F2634" s="9">
        <v>0.58850000000000013</v>
      </c>
      <c r="G2634" s="10">
        <v>53.951055287295858</v>
      </c>
      <c r="I2634" s="28"/>
    </row>
    <row r="2635" spans="2:9" x14ac:dyDescent="0.35">
      <c r="B2635" s="16">
        <v>45756</v>
      </c>
      <c r="C2635" s="6" t="s">
        <v>5</v>
      </c>
      <c r="D26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5" s="7">
        <v>33.799999999999997</v>
      </c>
      <c r="F2635" s="9">
        <v>3.6754500000000001</v>
      </c>
      <c r="G2635" s="10">
        <v>52.453542061762946</v>
      </c>
      <c r="I2635" s="28"/>
    </row>
    <row r="2636" spans="2:9" x14ac:dyDescent="0.35">
      <c r="B2636" s="16">
        <v>45757</v>
      </c>
      <c r="C2636" s="6" t="s">
        <v>5</v>
      </c>
      <c r="D26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6" s="7">
        <v>132.15</v>
      </c>
      <c r="F2636" s="9">
        <v>0.34240000000000004</v>
      </c>
      <c r="G2636" s="10">
        <v>54.680287057063047</v>
      </c>
      <c r="I2636" s="28"/>
    </row>
    <row r="2637" spans="2:9" x14ac:dyDescent="0.35">
      <c r="B2637" s="16">
        <v>45759</v>
      </c>
      <c r="C2637" s="6" t="s">
        <v>5</v>
      </c>
      <c r="D26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7" s="7">
        <v>166.98</v>
      </c>
      <c r="F2637" s="9">
        <v>12.55645</v>
      </c>
      <c r="G2637" s="10">
        <v>46.029955900321539</v>
      </c>
      <c r="I2637" s="28"/>
    </row>
    <row r="2638" spans="2:9" x14ac:dyDescent="0.35">
      <c r="B2638" s="16">
        <v>45754</v>
      </c>
      <c r="C2638" s="6" t="s">
        <v>3</v>
      </c>
      <c r="D26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8" s="7">
        <v>130.02000000000001</v>
      </c>
      <c r="F2638" s="11">
        <v>2.3406250000000002</v>
      </c>
      <c r="G2638" s="11">
        <v>53.521167809600641</v>
      </c>
      <c r="I2638" s="28"/>
    </row>
    <row r="2639" spans="2:9" x14ac:dyDescent="0.35">
      <c r="B2639" s="16">
        <v>45755</v>
      </c>
      <c r="C2639" s="6" t="s">
        <v>3</v>
      </c>
      <c r="D26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39" s="7">
        <v>65.78</v>
      </c>
      <c r="F2639" s="11">
        <v>2.1480250000000001</v>
      </c>
      <c r="G2639" s="11">
        <v>53.482914834066378</v>
      </c>
      <c r="I2639" s="28"/>
    </row>
    <row r="2640" spans="2:9" x14ac:dyDescent="0.35">
      <c r="B2640" s="16">
        <v>45756</v>
      </c>
      <c r="C2640" s="6" t="s">
        <v>3</v>
      </c>
      <c r="D26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0" s="7">
        <v>88.02</v>
      </c>
      <c r="F2640" s="11">
        <v>3.8520000000000003</v>
      </c>
      <c r="G2640" s="11">
        <v>52.555038503850383</v>
      </c>
      <c r="I2640" s="28"/>
    </row>
    <row r="2641" spans="2:9" x14ac:dyDescent="0.35">
      <c r="B2641" s="16">
        <v>45756</v>
      </c>
      <c r="C2641" s="6" t="s">
        <v>9</v>
      </c>
      <c r="D26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1" s="7">
        <v>170.94</v>
      </c>
      <c r="F2641" s="9">
        <v>2.37005</v>
      </c>
      <c r="G2641" s="10">
        <v>52.997317317317311</v>
      </c>
      <c r="I2641" s="28"/>
    </row>
    <row r="2642" spans="2:9" x14ac:dyDescent="0.35">
      <c r="B2642" s="16">
        <v>45757</v>
      </c>
      <c r="C2642" s="6" t="s">
        <v>9</v>
      </c>
      <c r="D26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2" s="7">
        <v>104.29</v>
      </c>
      <c r="F2642" s="9">
        <v>3.0709000000000004</v>
      </c>
      <c r="G2642" s="10">
        <v>52.984523952695938</v>
      </c>
      <c r="I2642" s="28"/>
    </row>
    <row r="2643" spans="2:9" x14ac:dyDescent="0.35">
      <c r="B2643" s="16">
        <v>45754</v>
      </c>
      <c r="C2643" s="6" t="s">
        <v>6</v>
      </c>
      <c r="D26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3" s="7">
        <v>541.33000000000004</v>
      </c>
      <c r="F2643" s="9">
        <v>2.3138750000000003</v>
      </c>
      <c r="G2643" s="10">
        <v>53.401245377311341</v>
      </c>
      <c r="I2643" s="28"/>
    </row>
    <row r="2644" spans="2:9" x14ac:dyDescent="0.35">
      <c r="B2644" s="16">
        <v>45755</v>
      </c>
      <c r="C2644" s="6" t="s">
        <v>6</v>
      </c>
      <c r="D26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4" s="7">
        <v>277.3</v>
      </c>
      <c r="F2644" s="9">
        <v>2.7820000000000005</v>
      </c>
      <c r="G2644" s="10">
        <v>52.354538384845462</v>
      </c>
      <c r="I2644" s="28"/>
    </row>
    <row r="2645" spans="2:9" x14ac:dyDescent="0.35">
      <c r="B2645" s="16">
        <v>45756</v>
      </c>
      <c r="C2645" s="6" t="s">
        <v>6</v>
      </c>
      <c r="D26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5" s="7">
        <v>298.45</v>
      </c>
      <c r="F2645" s="9">
        <v>2.1694249999999999</v>
      </c>
      <c r="G2645" s="10">
        <v>53.69981634650135</v>
      </c>
      <c r="I2645" s="28"/>
    </row>
    <row r="2646" spans="2:9" x14ac:dyDescent="0.35">
      <c r="B2646" s="16">
        <v>45757</v>
      </c>
      <c r="C2646" s="6" t="s">
        <v>6</v>
      </c>
      <c r="D26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6" s="7">
        <v>459.47</v>
      </c>
      <c r="F2646" s="9">
        <v>2.1560500000000005</v>
      </c>
      <c r="G2646" s="10">
        <v>53.597517957463886</v>
      </c>
      <c r="I2646" s="28"/>
    </row>
    <row r="2647" spans="2:9" x14ac:dyDescent="0.35">
      <c r="B2647" s="16">
        <v>45758</v>
      </c>
      <c r="C2647" s="6" t="s">
        <v>6</v>
      </c>
      <c r="D26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7" s="7">
        <v>438.88</v>
      </c>
      <c r="F2647" s="9">
        <v>1.8564500000000002</v>
      </c>
      <c r="G2647" s="10">
        <v>53.737198696611188</v>
      </c>
      <c r="I2647" s="28"/>
    </row>
    <row r="2648" spans="2:9" x14ac:dyDescent="0.35">
      <c r="B2648" s="16">
        <v>45759</v>
      </c>
      <c r="C2648" s="6" t="s">
        <v>6</v>
      </c>
      <c r="D26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8" s="7">
        <v>586.13</v>
      </c>
      <c r="F2648" s="9">
        <v>2.7713000000000001</v>
      </c>
      <c r="G2648" s="10">
        <v>52.824657023330651</v>
      </c>
      <c r="I2648" s="28"/>
    </row>
    <row r="2649" spans="2:9" x14ac:dyDescent="0.35">
      <c r="B2649" s="16">
        <v>45754</v>
      </c>
      <c r="C2649" s="6" t="s">
        <v>2</v>
      </c>
      <c r="D26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49" s="7">
        <v>140.02000000000001</v>
      </c>
      <c r="F2649" s="9">
        <v>1.1582750000000002</v>
      </c>
      <c r="G2649" s="11">
        <v>51.674409316087356</v>
      </c>
      <c r="I2649" s="28"/>
    </row>
    <row r="2650" spans="2:9" x14ac:dyDescent="0.35">
      <c r="B2650" s="16">
        <v>45755</v>
      </c>
      <c r="C2650" s="6" t="s">
        <v>2</v>
      </c>
      <c r="D26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0" s="7">
        <v>313.26</v>
      </c>
      <c r="F2650" s="9">
        <v>0.90147500000000003</v>
      </c>
      <c r="G2650" s="11">
        <v>53.892999799879917</v>
      </c>
      <c r="I2650" s="28"/>
    </row>
    <row r="2651" spans="2:9" x14ac:dyDescent="0.35">
      <c r="B2651" s="16">
        <v>45756</v>
      </c>
      <c r="C2651" s="6" t="s">
        <v>2</v>
      </c>
      <c r="D26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1" s="7">
        <v>173.4</v>
      </c>
      <c r="F2651" s="9">
        <v>0.50824999999999998</v>
      </c>
      <c r="G2651" s="11">
        <v>53.899296492455278</v>
      </c>
      <c r="I2651" s="28"/>
    </row>
    <row r="2652" spans="2:9" x14ac:dyDescent="0.35">
      <c r="B2652" s="16">
        <v>45757</v>
      </c>
      <c r="C2652" s="6" t="s">
        <v>2</v>
      </c>
      <c r="D26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2" s="7">
        <v>305.76</v>
      </c>
      <c r="F2652" s="9">
        <v>0.48417500000000002</v>
      </c>
      <c r="G2652" s="11">
        <v>53.534941615755628</v>
      </c>
      <c r="I2652" s="28"/>
    </row>
    <row r="2653" spans="2:9" x14ac:dyDescent="0.35">
      <c r="B2653" s="16">
        <v>45758</v>
      </c>
      <c r="C2653" s="6" t="s">
        <v>2</v>
      </c>
      <c r="D26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3" s="7">
        <v>309.72000000000003</v>
      </c>
      <c r="F2653" s="9">
        <v>0.85600000000000009</v>
      </c>
      <c r="G2653" s="11">
        <v>53.751565199919632</v>
      </c>
      <c r="I2653" s="28"/>
    </row>
    <row r="2654" spans="2:9" x14ac:dyDescent="0.35">
      <c r="B2654" s="16">
        <v>45749</v>
      </c>
      <c r="C2654" s="6" t="s">
        <v>7</v>
      </c>
      <c r="D26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4" s="7">
        <v>49.95</v>
      </c>
      <c r="F2654" s="9">
        <v>7.2171500000000002</v>
      </c>
      <c r="G2654" s="11">
        <v>50.074874981985595</v>
      </c>
      <c r="I2654" s="28"/>
    </row>
    <row r="2655" spans="2:9" x14ac:dyDescent="0.35">
      <c r="B2655" s="16">
        <v>45752</v>
      </c>
      <c r="C2655" s="6" t="s">
        <v>7</v>
      </c>
      <c r="D26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5" s="7">
        <v>49.72</v>
      </c>
      <c r="F2655" s="9">
        <v>3.0789249999999999</v>
      </c>
      <c r="G2655" s="11">
        <v>52.878005376128378</v>
      </c>
      <c r="I2655" s="28"/>
    </row>
    <row r="2656" spans="2:9" x14ac:dyDescent="0.35">
      <c r="B2656" s="16">
        <v>45752</v>
      </c>
      <c r="C2656" s="6" t="s">
        <v>4</v>
      </c>
      <c r="D26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6" s="7">
        <v>70.7</v>
      </c>
      <c r="F2656" s="11">
        <v>1.564875</v>
      </c>
      <c r="G2656" s="11">
        <v>53.999328776909984</v>
      </c>
      <c r="I2656" s="28"/>
    </row>
    <row r="2657" spans="2:9" x14ac:dyDescent="0.35">
      <c r="B2657" s="16">
        <v>45754</v>
      </c>
      <c r="C2657" s="6" t="s">
        <v>4</v>
      </c>
      <c r="D26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7" s="7">
        <v>47.33</v>
      </c>
      <c r="F2657" s="11">
        <v>2.3540000000000005</v>
      </c>
      <c r="G2657" s="11">
        <v>53.11716447051684</v>
      </c>
      <c r="I2657" s="28"/>
    </row>
    <row r="2658" spans="2:9" x14ac:dyDescent="0.35">
      <c r="B2658" s="16">
        <v>45757</v>
      </c>
      <c r="C2658" s="6" t="s">
        <v>4</v>
      </c>
      <c r="D26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8" s="7">
        <v>193.42</v>
      </c>
      <c r="F2658" s="11">
        <v>2.5573000000000001</v>
      </c>
      <c r="G2658" s="11">
        <v>53.20664690274841</v>
      </c>
      <c r="I2658" s="28"/>
    </row>
    <row r="2659" spans="2:9" x14ac:dyDescent="0.35">
      <c r="B2659" s="16">
        <v>45758</v>
      </c>
      <c r="C2659" s="6" t="s">
        <v>4</v>
      </c>
      <c r="D26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59" s="7">
        <v>169.28</v>
      </c>
      <c r="F2659" s="11">
        <v>2.1025500000000004</v>
      </c>
      <c r="G2659" s="11">
        <v>53.442791421165978</v>
      </c>
      <c r="I2659" s="28"/>
    </row>
    <row r="2660" spans="2:9" x14ac:dyDescent="0.35">
      <c r="B2660" s="16">
        <v>45754</v>
      </c>
      <c r="C2660" s="6" t="s">
        <v>5</v>
      </c>
      <c r="D26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0" s="7">
        <v>29.42</v>
      </c>
      <c r="F2660" s="9">
        <v>4.7106750000000002</v>
      </c>
      <c r="G2660" s="10">
        <v>50.996195456547859</v>
      </c>
      <c r="I2660" s="28"/>
    </row>
    <row r="2661" spans="2:9" x14ac:dyDescent="0.35">
      <c r="B2661" s="16">
        <v>45755</v>
      </c>
      <c r="C2661" s="6" t="s">
        <v>5</v>
      </c>
      <c r="D26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1" s="7">
        <v>98.96</v>
      </c>
      <c r="F2661" s="9">
        <v>0.58850000000000013</v>
      </c>
      <c r="G2661" s="10">
        <v>53.951055287295858</v>
      </c>
      <c r="I2661" s="28"/>
    </row>
    <row r="2662" spans="2:9" x14ac:dyDescent="0.35">
      <c r="B2662" s="16">
        <v>45756</v>
      </c>
      <c r="C2662" s="6" t="s">
        <v>5</v>
      </c>
      <c r="D26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2" s="7">
        <v>33.799999999999997</v>
      </c>
      <c r="F2662" s="9">
        <v>3.6754500000000001</v>
      </c>
      <c r="G2662" s="10">
        <v>52.453542061762946</v>
      </c>
      <c r="I2662" s="28"/>
    </row>
    <row r="2663" spans="2:9" x14ac:dyDescent="0.35">
      <c r="B2663" s="16">
        <v>45757</v>
      </c>
      <c r="C2663" s="6" t="s">
        <v>5</v>
      </c>
      <c r="D26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3" s="7">
        <v>132.15</v>
      </c>
      <c r="F2663" s="9">
        <v>0.34240000000000004</v>
      </c>
      <c r="G2663" s="10">
        <v>54.680287057063047</v>
      </c>
      <c r="I2663" s="28"/>
    </row>
    <row r="2664" spans="2:9" x14ac:dyDescent="0.35">
      <c r="B2664" s="16">
        <v>45759</v>
      </c>
      <c r="C2664" s="6" t="s">
        <v>5</v>
      </c>
      <c r="D26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4" s="7">
        <v>233.1</v>
      </c>
      <c r="F2664" s="9">
        <v>12.55645</v>
      </c>
      <c r="G2664" s="10">
        <v>46.029955900321539</v>
      </c>
      <c r="I2664" s="28"/>
    </row>
    <row r="2665" spans="2:9" x14ac:dyDescent="0.35">
      <c r="B2665" s="16">
        <v>45762</v>
      </c>
      <c r="C2665" s="6" t="s">
        <v>5</v>
      </c>
      <c r="D26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5" s="7">
        <v>32.19</v>
      </c>
      <c r="F2665" s="9">
        <v>0.71155000000000013</v>
      </c>
      <c r="G2665" s="10">
        <v>53.41834378243513</v>
      </c>
      <c r="I2665" s="28"/>
    </row>
    <row r="2666" spans="2:9" x14ac:dyDescent="0.35">
      <c r="B2666" s="16">
        <v>45763</v>
      </c>
      <c r="C2666" s="6" t="s">
        <v>5</v>
      </c>
      <c r="D26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6" s="7">
        <v>134.77000000000001</v>
      </c>
      <c r="F2666" s="9">
        <v>0.40660000000000002</v>
      </c>
      <c r="G2666" s="10">
        <v>53.838355602061334</v>
      </c>
      <c r="I2666" s="28"/>
    </row>
    <row r="2667" spans="2:9" x14ac:dyDescent="0.35">
      <c r="B2667" s="16">
        <v>45754</v>
      </c>
      <c r="C2667" s="6" t="s">
        <v>3</v>
      </c>
      <c r="D26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7" s="7">
        <v>130.02000000000001</v>
      </c>
      <c r="F2667" s="11">
        <v>2.3406250000000002</v>
      </c>
      <c r="G2667" s="11">
        <v>53.521167809600641</v>
      </c>
      <c r="I2667" s="28"/>
    </row>
    <row r="2668" spans="2:9" x14ac:dyDescent="0.35">
      <c r="B2668" s="16">
        <v>45755</v>
      </c>
      <c r="C2668" s="6" t="s">
        <v>3</v>
      </c>
      <c r="D26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8" s="7">
        <v>65.78</v>
      </c>
      <c r="F2668" s="11">
        <v>2.1480250000000001</v>
      </c>
      <c r="G2668" s="11">
        <v>53.482914834066378</v>
      </c>
      <c r="I2668" s="28"/>
    </row>
    <row r="2669" spans="2:9" x14ac:dyDescent="0.35">
      <c r="B2669" s="16">
        <v>45756</v>
      </c>
      <c r="C2669" s="6" t="s">
        <v>3</v>
      </c>
      <c r="D26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69" s="7">
        <v>88.02</v>
      </c>
      <c r="F2669" s="11">
        <v>3.8520000000000003</v>
      </c>
      <c r="G2669" s="11">
        <v>52.555038503850383</v>
      </c>
      <c r="I2669" s="28"/>
    </row>
    <row r="2670" spans="2:9" x14ac:dyDescent="0.35">
      <c r="B2670" s="16">
        <v>45762</v>
      </c>
      <c r="C2670" s="6" t="s">
        <v>3</v>
      </c>
      <c r="D26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0" s="7">
        <v>88.02</v>
      </c>
      <c r="F2670" s="11">
        <v>1.5434749999999999</v>
      </c>
      <c r="G2670" s="11">
        <v>53.267614259425486</v>
      </c>
      <c r="I2670" s="28"/>
    </row>
    <row r="2671" spans="2:9" x14ac:dyDescent="0.35">
      <c r="B2671" s="16">
        <v>45763</v>
      </c>
      <c r="C2671" s="6" t="s">
        <v>3</v>
      </c>
      <c r="D26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1" s="7">
        <v>62.36</v>
      </c>
      <c r="F2671" s="11">
        <v>3.8065250000000002</v>
      </c>
      <c r="G2671" s="11">
        <v>51.534112353529295</v>
      </c>
      <c r="I2671" s="28"/>
    </row>
    <row r="2672" spans="2:9" x14ac:dyDescent="0.35">
      <c r="B2672" s="16">
        <v>45756</v>
      </c>
      <c r="C2672" s="6" t="s">
        <v>9</v>
      </c>
      <c r="D26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2" s="7">
        <v>170.94</v>
      </c>
      <c r="F2672" s="9">
        <v>2.37005</v>
      </c>
      <c r="G2672" s="10">
        <v>52.997317317317311</v>
      </c>
      <c r="I2672" s="28"/>
    </row>
    <row r="2673" spans="2:9" x14ac:dyDescent="0.35">
      <c r="B2673" s="16">
        <v>45757</v>
      </c>
      <c r="C2673" s="6" t="s">
        <v>9</v>
      </c>
      <c r="D26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3" s="7">
        <v>104.29</v>
      </c>
      <c r="F2673" s="9">
        <v>3.0709000000000004</v>
      </c>
      <c r="G2673" s="10">
        <v>52.984523952695938</v>
      </c>
      <c r="I2673" s="28"/>
    </row>
    <row r="2674" spans="2:9" x14ac:dyDescent="0.35">
      <c r="B2674" s="16">
        <v>45762</v>
      </c>
      <c r="C2674" s="6" t="s">
        <v>9</v>
      </c>
      <c r="D26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4" s="7">
        <v>172.56</v>
      </c>
      <c r="F2674" s="9">
        <v>3.1698750000000002</v>
      </c>
      <c r="G2674" s="10">
        <v>52.261611355457816</v>
      </c>
      <c r="I2674" s="28"/>
    </row>
    <row r="2675" spans="2:9" x14ac:dyDescent="0.35">
      <c r="B2675" s="16">
        <v>45761</v>
      </c>
      <c r="C2675" s="6" t="s">
        <v>6</v>
      </c>
      <c r="D26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5" s="7">
        <v>349.18</v>
      </c>
      <c r="F2675" s="9">
        <v>2.2202500000000005</v>
      </c>
      <c r="G2675" s="10">
        <v>53.105654467502745</v>
      </c>
      <c r="I2675" s="28"/>
    </row>
    <row r="2676" spans="2:9" x14ac:dyDescent="0.35">
      <c r="B2676" s="16">
        <v>45762</v>
      </c>
      <c r="C2676" s="6" t="s">
        <v>6</v>
      </c>
      <c r="D26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6" s="7">
        <v>238.69</v>
      </c>
      <c r="F2676" s="9">
        <v>2.4984500000000001</v>
      </c>
      <c r="G2676" s="10">
        <v>53.150148099538427</v>
      </c>
      <c r="I2676" s="28"/>
    </row>
    <row r="2677" spans="2:9" x14ac:dyDescent="0.35">
      <c r="B2677" s="16">
        <v>45763</v>
      </c>
      <c r="C2677" s="6" t="s">
        <v>6</v>
      </c>
      <c r="D26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7" s="7">
        <v>691.7</v>
      </c>
      <c r="F2677" s="9">
        <v>2.6027750000000003</v>
      </c>
      <c r="G2677" s="10">
        <v>53.020877270169805</v>
      </c>
      <c r="I2677" s="28"/>
    </row>
    <row r="2678" spans="2:9" ht="15.65" customHeight="1" x14ac:dyDescent="0.35">
      <c r="B2678" s="16">
        <v>45761</v>
      </c>
      <c r="C2678" s="6" t="s">
        <v>2</v>
      </c>
      <c r="D26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8" s="7">
        <v>397.14</v>
      </c>
      <c r="F2678" s="9">
        <v>0.20865000000000003</v>
      </c>
      <c r="G2678" s="11">
        <v>54.420255000000004</v>
      </c>
      <c r="I2678" s="28"/>
    </row>
    <row r="2679" spans="2:9" x14ac:dyDescent="0.35">
      <c r="B2679" s="16">
        <v>45762</v>
      </c>
      <c r="C2679" s="6" t="s">
        <v>2</v>
      </c>
      <c r="D26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79" s="7">
        <v>329.44</v>
      </c>
      <c r="F2679" s="9">
        <v>0.68480000000000008</v>
      </c>
      <c r="G2679" s="11">
        <v>53.881596208780294</v>
      </c>
      <c r="I2679" s="28"/>
    </row>
    <row r="2680" spans="2:9" x14ac:dyDescent="0.35">
      <c r="B2680" s="16">
        <v>45763</v>
      </c>
      <c r="C2680" s="6" t="s">
        <v>2</v>
      </c>
      <c r="D26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0" s="7">
        <v>322.04000000000002</v>
      </c>
      <c r="F2680" s="9">
        <v>0.21132500000000001</v>
      </c>
      <c r="G2680" s="11">
        <v>53.749851072001611</v>
      </c>
      <c r="I2680" s="28"/>
    </row>
    <row r="2681" spans="2:9" x14ac:dyDescent="0.35">
      <c r="B2681" s="16">
        <v>45761</v>
      </c>
      <c r="C2681" s="6" t="s">
        <v>7</v>
      </c>
      <c r="D26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1" s="7">
        <v>99.24</v>
      </c>
      <c r="F2681" s="9">
        <v>0.80517499999999997</v>
      </c>
      <c r="G2681" s="11">
        <v>54.041231030476766</v>
      </c>
      <c r="I2681" s="28"/>
    </row>
    <row r="2682" spans="2:9" x14ac:dyDescent="0.35">
      <c r="B2682" s="16">
        <v>45762</v>
      </c>
      <c r="C2682" s="6" t="s">
        <v>7</v>
      </c>
      <c r="D26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2" s="7">
        <v>99.97</v>
      </c>
      <c r="F2682" s="9">
        <v>13.623775</v>
      </c>
      <c r="G2682" s="11">
        <v>45.925466270712718</v>
      </c>
      <c r="I2682" s="28"/>
    </row>
    <row r="2683" spans="2:9" x14ac:dyDescent="0.35">
      <c r="B2683" s="16">
        <v>45761</v>
      </c>
      <c r="C2683" s="6" t="s">
        <v>4</v>
      </c>
      <c r="D26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3" s="7">
        <v>150.32</v>
      </c>
      <c r="F2683" s="11">
        <v>2.784675</v>
      </c>
      <c r="G2683" s="11">
        <v>52.141916768775694</v>
      </c>
      <c r="I2683" s="28"/>
    </row>
    <row r="2684" spans="2:9" x14ac:dyDescent="0.35">
      <c r="B2684" s="16">
        <v>45762</v>
      </c>
      <c r="C2684" s="6" t="s">
        <v>4</v>
      </c>
      <c r="D26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4" s="7">
        <v>100.35</v>
      </c>
      <c r="F2684" s="11">
        <v>3.5015750000000003</v>
      </c>
      <c r="G2684" s="11">
        <v>52.608269578957895</v>
      </c>
      <c r="I2684" s="28"/>
    </row>
    <row r="2685" spans="2:9" x14ac:dyDescent="0.35">
      <c r="B2685" s="16">
        <v>45769</v>
      </c>
      <c r="C2685" s="6" t="s">
        <v>5</v>
      </c>
      <c r="D26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5" s="7">
        <v>166.7</v>
      </c>
      <c r="F2685" s="9">
        <v>1.38565</v>
      </c>
      <c r="G2685" s="10">
        <v>53.029485492173386</v>
      </c>
      <c r="I2685" s="28"/>
    </row>
    <row r="2686" spans="2:9" x14ac:dyDescent="0.35">
      <c r="B2686" s="16">
        <v>45771</v>
      </c>
      <c r="C2686" s="6" t="s">
        <v>5</v>
      </c>
      <c r="D26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6" s="7">
        <v>132.75</v>
      </c>
      <c r="F2686" s="9">
        <v>0.74365000000000003</v>
      </c>
      <c r="G2686" s="10">
        <v>52.208983182730933</v>
      </c>
      <c r="I2686" s="28"/>
    </row>
    <row r="2687" spans="2:9" x14ac:dyDescent="0.35">
      <c r="B2687" s="16">
        <v>45773</v>
      </c>
      <c r="C2687" s="6" t="s">
        <v>5</v>
      </c>
      <c r="D26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7" s="7">
        <v>32.21</v>
      </c>
      <c r="F2687" s="9">
        <v>0.91752500000000015</v>
      </c>
      <c r="G2687" s="10">
        <v>53.553461576576581</v>
      </c>
      <c r="I2687" s="28"/>
    </row>
    <row r="2688" spans="2:9" x14ac:dyDescent="0.35">
      <c r="B2688" s="16">
        <v>45769</v>
      </c>
      <c r="C2688" s="6" t="s">
        <v>3</v>
      </c>
      <c r="D26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8" s="7">
        <v>65.62</v>
      </c>
      <c r="F2688" s="11">
        <v>9.1378000000000004</v>
      </c>
      <c r="G2688" s="11">
        <v>46.775905250225662</v>
      </c>
      <c r="I2688" s="28"/>
    </row>
    <row r="2689" spans="2:9" x14ac:dyDescent="0.35">
      <c r="B2689" s="16">
        <v>45770</v>
      </c>
      <c r="C2689" s="6" t="s">
        <v>3</v>
      </c>
      <c r="D26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89" s="7">
        <v>20.82</v>
      </c>
      <c r="F2689" s="11">
        <v>6.2568250000000001</v>
      </c>
      <c r="G2689" s="11">
        <v>47.40006537695448</v>
      </c>
      <c r="I2689" s="28"/>
    </row>
    <row r="2690" spans="2:9" x14ac:dyDescent="0.35">
      <c r="B2690" s="16">
        <v>45772</v>
      </c>
      <c r="C2690" s="6" t="s">
        <v>3</v>
      </c>
      <c r="D26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0" s="7">
        <v>87.5</v>
      </c>
      <c r="F2690" s="11">
        <v>3.2822249999999999</v>
      </c>
      <c r="G2690" s="11">
        <v>52.572848905642509</v>
      </c>
      <c r="I2690" s="28"/>
    </row>
    <row r="2691" spans="2:9" x14ac:dyDescent="0.35">
      <c r="B2691" s="16">
        <v>45773</v>
      </c>
      <c r="C2691" s="6" t="s">
        <v>3</v>
      </c>
      <c r="D26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1" s="7">
        <v>44.66</v>
      </c>
      <c r="F2691" s="11">
        <v>2.2871250000000005</v>
      </c>
      <c r="G2691" s="11">
        <v>53.516293129651977</v>
      </c>
      <c r="I2691" s="28"/>
    </row>
    <row r="2692" spans="2:9" x14ac:dyDescent="0.35">
      <c r="B2692" s="16">
        <v>45768</v>
      </c>
      <c r="C2692" s="6" t="s">
        <v>6</v>
      </c>
      <c r="D26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2" s="7">
        <v>139.65</v>
      </c>
      <c r="F2692" s="9">
        <v>1.8564500000000002</v>
      </c>
      <c r="G2692" s="10">
        <v>53.745261685976821</v>
      </c>
      <c r="I2692" s="28"/>
    </row>
    <row r="2693" spans="2:9" x14ac:dyDescent="0.35">
      <c r="B2693" s="16">
        <v>45769</v>
      </c>
      <c r="C2693" s="6" t="s">
        <v>6</v>
      </c>
      <c r="D26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3" s="7">
        <v>69.38</v>
      </c>
      <c r="F2693" s="9">
        <v>2.0062500000000001</v>
      </c>
      <c r="G2693" s="10">
        <v>53.506609523809516</v>
      </c>
      <c r="I2693" s="28"/>
    </row>
    <row r="2694" spans="2:9" x14ac:dyDescent="0.35">
      <c r="B2694" s="16">
        <v>45771</v>
      </c>
      <c r="C2694" s="6" t="s">
        <v>6</v>
      </c>
      <c r="D26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4" s="7">
        <v>34.020000000000003</v>
      </c>
      <c r="F2694" s="9">
        <v>1.361575</v>
      </c>
      <c r="G2694" s="10">
        <v>54.218675337668834</v>
      </c>
      <c r="I2694" s="28"/>
    </row>
    <row r="2695" spans="2:9" x14ac:dyDescent="0.35">
      <c r="B2695" s="16">
        <v>45772</v>
      </c>
      <c r="C2695" s="6" t="s">
        <v>6</v>
      </c>
      <c r="D26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5" s="7">
        <v>70.260000000000005</v>
      </c>
      <c r="F2695" s="9">
        <v>2.2202500000000005</v>
      </c>
      <c r="G2695" s="10">
        <v>53.752664840847473</v>
      </c>
      <c r="I2695" s="28"/>
    </row>
    <row r="2696" spans="2:9" x14ac:dyDescent="0.35">
      <c r="B2696" s="16">
        <v>45773</v>
      </c>
      <c r="C2696" s="6" t="s">
        <v>6</v>
      </c>
      <c r="D26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6" s="7">
        <v>548.46</v>
      </c>
      <c r="F2696" s="9">
        <v>1.7922500000000001</v>
      </c>
      <c r="G2696" s="10">
        <v>53.764688847607054</v>
      </c>
      <c r="I2696" s="28"/>
    </row>
    <row r="2697" spans="2:9" x14ac:dyDescent="0.35">
      <c r="B2697" s="16">
        <v>45768</v>
      </c>
      <c r="C2697" s="6" t="s">
        <v>2</v>
      </c>
      <c r="D26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7" s="7">
        <v>198.26</v>
      </c>
      <c r="F2697" s="9">
        <v>0.91485000000000005</v>
      </c>
      <c r="G2697" s="11">
        <v>53.418905818474492</v>
      </c>
      <c r="I2697" s="28"/>
    </row>
    <row r="2698" spans="2:9" x14ac:dyDescent="0.35">
      <c r="B2698" s="16">
        <v>45769</v>
      </c>
      <c r="C2698" s="6" t="s">
        <v>2</v>
      </c>
      <c r="D26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8" s="7">
        <v>218.9</v>
      </c>
      <c r="F2698" s="9">
        <v>0.98707500000000004</v>
      </c>
      <c r="G2698" s="11">
        <v>53.430914541800639</v>
      </c>
      <c r="I2698" s="28"/>
    </row>
    <row r="2699" spans="2:9" x14ac:dyDescent="0.35">
      <c r="B2699" s="16">
        <v>45770</v>
      </c>
      <c r="C2699" s="6" t="s">
        <v>2</v>
      </c>
      <c r="D26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699" s="7">
        <v>200.62</v>
      </c>
      <c r="F2699" s="9">
        <v>1.2251500000000002</v>
      </c>
      <c r="G2699" s="11">
        <v>53.435731145468203</v>
      </c>
      <c r="I2699" s="28"/>
    </row>
    <row r="2700" spans="2:9" x14ac:dyDescent="0.35">
      <c r="B2700" s="16">
        <v>45771</v>
      </c>
      <c r="C2700" s="6" t="s">
        <v>2</v>
      </c>
      <c r="D27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0" s="7">
        <v>220.94</v>
      </c>
      <c r="F2700" s="9">
        <v>3.1190500000000001</v>
      </c>
      <c r="G2700" s="11">
        <v>51.753741216623169</v>
      </c>
      <c r="I2700" s="28"/>
    </row>
    <row r="2701" spans="2:9" x14ac:dyDescent="0.35">
      <c r="B2701" s="16">
        <v>45772</v>
      </c>
      <c r="C2701" s="6" t="s">
        <v>2</v>
      </c>
      <c r="D27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1" s="7">
        <v>439.68</v>
      </c>
      <c r="F2701" s="9">
        <v>0.69015000000000004</v>
      </c>
      <c r="G2701" s="11">
        <v>53.54810229853571</v>
      </c>
      <c r="I2701" s="28"/>
    </row>
    <row r="2702" spans="2:9" x14ac:dyDescent="0.35">
      <c r="B2702" s="16">
        <v>45771</v>
      </c>
      <c r="C2702" s="6" t="s">
        <v>7</v>
      </c>
      <c r="D27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2" s="7">
        <v>25.15</v>
      </c>
      <c r="F2702" s="9">
        <v>1.2304999999999999</v>
      </c>
      <c r="G2702" s="11">
        <v>53.687001571157118</v>
      </c>
      <c r="I2702" s="28"/>
    </row>
    <row r="2703" spans="2:9" x14ac:dyDescent="0.35">
      <c r="B2703" s="16">
        <v>45768</v>
      </c>
      <c r="C2703" s="6" t="s">
        <v>4</v>
      </c>
      <c r="D27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3" s="7">
        <v>170.15</v>
      </c>
      <c r="F2703" s="11">
        <v>1.9928750000000002</v>
      </c>
      <c r="G2703" s="11">
        <v>53.455435912817435</v>
      </c>
      <c r="I2703" s="28"/>
    </row>
    <row r="2704" spans="2:9" x14ac:dyDescent="0.35">
      <c r="B2704" s="16">
        <v>45769</v>
      </c>
      <c r="C2704" s="6" t="s">
        <v>4</v>
      </c>
      <c r="D27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4" s="7">
        <v>72.900000000000006</v>
      </c>
      <c r="F2704" s="11">
        <v>1.7895750000000001</v>
      </c>
      <c r="G2704" s="11">
        <v>53.641445572442755</v>
      </c>
      <c r="I2704" s="28"/>
    </row>
    <row r="2705" spans="2:9" x14ac:dyDescent="0.35">
      <c r="B2705" s="16">
        <v>45770</v>
      </c>
      <c r="C2705" s="6" t="s">
        <v>4</v>
      </c>
      <c r="D27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5" s="7">
        <v>73.42</v>
      </c>
      <c r="F2705" s="11">
        <v>5.9893250000000009</v>
      </c>
      <c r="G2705" s="11">
        <v>48.982605724299063</v>
      </c>
      <c r="I2705" s="28"/>
    </row>
    <row r="2706" spans="2:9" x14ac:dyDescent="0.35">
      <c r="B2706" s="16">
        <v>45771</v>
      </c>
      <c r="C2706" s="6" t="s">
        <v>4</v>
      </c>
      <c r="D27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6" s="7">
        <v>148.94999999999999</v>
      </c>
      <c r="F2706" s="11">
        <v>2.5546250000000001</v>
      </c>
      <c r="G2706" s="11">
        <v>51.793917252747256</v>
      </c>
      <c r="I2706" s="28"/>
    </row>
    <row r="2707" spans="2:9" x14ac:dyDescent="0.35">
      <c r="B2707" s="16">
        <v>45771</v>
      </c>
      <c r="C2707" s="6" t="s">
        <v>4</v>
      </c>
      <c r="D27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7" s="7">
        <v>198.84</v>
      </c>
      <c r="F2707" s="11">
        <v>3.7343000000000006</v>
      </c>
      <c r="G2707" s="11">
        <v>52.449675921351634</v>
      </c>
      <c r="I2707" s="28"/>
    </row>
    <row r="2708" spans="2:9" x14ac:dyDescent="0.35">
      <c r="B2708" s="16">
        <v>45775</v>
      </c>
      <c r="C2708" s="6" t="s">
        <v>5</v>
      </c>
      <c r="D27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8" s="7">
        <v>133.81</v>
      </c>
      <c r="F2708" s="9">
        <v>0.96835000000000004</v>
      </c>
      <c r="G2708" s="10">
        <v>53.631246756777188</v>
      </c>
      <c r="I2708" s="28"/>
    </row>
    <row r="2709" spans="2:9" x14ac:dyDescent="0.35">
      <c r="B2709" s="16">
        <v>45776</v>
      </c>
      <c r="C2709" s="6" t="s">
        <v>5</v>
      </c>
      <c r="D27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09" s="7">
        <v>101.82</v>
      </c>
      <c r="F2709" s="9">
        <v>0.59920000000000007</v>
      </c>
      <c r="G2709" s="10">
        <v>54.503464938049561</v>
      </c>
      <c r="I2709" s="28"/>
    </row>
    <row r="2710" spans="2:9" x14ac:dyDescent="0.35">
      <c r="B2710" s="16">
        <v>45779</v>
      </c>
      <c r="C2710" s="6" t="s">
        <v>5</v>
      </c>
      <c r="D27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0" s="7">
        <v>33.020000000000003</v>
      </c>
      <c r="F2710" s="9">
        <v>0.28087500000000004</v>
      </c>
      <c r="G2710" s="10">
        <v>54.646213835218738</v>
      </c>
      <c r="I2710" s="28"/>
    </row>
    <row r="2711" spans="2:9" x14ac:dyDescent="0.35">
      <c r="B2711" s="16">
        <v>45780</v>
      </c>
      <c r="C2711" s="6" t="s">
        <v>5</v>
      </c>
      <c r="D27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1" s="7">
        <v>101.66</v>
      </c>
      <c r="F2711" s="9">
        <v>3.7530250000000001</v>
      </c>
      <c r="G2711" s="10">
        <v>51.43989131926385</v>
      </c>
      <c r="I2711" s="28"/>
    </row>
    <row r="2712" spans="2:9" x14ac:dyDescent="0.35">
      <c r="B2712" s="16">
        <v>45775</v>
      </c>
      <c r="C2712" s="6" t="s">
        <v>3</v>
      </c>
      <c r="D27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2" s="7">
        <v>44.66</v>
      </c>
      <c r="F2712" s="11">
        <v>3.0120500000000003</v>
      </c>
      <c r="G2712" s="11">
        <v>52.982444933920704</v>
      </c>
      <c r="I2712" s="28"/>
    </row>
    <row r="2713" spans="2:9" x14ac:dyDescent="0.35">
      <c r="B2713" s="16">
        <v>45777</v>
      </c>
      <c r="C2713" s="6" t="s">
        <v>3</v>
      </c>
      <c r="D27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3" s="7">
        <v>64.459999999999994</v>
      </c>
      <c r="F2713" s="11">
        <v>1.3000500000000001</v>
      </c>
      <c r="G2713" s="11">
        <v>54.212069166165115</v>
      </c>
      <c r="I2713" s="28"/>
    </row>
    <row r="2714" spans="2:9" x14ac:dyDescent="0.35">
      <c r="B2714" s="16">
        <v>45779</v>
      </c>
      <c r="C2714" s="6" t="s">
        <v>3</v>
      </c>
      <c r="D27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4" s="7">
        <v>19.494</v>
      </c>
      <c r="F2714" s="11">
        <v>1.5755749999999999</v>
      </c>
      <c r="G2714" s="11">
        <v>52.666368684843619</v>
      </c>
      <c r="I2714" s="28"/>
    </row>
    <row r="2715" spans="2:9" x14ac:dyDescent="0.35">
      <c r="B2715" s="16">
        <v>45775</v>
      </c>
      <c r="C2715" s="6" t="s">
        <v>6</v>
      </c>
      <c r="D27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5" s="7">
        <v>375.71</v>
      </c>
      <c r="F2715" s="9">
        <v>2.2229250000000005</v>
      </c>
      <c r="G2715" s="10">
        <v>53.471959277981924</v>
      </c>
      <c r="I2715" s="28"/>
    </row>
    <row r="2716" spans="2:9" x14ac:dyDescent="0.35">
      <c r="B2716" s="16">
        <v>45776</v>
      </c>
      <c r="C2716" s="6" t="s">
        <v>6</v>
      </c>
      <c r="D27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6" s="7">
        <v>313.3</v>
      </c>
      <c r="F2716" s="9">
        <v>2.5813750000000004</v>
      </c>
      <c r="G2716" s="10">
        <v>52.345682715589959</v>
      </c>
      <c r="I2716" s="28"/>
    </row>
    <row r="2717" spans="2:9" x14ac:dyDescent="0.35">
      <c r="B2717" s="16">
        <v>45777</v>
      </c>
      <c r="C2717" s="6" t="s">
        <v>6</v>
      </c>
      <c r="D27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7" s="7">
        <v>241.91</v>
      </c>
      <c r="F2717" s="9">
        <v>2.30585</v>
      </c>
      <c r="G2717" s="10">
        <v>53.719261369315348</v>
      </c>
      <c r="I2717" s="28"/>
    </row>
    <row r="2718" spans="2:9" x14ac:dyDescent="0.35">
      <c r="B2718" s="16">
        <v>45779</v>
      </c>
      <c r="C2718" s="6" t="s">
        <v>6</v>
      </c>
      <c r="D27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8" s="7">
        <v>103.52</v>
      </c>
      <c r="F2718" s="9">
        <v>2.9050500000000001</v>
      </c>
      <c r="G2718" s="10">
        <v>51.837299996235316</v>
      </c>
      <c r="I2718" s="28"/>
    </row>
    <row r="2719" spans="2:9" x14ac:dyDescent="0.35">
      <c r="B2719" s="16">
        <v>45780</v>
      </c>
      <c r="C2719" s="6" t="s">
        <v>6</v>
      </c>
      <c r="D27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19" s="7">
        <v>394.57</v>
      </c>
      <c r="F2719" s="9">
        <v>2.4235500000000001</v>
      </c>
      <c r="G2719" s="10">
        <v>53.02664658909309</v>
      </c>
      <c r="I2719" s="28"/>
    </row>
    <row r="2720" spans="2:9" x14ac:dyDescent="0.35">
      <c r="B2720" s="16">
        <v>45773</v>
      </c>
      <c r="C2720" s="6" t="s">
        <v>2</v>
      </c>
      <c r="D27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0" s="7">
        <v>220.94</v>
      </c>
      <c r="F2720" s="9">
        <v>1.5354500000000002</v>
      </c>
      <c r="G2720" s="11">
        <v>53.66958373581685</v>
      </c>
      <c r="I2720" s="28"/>
    </row>
    <row r="2721" spans="2:9" x14ac:dyDescent="0.35">
      <c r="B2721" s="16">
        <v>45775</v>
      </c>
      <c r="C2721" s="6" t="s">
        <v>2</v>
      </c>
      <c r="D27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1" s="7">
        <v>439.68</v>
      </c>
      <c r="F2721" s="9">
        <v>1.5060250000000002</v>
      </c>
      <c r="G2721" s="11">
        <v>51.411864120163131</v>
      </c>
      <c r="I2721" s="28"/>
    </row>
    <row r="2722" spans="2:9" x14ac:dyDescent="0.35">
      <c r="B2722" s="16">
        <v>45776</v>
      </c>
      <c r="C2722" s="6" t="s">
        <v>2</v>
      </c>
      <c r="D27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2" s="7">
        <v>234.58</v>
      </c>
      <c r="F2722" s="9">
        <v>1.3776250000000001</v>
      </c>
      <c r="G2722" s="11">
        <v>52.993271949034437</v>
      </c>
      <c r="I2722" s="28"/>
    </row>
    <row r="2723" spans="2:9" x14ac:dyDescent="0.35">
      <c r="B2723" s="16">
        <v>45777</v>
      </c>
      <c r="C2723" s="6" t="s">
        <v>2</v>
      </c>
      <c r="D27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3" s="7">
        <v>612</v>
      </c>
      <c r="F2723" s="9">
        <v>0.77842500000000003</v>
      </c>
      <c r="G2723" s="11">
        <v>52.956198025725392</v>
      </c>
      <c r="I2723" s="28"/>
    </row>
    <row r="2724" spans="2:9" x14ac:dyDescent="0.35">
      <c r="B2724" s="16">
        <v>45779</v>
      </c>
      <c r="C2724" s="6" t="s">
        <v>2</v>
      </c>
      <c r="D27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4" s="7">
        <v>521.71</v>
      </c>
      <c r="F2724" s="9">
        <v>0.59117500000000001</v>
      </c>
      <c r="G2724" s="11">
        <v>53.137420493864411</v>
      </c>
      <c r="I2724" s="28"/>
    </row>
    <row r="2725" spans="2:9" x14ac:dyDescent="0.35">
      <c r="B2725" s="16">
        <v>45771</v>
      </c>
      <c r="C2725" s="6" t="s">
        <v>4</v>
      </c>
      <c r="D27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5" s="7">
        <v>148.94999999999999</v>
      </c>
      <c r="F2725" s="11">
        <v>3.7343000000000006</v>
      </c>
      <c r="G2725" s="11">
        <v>52.449675921351634</v>
      </c>
      <c r="I2725" s="28"/>
    </row>
    <row r="2726" spans="2:9" x14ac:dyDescent="0.35">
      <c r="B2726" s="16">
        <v>45772</v>
      </c>
      <c r="C2726" s="6" t="s">
        <v>4</v>
      </c>
      <c r="D27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6" s="7">
        <v>198.84</v>
      </c>
      <c r="F2726" s="11">
        <v>4.1676500000000001</v>
      </c>
      <c r="G2726" s="11">
        <v>51.655544028319824</v>
      </c>
      <c r="I2726" s="28"/>
    </row>
    <row r="2727" spans="2:9" x14ac:dyDescent="0.35">
      <c r="B2727" s="16">
        <v>45775</v>
      </c>
      <c r="C2727" s="6" t="s">
        <v>4</v>
      </c>
      <c r="D27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7" s="7">
        <v>100.59</v>
      </c>
      <c r="F2727" s="11">
        <v>1.8136500000000002</v>
      </c>
      <c r="G2727" s="11">
        <v>53.685718253968254</v>
      </c>
      <c r="I2727" s="28"/>
    </row>
    <row r="2728" spans="2:9" x14ac:dyDescent="0.35">
      <c r="B2728" s="16">
        <v>45776</v>
      </c>
      <c r="C2728" s="6" t="s">
        <v>4</v>
      </c>
      <c r="D27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8" s="7">
        <v>200.78</v>
      </c>
      <c r="F2728" s="11">
        <v>1.8484250000000002</v>
      </c>
      <c r="G2728" s="11">
        <v>53.282013965087273</v>
      </c>
      <c r="I2728" s="28"/>
    </row>
    <row r="2729" spans="2:9" x14ac:dyDescent="0.35">
      <c r="B2729" s="16">
        <v>45783</v>
      </c>
      <c r="C2729" s="6" t="s">
        <v>5</v>
      </c>
      <c r="D27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29" s="7">
        <v>116.53</v>
      </c>
      <c r="F2729" s="9">
        <v>1.2064250000000001</v>
      </c>
      <c r="G2729" s="10">
        <v>53.64552721439356</v>
      </c>
      <c r="I2729" s="28"/>
    </row>
    <row r="2730" spans="2:9" x14ac:dyDescent="0.35">
      <c r="B2730" s="16">
        <v>45785</v>
      </c>
      <c r="C2730" s="6" t="s">
        <v>5</v>
      </c>
      <c r="D27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0" s="7">
        <v>98.5</v>
      </c>
      <c r="F2730" s="9">
        <v>0.64200000000000002</v>
      </c>
      <c r="G2730" s="10">
        <v>53.760672377321946</v>
      </c>
      <c r="I2730" s="28"/>
    </row>
    <row r="2731" spans="2:9" x14ac:dyDescent="0.35">
      <c r="B2731" s="16">
        <v>45787</v>
      </c>
      <c r="C2731" s="6" t="s">
        <v>5</v>
      </c>
      <c r="D27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1" s="7">
        <v>65.260000000000005</v>
      </c>
      <c r="F2731" s="9">
        <v>4.2452250000000005</v>
      </c>
      <c r="G2731" s="10">
        <v>51.115608003106829</v>
      </c>
      <c r="I2731" s="28"/>
    </row>
    <row r="2732" spans="2:9" x14ac:dyDescent="0.35">
      <c r="B2732" s="16">
        <v>45782</v>
      </c>
      <c r="C2732" s="6" t="s">
        <v>3</v>
      </c>
      <c r="D27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2" s="7">
        <v>135.44</v>
      </c>
      <c r="F2732" s="11">
        <v>1.2652750000000001</v>
      </c>
      <c r="G2732" s="11">
        <v>54.336938655846751</v>
      </c>
      <c r="I2732" s="28"/>
    </row>
    <row r="2733" spans="2:9" x14ac:dyDescent="0.35">
      <c r="B2733" s="16">
        <v>45783</v>
      </c>
      <c r="C2733" s="6" t="s">
        <v>3</v>
      </c>
      <c r="D27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3" s="7">
        <v>43.56</v>
      </c>
      <c r="F2733" s="11">
        <v>3.1404500000000004</v>
      </c>
      <c r="G2733" s="11">
        <v>52.193658308090875</v>
      </c>
      <c r="I2733" s="28"/>
    </row>
    <row r="2734" spans="2:9" x14ac:dyDescent="0.35">
      <c r="B2734" s="16">
        <v>45784</v>
      </c>
      <c r="C2734" s="6" t="s">
        <v>3</v>
      </c>
      <c r="D27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4" s="7">
        <v>66.540000000000006</v>
      </c>
      <c r="F2734" s="11">
        <v>4.7668500000000007</v>
      </c>
      <c r="G2734" s="11">
        <v>48.044410770094856</v>
      </c>
      <c r="I2734" s="28"/>
    </row>
    <row r="2735" spans="2:9" x14ac:dyDescent="0.35">
      <c r="B2735" s="16">
        <v>45785</v>
      </c>
      <c r="C2735" s="6" t="s">
        <v>3</v>
      </c>
      <c r="D27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5" s="7">
        <v>65.98</v>
      </c>
      <c r="F2735" s="11">
        <v>1.3161</v>
      </c>
      <c r="G2735" s="11">
        <v>53.700735504788504</v>
      </c>
      <c r="I2735" s="28"/>
    </row>
    <row r="2736" spans="2:9" x14ac:dyDescent="0.35">
      <c r="B2736" s="16">
        <v>45786</v>
      </c>
      <c r="C2736" s="6" t="s">
        <v>3</v>
      </c>
      <c r="D27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6" s="7">
        <v>67.16</v>
      </c>
      <c r="F2736" s="11">
        <v>2.3406250000000002</v>
      </c>
      <c r="G2736" s="11">
        <v>53.148328220551377</v>
      </c>
      <c r="I2736" s="28"/>
    </row>
    <row r="2737" spans="2:9" x14ac:dyDescent="0.35">
      <c r="B2737" s="16">
        <v>45783</v>
      </c>
      <c r="C2737" s="6" t="s">
        <v>6</v>
      </c>
      <c r="D27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7" s="7">
        <v>103.27</v>
      </c>
      <c r="F2737" s="9">
        <v>2.5305500000000003</v>
      </c>
      <c r="G2737" s="10">
        <v>53.110793464136691</v>
      </c>
      <c r="I2737" s="28"/>
    </row>
    <row r="2738" spans="2:9" x14ac:dyDescent="0.35">
      <c r="B2738" s="16">
        <v>45784</v>
      </c>
      <c r="C2738" s="6" t="s">
        <v>6</v>
      </c>
      <c r="D27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8" s="7">
        <v>293.29000000000002</v>
      </c>
      <c r="F2738" s="9">
        <v>1.498</v>
      </c>
      <c r="G2738" s="10">
        <v>54.316901282743451</v>
      </c>
      <c r="I2738" s="28"/>
    </row>
    <row r="2739" spans="2:9" x14ac:dyDescent="0.35">
      <c r="B2739" s="16">
        <v>45785</v>
      </c>
      <c r="C2739" s="6" t="s">
        <v>6</v>
      </c>
      <c r="D27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39" s="7">
        <v>367.86</v>
      </c>
      <c r="F2739" s="9">
        <v>2.3647</v>
      </c>
      <c r="G2739" s="10">
        <v>53.164302073775417</v>
      </c>
      <c r="I2739" s="28"/>
    </row>
    <row r="2740" spans="2:9" x14ac:dyDescent="0.35">
      <c r="B2740" s="16">
        <v>45786</v>
      </c>
      <c r="C2740" s="6" t="s">
        <v>6</v>
      </c>
      <c r="D27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0" s="7">
        <v>105.81</v>
      </c>
      <c r="F2740" s="9">
        <v>2.0436999999999999</v>
      </c>
      <c r="G2740" s="10">
        <v>53.801482369393661</v>
      </c>
      <c r="I2740" s="28"/>
    </row>
    <row r="2741" spans="2:9" x14ac:dyDescent="0.35">
      <c r="B2741" s="16">
        <v>45787</v>
      </c>
      <c r="C2741" s="6" t="s">
        <v>6</v>
      </c>
      <c r="D27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1" s="7">
        <v>485.89</v>
      </c>
      <c r="F2741" s="9">
        <v>2.1480250000000001</v>
      </c>
      <c r="G2741" s="10">
        <v>53.184776602564099</v>
      </c>
      <c r="I2741" s="28"/>
    </row>
    <row r="2742" spans="2:9" x14ac:dyDescent="0.35">
      <c r="B2742" s="16">
        <v>45782</v>
      </c>
      <c r="C2742" s="6" t="s">
        <v>2</v>
      </c>
      <c r="D27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2" s="7">
        <v>30.66</v>
      </c>
      <c r="F2742" s="9">
        <v>0.10700000000000001</v>
      </c>
      <c r="G2742" s="11">
        <v>54.535226706527155</v>
      </c>
      <c r="I2742" s="28"/>
    </row>
    <row r="2743" spans="2:9" x14ac:dyDescent="0.35">
      <c r="B2743" s="16">
        <v>45783</v>
      </c>
      <c r="C2743" s="6" t="s">
        <v>2</v>
      </c>
      <c r="D27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3" s="7">
        <v>365.51</v>
      </c>
      <c r="F2743" s="9">
        <v>0.59920000000000007</v>
      </c>
      <c r="G2743" s="11">
        <v>53.351687430167594</v>
      </c>
      <c r="I2743" s="28"/>
    </row>
    <row r="2744" spans="2:9" x14ac:dyDescent="0.35">
      <c r="B2744" s="16">
        <v>45784</v>
      </c>
      <c r="C2744" s="6" t="s">
        <v>2</v>
      </c>
      <c r="D27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4" s="7">
        <v>264.04000000000002</v>
      </c>
      <c r="F2744" s="9">
        <v>0.70887500000000003</v>
      </c>
      <c r="G2744" s="11">
        <v>54.47185123541729</v>
      </c>
      <c r="I2744" s="28"/>
    </row>
    <row r="2745" spans="2:9" x14ac:dyDescent="0.35">
      <c r="B2745" s="16">
        <v>45785</v>
      </c>
      <c r="C2745" s="6" t="s">
        <v>2</v>
      </c>
      <c r="D27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5" s="7">
        <v>217.84</v>
      </c>
      <c r="F2745" s="9">
        <v>0.9416000000000001</v>
      </c>
      <c r="G2745" s="11">
        <v>53.895272709143484</v>
      </c>
      <c r="I2745" s="28"/>
    </row>
    <row r="2746" spans="2:9" x14ac:dyDescent="0.35">
      <c r="B2746" s="16">
        <v>45786</v>
      </c>
      <c r="C2746" s="6" t="s">
        <v>2</v>
      </c>
      <c r="D27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6" s="7">
        <v>383.45</v>
      </c>
      <c r="F2746" s="9">
        <v>0.58850000000000013</v>
      </c>
      <c r="G2746" s="11">
        <v>53.855278472152783</v>
      </c>
      <c r="I2746" s="28"/>
    </row>
    <row r="2747" spans="2:9" x14ac:dyDescent="0.35">
      <c r="B2747" s="16">
        <v>45787</v>
      </c>
      <c r="C2747" s="6" t="s">
        <v>2</v>
      </c>
      <c r="D27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7" s="7">
        <v>187.64</v>
      </c>
      <c r="F2747" s="9">
        <v>0.96032499999999998</v>
      </c>
      <c r="G2747" s="11">
        <v>53.056382302460491</v>
      </c>
      <c r="I2747" s="28"/>
    </row>
    <row r="2748" spans="2:9" x14ac:dyDescent="0.35">
      <c r="B2748" s="16">
        <v>45786</v>
      </c>
      <c r="C2748" s="6" t="s">
        <v>9</v>
      </c>
      <c r="D27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8" s="7">
        <v>170.46</v>
      </c>
      <c r="F2748" s="9">
        <v>3.6166</v>
      </c>
      <c r="G2748" s="10">
        <v>52.382002207948609</v>
      </c>
      <c r="I2748" s="28"/>
    </row>
    <row r="2749" spans="2:9" x14ac:dyDescent="0.35">
      <c r="B2749" s="16">
        <v>45787</v>
      </c>
      <c r="C2749" s="6" t="s">
        <v>3</v>
      </c>
      <c r="D27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49" s="7">
        <v>67.16</v>
      </c>
      <c r="F2749" s="11">
        <v>2.3379500000000002</v>
      </c>
      <c r="G2749" s="11">
        <v>52.540456651051528</v>
      </c>
      <c r="I2749" s="28"/>
    </row>
    <row r="2750" spans="2:9" x14ac:dyDescent="0.35">
      <c r="B2750" s="16">
        <v>45790</v>
      </c>
      <c r="C2750" s="6" t="s">
        <v>3</v>
      </c>
      <c r="D27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0" s="7">
        <v>23.42</v>
      </c>
      <c r="F2750" s="11">
        <v>2.9558750000000003</v>
      </c>
      <c r="G2750" s="11">
        <v>52.181094176706821</v>
      </c>
      <c r="I2750" s="28"/>
    </row>
    <row r="2751" spans="2:9" x14ac:dyDescent="0.35">
      <c r="B2751" s="16">
        <v>45792</v>
      </c>
      <c r="C2751" s="6" t="s">
        <v>3</v>
      </c>
      <c r="D27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1" s="7">
        <v>44.06</v>
      </c>
      <c r="F2751" s="11">
        <v>2.3968000000000003</v>
      </c>
      <c r="G2751" s="11">
        <v>50.482820424869431</v>
      </c>
      <c r="I2751" s="28"/>
    </row>
    <row r="2752" spans="2:9" x14ac:dyDescent="0.35">
      <c r="B2752" s="16">
        <v>45793</v>
      </c>
      <c r="C2752" s="6" t="s">
        <v>3</v>
      </c>
      <c r="D27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2" s="7">
        <v>65.819999999999993</v>
      </c>
      <c r="F2752" s="11">
        <v>4.5448249999999994</v>
      </c>
      <c r="G2752" s="11">
        <v>51.45393716644849</v>
      </c>
      <c r="I2752" s="28"/>
    </row>
    <row r="2753" spans="2:9" x14ac:dyDescent="0.35">
      <c r="B2753" s="16">
        <v>45796</v>
      </c>
      <c r="C2753" s="6" t="s">
        <v>3</v>
      </c>
      <c r="D27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3" s="7">
        <v>89.96</v>
      </c>
      <c r="F2753" s="11">
        <v>5.7833500000000004</v>
      </c>
      <c r="G2753" s="11">
        <v>50.520128788670149</v>
      </c>
      <c r="I2753" s="28"/>
    </row>
    <row r="2754" spans="2:9" x14ac:dyDescent="0.35">
      <c r="B2754" s="16">
        <v>45797</v>
      </c>
      <c r="C2754" s="6" t="s">
        <v>3</v>
      </c>
      <c r="D27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4" s="7">
        <v>22.02</v>
      </c>
      <c r="F2754" s="11">
        <v>2.5867249999999999</v>
      </c>
      <c r="G2754" s="11">
        <v>52.589745575221237</v>
      </c>
      <c r="I2754" s="28"/>
    </row>
    <row r="2755" spans="2:9" x14ac:dyDescent="0.35">
      <c r="B2755" s="16">
        <v>45798</v>
      </c>
      <c r="C2755" s="6" t="s">
        <v>3</v>
      </c>
      <c r="D27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5" s="7">
        <v>20.440000000000001</v>
      </c>
      <c r="F2755" s="11">
        <v>9.4828750000000017</v>
      </c>
      <c r="G2755" s="11">
        <v>44.562087750200163</v>
      </c>
      <c r="I2755" s="28"/>
    </row>
    <row r="2756" spans="2:9" x14ac:dyDescent="0.35">
      <c r="B2756" s="16">
        <v>45800</v>
      </c>
      <c r="C2756" s="6" t="s">
        <v>3</v>
      </c>
      <c r="D27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6" s="7">
        <v>45.22</v>
      </c>
      <c r="F2756" s="11">
        <v>3.6808000000000001</v>
      </c>
      <c r="G2756" s="11">
        <v>51.586297335203369</v>
      </c>
      <c r="I2756" s="28"/>
    </row>
    <row r="2757" spans="2:9" x14ac:dyDescent="0.35">
      <c r="B2757" s="16">
        <v>45801</v>
      </c>
      <c r="C2757" s="6" t="s">
        <v>3</v>
      </c>
      <c r="D27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7" s="7">
        <v>22.36</v>
      </c>
      <c r="F2757" s="11">
        <v>3.48285</v>
      </c>
      <c r="G2757" s="11">
        <v>52.295324348260699</v>
      </c>
      <c r="I2757" s="28"/>
    </row>
    <row r="2758" spans="2:9" x14ac:dyDescent="0.35">
      <c r="B2758" s="16">
        <v>45803</v>
      </c>
      <c r="C2758" s="6" t="s">
        <v>3</v>
      </c>
      <c r="D27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8" s="7">
        <v>83.84</v>
      </c>
      <c r="F2758" s="11">
        <v>1.4765999999999999</v>
      </c>
      <c r="G2758" s="11">
        <v>53.43661145148436</v>
      </c>
      <c r="I2758" s="28"/>
    </row>
    <row r="2759" spans="2:9" x14ac:dyDescent="0.35">
      <c r="B2759" s="16">
        <v>45805</v>
      </c>
      <c r="C2759" s="6" t="s">
        <v>3</v>
      </c>
      <c r="D27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59" s="7">
        <v>67.14</v>
      </c>
      <c r="F2759" s="11">
        <v>1.8484250000000002</v>
      </c>
      <c r="G2759" s="11">
        <v>53.400231834667338</v>
      </c>
      <c r="I2759" s="28"/>
    </row>
    <row r="2760" spans="2:9" x14ac:dyDescent="0.35">
      <c r="B2760" s="16">
        <v>45806</v>
      </c>
      <c r="C2760" s="6" t="s">
        <v>3</v>
      </c>
      <c r="D27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0" s="7">
        <v>64.94</v>
      </c>
      <c r="F2760" s="11">
        <v>2.1346500000000002</v>
      </c>
      <c r="G2760" s="11">
        <v>53.73114006189477</v>
      </c>
      <c r="I2760" s="28"/>
    </row>
    <row r="2761" spans="2:9" x14ac:dyDescent="0.35">
      <c r="B2761" s="16">
        <v>45807</v>
      </c>
      <c r="C2761" s="6" t="s">
        <v>3</v>
      </c>
      <c r="D27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1" s="7">
        <v>120.4</v>
      </c>
      <c r="F2761" s="11">
        <v>1.54</v>
      </c>
      <c r="G2761" s="11">
        <v>54.12473758747084</v>
      </c>
      <c r="I2761" s="28"/>
    </row>
    <row r="2762" spans="2:9" x14ac:dyDescent="0.35">
      <c r="B2762" s="16">
        <v>45789</v>
      </c>
      <c r="C2762" s="6" t="s">
        <v>5</v>
      </c>
      <c r="D27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2" s="7">
        <v>158.63999999999999</v>
      </c>
      <c r="F2762" s="9">
        <v>2.0570750000000002</v>
      </c>
      <c r="G2762" s="10">
        <v>53.808231861489197</v>
      </c>
      <c r="I2762" s="28"/>
    </row>
    <row r="2763" spans="2:9" x14ac:dyDescent="0.35">
      <c r="B2763" s="16">
        <v>45790</v>
      </c>
      <c r="C2763" s="6" t="s">
        <v>5</v>
      </c>
      <c r="D27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3" s="7">
        <v>66.59</v>
      </c>
      <c r="F2763" s="9">
        <v>4.1409000000000002</v>
      </c>
      <c r="G2763" s="10">
        <v>50.594148006379584</v>
      </c>
      <c r="I2763" s="28"/>
    </row>
    <row r="2764" spans="2:9" x14ac:dyDescent="0.35">
      <c r="B2764" s="16">
        <v>45791</v>
      </c>
      <c r="C2764" s="6" t="s">
        <v>5</v>
      </c>
      <c r="D27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4" s="7">
        <v>102.87</v>
      </c>
      <c r="F2764" s="9">
        <v>1.3080750000000001</v>
      </c>
      <c r="G2764" s="10">
        <v>52.048095332136448</v>
      </c>
      <c r="I2764" s="28"/>
    </row>
    <row r="2765" spans="2:9" x14ac:dyDescent="0.35">
      <c r="B2765" s="16">
        <v>45792</v>
      </c>
      <c r="C2765" s="6" t="s">
        <v>5</v>
      </c>
      <c r="D27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5" s="7">
        <v>96.55</v>
      </c>
      <c r="F2765" s="9">
        <v>1.4659000000000002</v>
      </c>
      <c r="G2765" s="10">
        <v>53.088142089638239</v>
      </c>
      <c r="I2765" s="28"/>
    </row>
    <row r="2766" spans="2:9" x14ac:dyDescent="0.35">
      <c r="B2766" s="16">
        <v>45793</v>
      </c>
      <c r="C2766" s="6" t="s">
        <v>5</v>
      </c>
      <c r="D27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6" s="7">
        <v>129.01</v>
      </c>
      <c r="F2766" s="9">
        <v>0.54302499999999998</v>
      </c>
      <c r="G2766" s="10">
        <v>54.703183954125215</v>
      </c>
      <c r="I2766" s="28"/>
    </row>
    <row r="2767" spans="2:9" x14ac:dyDescent="0.35">
      <c r="B2767" s="16">
        <v>45797</v>
      </c>
      <c r="C2767" s="6" t="s">
        <v>5</v>
      </c>
      <c r="D27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7" s="7">
        <v>70.040000000000006</v>
      </c>
      <c r="F2767" s="9">
        <v>1.1449</v>
      </c>
      <c r="G2767" s="10">
        <v>54.300937635746607</v>
      </c>
      <c r="I2767" s="28"/>
    </row>
    <row r="2768" spans="2:9" x14ac:dyDescent="0.35">
      <c r="B2768" s="16">
        <v>45798</v>
      </c>
      <c r="C2768" s="6" t="s">
        <v>5</v>
      </c>
      <c r="D27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8" s="7">
        <v>113.64</v>
      </c>
      <c r="F2768" s="9">
        <v>1.38565</v>
      </c>
      <c r="G2768" s="11">
        <v>53.191650545218096</v>
      </c>
      <c r="I2768" s="28"/>
    </row>
    <row r="2769" spans="2:9" x14ac:dyDescent="0.35">
      <c r="B2769" s="16">
        <v>45799</v>
      </c>
      <c r="C2769" s="6" t="s">
        <v>5</v>
      </c>
      <c r="D27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69" s="7">
        <v>40.64</v>
      </c>
      <c r="F2769" s="9">
        <v>0.68212499999999998</v>
      </c>
      <c r="G2769" s="10">
        <v>54.119485154706062</v>
      </c>
      <c r="I2769" s="28"/>
    </row>
    <row r="2770" spans="2:9" x14ac:dyDescent="0.35">
      <c r="B2770" s="16">
        <v>45800</v>
      </c>
      <c r="C2770" s="6" t="s">
        <v>5</v>
      </c>
      <c r="D27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0" s="7">
        <v>106.89</v>
      </c>
      <c r="F2770" s="9">
        <v>0.74097500000000005</v>
      </c>
      <c r="G2770" s="10">
        <v>54.503827783489719</v>
      </c>
      <c r="I2770" s="28"/>
    </row>
    <row r="2771" spans="2:9" x14ac:dyDescent="0.35">
      <c r="B2771" s="16">
        <v>45801</v>
      </c>
      <c r="C2771" s="6" t="s">
        <v>5</v>
      </c>
      <c r="D27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1" s="7">
        <v>42.43</v>
      </c>
      <c r="F2771" s="9">
        <v>0.34240000000000004</v>
      </c>
      <c r="G2771" s="10">
        <v>53.616668685258958</v>
      </c>
      <c r="I2771" s="28"/>
    </row>
    <row r="2772" spans="2:9" x14ac:dyDescent="0.35">
      <c r="B2772" s="16">
        <v>45804</v>
      </c>
      <c r="C2772" s="6" t="s">
        <v>5</v>
      </c>
      <c r="D27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2" s="7">
        <v>195.92</v>
      </c>
      <c r="F2772" s="9">
        <v>2.8462000000000005</v>
      </c>
      <c r="G2772" s="10">
        <v>52.39685919275783</v>
      </c>
      <c r="I2772" s="28"/>
    </row>
    <row r="2773" spans="2:9" x14ac:dyDescent="0.35">
      <c r="B2773" s="16">
        <v>45805</v>
      </c>
      <c r="C2773" s="6" t="s">
        <v>5</v>
      </c>
      <c r="D27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3" s="7">
        <v>103.44</v>
      </c>
      <c r="F2773" s="9">
        <v>1.4177500000000001</v>
      </c>
      <c r="G2773" s="10">
        <v>53.106144327220946</v>
      </c>
      <c r="I2773" s="28"/>
    </row>
    <row r="2774" spans="2:9" x14ac:dyDescent="0.35">
      <c r="B2774" s="16">
        <v>45806</v>
      </c>
      <c r="C2774" s="6" t="s">
        <v>5</v>
      </c>
      <c r="D27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4" s="7">
        <v>105.8</v>
      </c>
      <c r="F2774" s="9">
        <v>3.1137000000000001</v>
      </c>
      <c r="G2774" s="10">
        <v>52.649524635941717</v>
      </c>
      <c r="I2774" s="28"/>
    </row>
    <row r="2775" spans="2:9" x14ac:dyDescent="0.35">
      <c r="B2775" s="16">
        <v>45789</v>
      </c>
      <c r="C2775" s="6" t="s">
        <v>9</v>
      </c>
      <c r="D27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5" s="7">
        <v>170.46</v>
      </c>
      <c r="F2775" s="9">
        <v>1.9581000000000002</v>
      </c>
      <c r="G2775" s="10">
        <v>53.926318730761544</v>
      </c>
      <c r="I2775" s="28"/>
    </row>
    <row r="2776" spans="2:9" x14ac:dyDescent="0.35">
      <c r="B2776" s="16">
        <v>45791</v>
      </c>
      <c r="C2776" s="6" t="s">
        <v>9</v>
      </c>
      <c r="D27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6" s="7">
        <v>275.89999999999998</v>
      </c>
      <c r="F2776" s="9">
        <v>2.640225</v>
      </c>
      <c r="G2776" s="10">
        <v>52.64653073242382</v>
      </c>
      <c r="I2776" s="28"/>
    </row>
    <row r="2777" spans="2:9" x14ac:dyDescent="0.35">
      <c r="B2777" s="16">
        <v>45792</v>
      </c>
      <c r="C2777" s="6" t="s">
        <v>9</v>
      </c>
      <c r="D27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7" s="7">
        <v>701.57</v>
      </c>
      <c r="F2777" s="9">
        <v>1.7307250000000001</v>
      </c>
      <c r="G2777" s="10">
        <v>53.442845602197039</v>
      </c>
      <c r="I2777" s="28"/>
    </row>
    <row r="2778" spans="2:9" x14ac:dyDescent="0.35">
      <c r="B2778" s="16">
        <v>45799</v>
      </c>
      <c r="C2778" s="6" t="s">
        <v>9</v>
      </c>
      <c r="D27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8" s="7">
        <v>241.16</v>
      </c>
      <c r="F2778" s="9">
        <v>3.9964500000000003</v>
      </c>
      <c r="G2778" s="10">
        <v>52.294329852470497</v>
      </c>
      <c r="I2778" s="28"/>
    </row>
    <row r="2779" spans="2:9" x14ac:dyDescent="0.35">
      <c r="B2779" s="16">
        <v>45789</v>
      </c>
      <c r="C2779" s="6" t="s">
        <v>6</v>
      </c>
      <c r="D27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79" s="7">
        <v>396.56</v>
      </c>
      <c r="F2779" s="9">
        <v>2.1319750000000002</v>
      </c>
      <c r="G2779" s="10">
        <v>53.849733253222745</v>
      </c>
      <c r="I2779" s="28"/>
    </row>
    <row r="2780" spans="2:9" x14ac:dyDescent="0.35">
      <c r="B2780" s="16">
        <v>45790</v>
      </c>
      <c r="C2780" s="6" t="s">
        <v>6</v>
      </c>
      <c r="D27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0" s="7">
        <v>473.67</v>
      </c>
      <c r="F2780" s="9">
        <v>2.0436999999999999</v>
      </c>
      <c r="G2780" s="10">
        <v>53.516666204958341</v>
      </c>
      <c r="I2780" s="28"/>
    </row>
    <row r="2781" spans="2:9" x14ac:dyDescent="0.35">
      <c r="B2781" s="16">
        <v>45791</v>
      </c>
      <c r="C2781" s="6" t="s">
        <v>6</v>
      </c>
      <c r="D27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1" s="7">
        <v>519.47</v>
      </c>
      <c r="F2781" s="9">
        <v>4.601</v>
      </c>
      <c r="G2781" s="10">
        <v>51.458522078702309</v>
      </c>
      <c r="I2781" s="28"/>
    </row>
    <row r="2782" spans="2:9" x14ac:dyDescent="0.35">
      <c r="B2782" s="16">
        <v>45794</v>
      </c>
      <c r="C2782" s="6" t="s">
        <v>6</v>
      </c>
      <c r="D27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2" s="7">
        <v>399.21</v>
      </c>
      <c r="F2782" s="9">
        <v>2.6081250000000002</v>
      </c>
      <c r="G2782" s="10">
        <v>52.942992276055769</v>
      </c>
      <c r="I2782" s="28"/>
    </row>
    <row r="2783" spans="2:9" x14ac:dyDescent="0.35">
      <c r="B2783" s="16">
        <v>45796</v>
      </c>
      <c r="C2783" s="6" t="s">
        <v>6</v>
      </c>
      <c r="D27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3" s="7">
        <v>82.54</v>
      </c>
      <c r="F2783" s="9">
        <v>2.4128500000000002</v>
      </c>
      <c r="G2783" s="10">
        <v>53.419773819055244</v>
      </c>
      <c r="I2783" s="28"/>
    </row>
    <row r="2784" spans="2:9" x14ac:dyDescent="0.35">
      <c r="B2784" s="16">
        <v>45797</v>
      </c>
      <c r="C2784" s="6" t="s">
        <v>6</v>
      </c>
      <c r="D27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4" s="7">
        <v>34.79</v>
      </c>
      <c r="F2784" s="9">
        <v>3.7155750000000003</v>
      </c>
      <c r="G2784" s="10">
        <v>51.615550444955502</v>
      </c>
      <c r="I2784" s="28"/>
    </row>
    <row r="2785" spans="2:9" x14ac:dyDescent="0.35">
      <c r="B2785" s="16">
        <v>45798</v>
      </c>
      <c r="C2785" s="6" t="s">
        <v>6</v>
      </c>
      <c r="D27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5" s="7">
        <v>34.369999999999997</v>
      </c>
      <c r="F2785" s="9">
        <v>3.4266750000000004</v>
      </c>
      <c r="G2785" s="10">
        <v>52.321138745980704</v>
      </c>
      <c r="I2785" s="28"/>
    </row>
    <row r="2786" spans="2:9" x14ac:dyDescent="0.35">
      <c r="B2786" s="16">
        <v>45799</v>
      </c>
      <c r="C2786" s="6" t="s">
        <v>6</v>
      </c>
      <c r="D27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6" s="7">
        <v>103.92</v>
      </c>
      <c r="F2786" s="9">
        <v>3.4587750000000002</v>
      </c>
      <c r="G2786" s="10">
        <v>52.561121785249675</v>
      </c>
      <c r="I2786" s="28"/>
    </row>
    <row r="2787" spans="2:9" x14ac:dyDescent="0.35">
      <c r="B2787" s="16">
        <v>45800</v>
      </c>
      <c r="C2787" s="6" t="s">
        <v>6</v>
      </c>
      <c r="D27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7" s="7">
        <v>172.21</v>
      </c>
      <c r="F2787" s="9">
        <v>3.0120500000000003</v>
      </c>
      <c r="G2787" s="10">
        <v>52.677937968984494</v>
      </c>
      <c r="I2787" s="28"/>
    </row>
    <row r="2788" spans="2:9" x14ac:dyDescent="0.35">
      <c r="B2788" s="16">
        <v>45801</v>
      </c>
      <c r="C2788" s="6" t="s">
        <v>6</v>
      </c>
      <c r="D27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8" s="7">
        <v>364.89</v>
      </c>
      <c r="F2788" s="9">
        <v>2.650925</v>
      </c>
      <c r="G2788" s="10">
        <v>51.62347204161248</v>
      </c>
      <c r="I2788" s="28"/>
    </row>
    <row r="2789" spans="2:9" x14ac:dyDescent="0.35">
      <c r="B2789" s="16">
        <v>45803</v>
      </c>
      <c r="C2789" s="6" t="s">
        <v>6</v>
      </c>
      <c r="D27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89" s="7">
        <v>262.3</v>
      </c>
      <c r="F2789" s="9">
        <v>2.0035750000000001</v>
      </c>
      <c r="G2789" s="10">
        <v>53.369355074257427</v>
      </c>
      <c r="I2789" s="28"/>
    </row>
    <row r="2790" spans="2:9" x14ac:dyDescent="0.35">
      <c r="B2790" s="16">
        <v>45804</v>
      </c>
      <c r="C2790" s="6" t="s">
        <v>6</v>
      </c>
      <c r="D27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0" s="7">
        <v>405.62</v>
      </c>
      <c r="F2790" s="9">
        <v>1.8912250000000002</v>
      </c>
      <c r="G2790" s="10">
        <v>53.865097973815459</v>
      </c>
      <c r="I2790" s="28"/>
    </row>
    <row r="2791" spans="2:9" x14ac:dyDescent="0.35">
      <c r="B2791" s="16">
        <v>45805</v>
      </c>
      <c r="C2791" s="6" t="s">
        <v>6</v>
      </c>
      <c r="D27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1" s="7">
        <v>717.78</v>
      </c>
      <c r="F2791" s="9">
        <v>2.3887749999999999</v>
      </c>
      <c r="G2791" s="10">
        <v>53.162182259716253</v>
      </c>
      <c r="I2791" s="28"/>
    </row>
    <row r="2792" spans="2:9" x14ac:dyDescent="0.35">
      <c r="B2792" s="16">
        <v>45806</v>
      </c>
      <c r="C2792" s="6" t="s">
        <v>6</v>
      </c>
      <c r="D27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2" s="7">
        <v>68.89</v>
      </c>
      <c r="F2792" s="9">
        <v>3.3303750000000001</v>
      </c>
      <c r="G2792" s="10">
        <v>50.984553383458639</v>
      </c>
      <c r="I2792" s="28"/>
    </row>
    <row r="2793" spans="2:9" x14ac:dyDescent="0.35">
      <c r="B2793" s="16">
        <v>45807</v>
      </c>
      <c r="C2793" s="6" t="s">
        <v>6</v>
      </c>
      <c r="D27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3" s="7">
        <v>617.47</v>
      </c>
      <c r="F2793" s="9">
        <v>2.2799999999999998</v>
      </c>
      <c r="G2793" s="10">
        <v>53.484436278603646</v>
      </c>
      <c r="I2793" s="28"/>
    </row>
    <row r="2794" spans="2:9" x14ac:dyDescent="0.35">
      <c r="B2794" s="16">
        <v>45789</v>
      </c>
      <c r="C2794" s="6" t="s">
        <v>2</v>
      </c>
      <c r="D27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4" s="7">
        <v>521.71</v>
      </c>
      <c r="F2794" s="9">
        <v>0.18725</v>
      </c>
      <c r="G2794" s="11">
        <v>53.980605060506043</v>
      </c>
      <c r="I2794" s="28"/>
    </row>
    <row r="2795" spans="2:9" x14ac:dyDescent="0.35">
      <c r="B2795" s="16">
        <v>45790</v>
      </c>
      <c r="C2795" s="6" t="s">
        <v>2</v>
      </c>
      <c r="D27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5" s="7">
        <v>30.66</v>
      </c>
      <c r="F2795" s="9">
        <v>0.46812500000000001</v>
      </c>
      <c r="G2795" s="11">
        <v>53.663106761780377</v>
      </c>
      <c r="I2795" s="28"/>
    </row>
    <row r="2796" spans="2:9" x14ac:dyDescent="0.35">
      <c r="B2796" s="16">
        <v>45791</v>
      </c>
      <c r="C2796" s="6" t="s">
        <v>2</v>
      </c>
      <c r="D27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6" s="7">
        <v>365.51</v>
      </c>
      <c r="F2796" s="9">
        <v>0.96300000000000008</v>
      </c>
      <c r="G2796" s="11">
        <v>53.521842999001997</v>
      </c>
      <c r="I2796" s="28"/>
    </row>
    <row r="2797" spans="2:9" x14ac:dyDescent="0.35">
      <c r="B2797" s="16">
        <v>45792</v>
      </c>
      <c r="C2797" s="6" t="s">
        <v>2</v>
      </c>
      <c r="D27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7" s="7">
        <v>264.04000000000002</v>
      </c>
      <c r="F2797" s="9">
        <v>0.76505000000000001</v>
      </c>
      <c r="G2797" s="11">
        <v>53.120485732215499</v>
      </c>
      <c r="I2797" s="28"/>
    </row>
    <row r="2798" spans="2:9" x14ac:dyDescent="0.35">
      <c r="B2798" s="16">
        <v>45793</v>
      </c>
      <c r="C2798" s="6" t="s">
        <v>2</v>
      </c>
      <c r="D27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8" s="7">
        <v>217.84</v>
      </c>
      <c r="F2798" s="9">
        <v>0.60455000000000003</v>
      </c>
      <c r="G2798" s="11">
        <v>53.911916230629906</v>
      </c>
      <c r="I2798" s="28"/>
    </row>
    <row r="2799" spans="2:9" x14ac:dyDescent="0.35">
      <c r="B2799" s="16">
        <v>45794</v>
      </c>
      <c r="C2799" s="6" t="s">
        <v>2</v>
      </c>
      <c r="D27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799" s="7">
        <v>383.45</v>
      </c>
      <c r="F2799" s="9">
        <v>1.39635</v>
      </c>
      <c r="G2799" s="11">
        <v>52.180193150139388</v>
      </c>
      <c r="I2799" s="28"/>
    </row>
    <row r="2800" spans="2:9" x14ac:dyDescent="0.35">
      <c r="B2800" s="16">
        <v>45796</v>
      </c>
      <c r="C2800" s="6" t="s">
        <v>2</v>
      </c>
      <c r="D28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0" s="7">
        <v>187.64</v>
      </c>
      <c r="F2800" s="9">
        <v>1.7628250000000001</v>
      </c>
      <c r="G2800" s="11">
        <v>51.609288840262579</v>
      </c>
      <c r="I2800" s="28"/>
    </row>
    <row r="2801" spans="2:9" x14ac:dyDescent="0.35">
      <c r="B2801" s="16">
        <v>45797</v>
      </c>
      <c r="C2801" s="6" t="s">
        <v>2</v>
      </c>
      <c r="D28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1" s="7">
        <v>98.93</v>
      </c>
      <c r="F2801" s="9">
        <v>1.5113750000000001</v>
      </c>
      <c r="G2801" s="11">
        <v>52.879788732394367</v>
      </c>
      <c r="I2801" s="28"/>
    </row>
    <row r="2802" spans="2:9" x14ac:dyDescent="0.35">
      <c r="B2802" s="16">
        <v>45798</v>
      </c>
      <c r="C2802" s="6" t="s">
        <v>2</v>
      </c>
      <c r="D28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2" s="7">
        <v>335.21</v>
      </c>
      <c r="F2802" s="9">
        <v>1.5407999999999999</v>
      </c>
      <c r="G2802" s="11">
        <v>53.501311622348368</v>
      </c>
      <c r="I2802" s="28"/>
    </row>
    <row r="2803" spans="2:9" x14ac:dyDescent="0.35">
      <c r="B2803" s="16">
        <v>45799</v>
      </c>
      <c r="C2803" s="6" t="s">
        <v>2</v>
      </c>
      <c r="D28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3" s="7">
        <v>341.45</v>
      </c>
      <c r="F2803" s="9">
        <v>0.42800000000000005</v>
      </c>
      <c r="G2803" s="11">
        <v>54.231189427312778</v>
      </c>
      <c r="I2803" s="28"/>
    </row>
    <row r="2804" spans="2:9" x14ac:dyDescent="0.35">
      <c r="B2804" s="16">
        <v>45800</v>
      </c>
      <c r="C2804" s="6" t="s">
        <v>2</v>
      </c>
      <c r="D28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4" s="7">
        <v>589.66</v>
      </c>
      <c r="F2804" s="9">
        <v>0.88542500000000002</v>
      </c>
      <c r="G2804" s="11">
        <v>52.950541975556</v>
      </c>
      <c r="I2804" s="28"/>
    </row>
    <row r="2805" spans="2:9" x14ac:dyDescent="0.35">
      <c r="B2805" s="16">
        <v>45801</v>
      </c>
      <c r="C2805" s="6" t="s">
        <v>2</v>
      </c>
      <c r="D28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5" s="7">
        <v>306.66000000000003</v>
      </c>
      <c r="F2805" s="9">
        <v>1.008475</v>
      </c>
      <c r="G2805" s="11">
        <v>53.869752338541147</v>
      </c>
      <c r="I2805" s="28"/>
    </row>
    <row r="2806" spans="2:9" x14ac:dyDescent="0.35">
      <c r="B2806" s="16">
        <v>45803</v>
      </c>
      <c r="C2806" s="6" t="s">
        <v>2</v>
      </c>
      <c r="D28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6" s="7">
        <v>526.34</v>
      </c>
      <c r="F2806" s="9">
        <v>0.84262500000000007</v>
      </c>
      <c r="G2806" s="11">
        <v>53.99024057738572</v>
      </c>
      <c r="I2806" s="28"/>
    </row>
    <row r="2807" spans="2:9" x14ac:dyDescent="0.35">
      <c r="B2807" s="16">
        <v>45804</v>
      </c>
      <c r="C2807" s="6" t="s">
        <v>2</v>
      </c>
      <c r="D28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7" s="7">
        <v>496.88</v>
      </c>
      <c r="F2807" s="9">
        <v>1.527425</v>
      </c>
      <c r="G2807" s="11">
        <v>52.476679714945298</v>
      </c>
      <c r="I2807" s="28"/>
    </row>
    <row r="2808" spans="2:9" x14ac:dyDescent="0.35">
      <c r="B2808" s="16">
        <v>45805</v>
      </c>
      <c r="C2808" s="6" t="s">
        <v>2</v>
      </c>
      <c r="D28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8" s="7">
        <v>379.64</v>
      </c>
      <c r="F2808" s="9">
        <v>0.46545000000000003</v>
      </c>
      <c r="G2808" s="11">
        <v>53.587661062256423</v>
      </c>
      <c r="I2808" s="28"/>
    </row>
    <row r="2809" spans="2:9" x14ac:dyDescent="0.35">
      <c r="B2809" s="16">
        <v>45806</v>
      </c>
      <c r="C2809" s="6" t="s">
        <v>2</v>
      </c>
      <c r="D28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09" s="7">
        <v>562.78</v>
      </c>
      <c r="F2809" s="9">
        <v>0.24877500000000002</v>
      </c>
      <c r="G2809" s="11">
        <v>53.134490921857754</v>
      </c>
      <c r="I2809" s="28"/>
    </row>
    <row r="2810" spans="2:9" x14ac:dyDescent="0.35">
      <c r="B2810" s="16">
        <v>45807</v>
      </c>
      <c r="C2810" s="6" t="s">
        <v>2</v>
      </c>
      <c r="D28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0" s="7">
        <v>461.9</v>
      </c>
      <c r="F2810" s="9">
        <v>0.91</v>
      </c>
      <c r="G2810" s="11">
        <v>53.031076718255946</v>
      </c>
      <c r="I2810" s="28"/>
    </row>
    <row r="2811" spans="2:9" x14ac:dyDescent="0.35">
      <c r="B2811" s="16">
        <v>45791</v>
      </c>
      <c r="C2811" s="6" t="s">
        <v>7</v>
      </c>
      <c r="D28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1" s="7">
        <v>128.5</v>
      </c>
      <c r="F2811" s="9">
        <v>1.6611750000000001</v>
      </c>
      <c r="G2811" s="11">
        <v>52.733942931258106</v>
      </c>
      <c r="I2811" s="28"/>
    </row>
    <row r="2812" spans="2:9" x14ac:dyDescent="0.35">
      <c r="B2812" s="16">
        <v>45792</v>
      </c>
      <c r="C2812" s="6" t="s">
        <v>7</v>
      </c>
      <c r="D28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2" s="7">
        <v>75.91</v>
      </c>
      <c r="F2812" s="9">
        <v>3.5095999999999998</v>
      </c>
      <c r="G2812" s="11">
        <v>51.961352084541552</v>
      </c>
      <c r="I2812" s="28"/>
    </row>
    <row r="2813" spans="2:9" x14ac:dyDescent="0.35">
      <c r="B2813" s="16">
        <v>45805</v>
      </c>
      <c r="C2813" s="6" t="s">
        <v>7</v>
      </c>
      <c r="D28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3" s="7">
        <v>95.34</v>
      </c>
      <c r="F2813" s="9">
        <v>1.7815500000000002</v>
      </c>
      <c r="G2813" s="11">
        <v>50.025626644572291</v>
      </c>
      <c r="I2813" s="28"/>
    </row>
    <row r="2814" spans="2:9" x14ac:dyDescent="0.35">
      <c r="B2814" s="16">
        <v>45806</v>
      </c>
      <c r="C2814" s="6" t="s">
        <v>7</v>
      </c>
      <c r="D28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4" s="7">
        <v>143.85</v>
      </c>
      <c r="F2814" s="9">
        <v>2.1801250000000003</v>
      </c>
      <c r="G2814" s="11">
        <v>44.098827099084751</v>
      </c>
      <c r="I2814" s="28"/>
    </row>
    <row r="2815" spans="2:9" x14ac:dyDescent="0.35">
      <c r="B2815" s="16">
        <v>45797</v>
      </c>
      <c r="C2815" s="6" t="s">
        <v>4</v>
      </c>
      <c r="D28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5" s="7">
        <v>94.25</v>
      </c>
      <c r="F2815" s="11">
        <v>7.3375250000000003</v>
      </c>
      <c r="G2815" s="11">
        <v>49.880538446965907</v>
      </c>
      <c r="I2815" s="28"/>
    </row>
    <row r="2816" spans="2:9" x14ac:dyDescent="0.35">
      <c r="B2816" s="16">
        <v>45798</v>
      </c>
      <c r="C2816" s="6" t="s">
        <v>4</v>
      </c>
      <c r="D28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6" s="7">
        <v>187.42</v>
      </c>
      <c r="F2816" s="11">
        <v>6.3558000000000012</v>
      </c>
      <c r="G2816" s="11">
        <v>50.423376527092351</v>
      </c>
      <c r="I2816" s="28"/>
    </row>
    <row r="2817" spans="2:9" x14ac:dyDescent="0.35">
      <c r="B2817" s="16">
        <v>45799</v>
      </c>
      <c r="C2817" s="6" t="s">
        <v>4</v>
      </c>
      <c r="D28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7" s="7">
        <v>145.72</v>
      </c>
      <c r="F2817" s="11">
        <v>2.3914499999999999</v>
      </c>
      <c r="G2817" s="11">
        <v>52.977592322464496</v>
      </c>
      <c r="I2817" s="28"/>
    </row>
    <row r="2818" spans="2:9" x14ac:dyDescent="0.35">
      <c r="B2818" s="16">
        <v>45800</v>
      </c>
      <c r="C2818" s="6" t="s">
        <v>4</v>
      </c>
      <c r="D28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8" s="7">
        <v>48.51</v>
      </c>
      <c r="F2818" s="11">
        <v>3.1351000000000004</v>
      </c>
      <c r="G2818" s="11">
        <v>52.215603139904609</v>
      </c>
      <c r="I2818" s="28"/>
    </row>
    <row r="2819" spans="2:9" x14ac:dyDescent="0.35">
      <c r="B2819" s="16">
        <v>45801</v>
      </c>
      <c r="C2819" s="6" t="s">
        <v>4</v>
      </c>
      <c r="D28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19" s="7">
        <v>97.72</v>
      </c>
      <c r="F2819" s="11">
        <v>2.501125</v>
      </c>
      <c r="G2819" s="11">
        <v>51.232135268437908</v>
      </c>
      <c r="I2819" s="28"/>
    </row>
    <row r="2820" spans="2:9" x14ac:dyDescent="0.35">
      <c r="B2820" s="16">
        <v>45804</v>
      </c>
      <c r="C2820" s="6" t="s">
        <v>4</v>
      </c>
      <c r="D28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0" s="7">
        <v>196.96</v>
      </c>
      <c r="F2820" s="11">
        <v>2.9772750000000006</v>
      </c>
      <c r="G2820" s="11">
        <v>52.977513169665045</v>
      </c>
      <c r="I2820" s="28"/>
    </row>
    <row r="2821" spans="2:9" x14ac:dyDescent="0.35">
      <c r="B2821" s="16">
        <v>45805</v>
      </c>
      <c r="C2821" s="6" t="s">
        <v>4</v>
      </c>
      <c r="D28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1" s="7">
        <v>97.75</v>
      </c>
      <c r="F2821" s="11">
        <v>3.1645250000000003</v>
      </c>
      <c r="G2821" s="11">
        <v>52.416843547017095</v>
      </c>
      <c r="I2821" s="28"/>
    </row>
    <row r="2822" spans="2:9" x14ac:dyDescent="0.35">
      <c r="B2822" s="16">
        <v>45806</v>
      </c>
      <c r="C2822" s="6" t="s">
        <v>4</v>
      </c>
      <c r="D28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2" s="7">
        <v>144.26</v>
      </c>
      <c r="F2822" s="11">
        <v>1.741425</v>
      </c>
      <c r="G2822" s="11">
        <v>53.761793329923144</v>
      </c>
      <c r="I2822" s="28"/>
    </row>
    <row r="2823" spans="2:9" x14ac:dyDescent="0.35">
      <c r="B2823" s="4">
        <v>45808</v>
      </c>
      <c r="C2823" s="6" t="s">
        <v>5</v>
      </c>
      <c r="D28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3" s="7">
        <v>103.22</v>
      </c>
      <c r="F2823" s="9">
        <v>0.1</v>
      </c>
      <c r="G2823" s="10">
        <v>54.896581466988593</v>
      </c>
      <c r="I2823" s="28"/>
    </row>
    <row r="2824" spans="2:9" x14ac:dyDescent="0.35">
      <c r="B2824" s="18">
        <v>45807</v>
      </c>
      <c r="C2824" s="6" t="s">
        <v>3</v>
      </c>
      <c r="D28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4" s="7">
        <v>88.02</v>
      </c>
      <c r="F2824" s="11">
        <v>1.54</v>
      </c>
      <c r="G2824" s="11">
        <v>54.12473758747084</v>
      </c>
      <c r="I2824" s="28"/>
    </row>
    <row r="2825" spans="2:9" x14ac:dyDescent="0.35">
      <c r="B2825" s="18">
        <v>45808</v>
      </c>
      <c r="C2825" s="6" t="s">
        <v>6</v>
      </c>
      <c r="D28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5" s="7">
        <v>272.95</v>
      </c>
      <c r="F2825" s="9">
        <v>1.76</v>
      </c>
      <c r="G2825" s="10">
        <v>54.040235813682187</v>
      </c>
      <c r="I2825" s="28"/>
    </row>
    <row r="2826" spans="2:9" x14ac:dyDescent="0.35">
      <c r="B2826" s="18">
        <v>45807</v>
      </c>
      <c r="C2826" s="6" t="s">
        <v>2</v>
      </c>
      <c r="D28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6" s="7">
        <v>314.36</v>
      </c>
      <c r="F2826" s="9">
        <v>0.51</v>
      </c>
      <c r="G2826" s="11">
        <v>53.980767752715124</v>
      </c>
      <c r="I2826" s="28"/>
    </row>
    <row r="2827" spans="2:9" x14ac:dyDescent="0.35">
      <c r="B2827" s="16">
        <v>45808</v>
      </c>
      <c r="C2827" s="6" t="s">
        <v>7</v>
      </c>
      <c r="D28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7" s="7">
        <v>30</v>
      </c>
      <c r="F2827" s="9">
        <v>3.07</v>
      </c>
      <c r="G2827" s="11">
        <v>51.781112501042458</v>
      </c>
      <c r="I2827" s="28"/>
    </row>
    <row r="2828" spans="2:9" x14ac:dyDescent="0.35">
      <c r="B2828" s="16">
        <v>45812</v>
      </c>
      <c r="C2828" s="6" t="s">
        <v>5</v>
      </c>
      <c r="D28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8" s="7">
        <v>33.01</v>
      </c>
      <c r="F2828" s="9">
        <v>0.18</v>
      </c>
      <c r="G2828" s="10">
        <v>54.178645031783205</v>
      </c>
      <c r="I2828" s="28"/>
    </row>
    <row r="2829" spans="2:9" x14ac:dyDescent="0.35">
      <c r="B2829" s="16">
        <v>45813</v>
      </c>
      <c r="C2829" s="6" t="s">
        <v>5</v>
      </c>
      <c r="D28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29" s="7">
        <v>73.94</v>
      </c>
      <c r="F2829" s="9">
        <v>1.58</v>
      </c>
      <c r="G2829" s="10">
        <v>54.095761920640221</v>
      </c>
      <c r="I2829" s="28"/>
    </row>
    <row r="2830" spans="2:9" x14ac:dyDescent="0.35">
      <c r="B2830" s="16">
        <v>45814</v>
      </c>
      <c r="C2830" s="6" t="s">
        <v>5</v>
      </c>
      <c r="D28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0" s="7">
        <v>106.83</v>
      </c>
      <c r="F2830" s="9">
        <v>0.88</v>
      </c>
      <c r="G2830" s="10">
        <v>54.360346205059919</v>
      </c>
      <c r="I2830" s="28"/>
    </row>
    <row r="2831" spans="2:9" x14ac:dyDescent="0.35">
      <c r="B2831" s="16">
        <v>45811</v>
      </c>
      <c r="C2831" s="6" t="s">
        <v>3</v>
      </c>
      <c r="D28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1" s="7">
        <v>85.04</v>
      </c>
      <c r="F2831" s="11">
        <v>5.68</v>
      </c>
      <c r="G2831" s="11">
        <v>48.423351671251147</v>
      </c>
      <c r="I2831" s="28"/>
    </row>
    <row r="2832" spans="2:9" x14ac:dyDescent="0.35">
      <c r="B2832" s="16">
        <v>45813</v>
      </c>
      <c r="C2832" s="6" t="s">
        <v>3</v>
      </c>
      <c r="D28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2" s="7">
        <v>113.04</v>
      </c>
      <c r="F2832" s="11">
        <v>6.21</v>
      </c>
      <c r="G2832" s="11">
        <v>50.745998359983602</v>
      </c>
      <c r="I2832" s="28"/>
    </row>
    <row r="2833" spans="2:9" x14ac:dyDescent="0.35">
      <c r="B2833" s="16">
        <v>45814</v>
      </c>
      <c r="C2833" s="6" t="s">
        <v>3</v>
      </c>
      <c r="D28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3" s="7">
        <v>68.260000000000005</v>
      </c>
      <c r="F2833" s="11">
        <v>6.47</v>
      </c>
      <c r="G2833" s="11">
        <v>48.797771124417835</v>
      </c>
      <c r="I2833" s="28"/>
    </row>
    <row r="2834" spans="2:9" x14ac:dyDescent="0.35">
      <c r="B2834" s="16">
        <v>45815</v>
      </c>
      <c r="C2834" s="6" t="s">
        <v>3</v>
      </c>
      <c r="D28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4" s="7">
        <v>0</v>
      </c>
      <c r="F2834" s="11">
        <v>4.8899999999999997</v>
      </c>
      <c r="G2834" s="11">
        <v>51.017186564682405</v>
      </c>
      <c r="I2834" s="28"/>
    </row>
    <row r="2835" spans="2:9" x14ac:dyDescent="0.35">
      <c r="B2835" s="16">
        <v>45811</v>
      </c>
      <c r="C2835" s="6" t="s">
        <v>6</v>
      </c>
      <c r="D28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5" s="7">
        <v>35.9</v>
      </c>
      <c r="F2835" s="9">
        <v>1.2</v>
      </c>
      <c r="G2835" s="10">
        <v>54.374465015428235</v>
      </c>
      <c r="I2835" s="28"/>
    </row>
    <row r="2836" spans="2:9" x14ac:dyDescent="0.35">
      <c r="B2836" s="16">
        <v>45812</v>
      </c>
      <c r="C2836" s="6" t="s">
        <v>6</v>
      </c>
      <c r="D28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6" s="7">
        <v>240.32</v>
      </c>
      <c r="F2836" s="9">
        <v>2.38</v>
      </c>
      <c r="G2836" s="10">
        <v>53.099235836627145</v>
      </c>
      <c r="I2836" s="28"/>
    </row>
    <row r="2837" spans="2:9" x14ac:dyDescent="0.35">
      <c r="B2837" s="16">
        <v>45813</v>
      </c>
      <c r="C2837" s="6" t="s">
        <v>6</v>
      </c>
      <c r="D28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7" s="7">
        <v>787.77</v>
      </c>
      <c r="F2837" s="9">
        <v>3.1</v>
      </c>
      <c r="G2837" s="10">
        <v>52.526128091946369</v>
      </c>
      <c r="I2837" s="28"/>
    </row>
    <row r="2838" spans="2:9" x14ac:dyDescent="0.35">
      <c r="B2838" s="16">
        <v>45813</v>
      </c>
      <c r="C2838" s="6" t="s">
        <v>6</v>
      </c>
      <c r="D28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8" s="7">
        <v>202.41</v>
      </c>
      <c r="F2838" s="9">
        <v>1.44</v>
      </c>
      <c r="G2838" s="10">
        <v>53.349515161898232</v>
      </c>
      <c r="I2838" s="28"/>
    </row>
    <row r="2839" spans="2:9" x14ac:dyDescent="0.35">
      <c r="B2839" s="16">
        <v>45814</v>
      </c>
      <c r="C2839" s="6" t="s">
        <v>6</v>
      </c>
      <c r="D28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39" s="7">
        <v>25.4</v>
      </c>
      <c r="F2839" s="9">
        <v>2.52</v>
      </c>
      <c r="G2839" s="10">
        <v>52.978015965408282</v>
      </c>
      <c r="I2839" s="28"/>
    </row>
    <row r="2840" spans="2:9" x14ac:dyDescent="0.35">
      <c r="B2840" s="16">
        <v>45811</v>
      </c>
      <c r="C2840" s="6" t="s">
        <v>2</v>
      </c>
      <c r="D28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0" s="7">
        <v>92.62</v>
      </c>
      <c r="F2840" s="9">
        <v>8.5</v>
      </c>
      <c r="G2840" s="11">
        <v>48.473037827028818</v>
      </c>
      <c r="I2840" s="28"/>
    </row>
    <row r="2841" spans="2:9" x14ac:dyDescent="0.35">
      <c r="B2841" s="16">
        <v>45812</v>
      </c>
      <c r="C2841" s="6" t="s">
        <v>2</v>
      </c>
      <c r="D28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1" s="7">
        <v>0.5</v>
      </c>
      <c r="F2841" s="9">
        <v>0.15</v>
      </c>
      <c r="G2841" s="11">
        <v>54.696145833333325</v>
      </c>
      <c r="I2841" s="28"/>
    </row>
    <row r="2842" spans="2:9" x14ac:dyDescent="0.35">
      <c r="B2842" s="16">
        <v>45813</v>
      </c>
      <c r="C2842" s="6" t="s">
        <v>2</v>
      </c>
      <c r="D28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2" s="7">
        <v>553.1</v>
      </c>
      <c r="F2842" s="9">
        <v>0.25</v>
      </c>
      <c r="G2842" s="11">
        <v>54.700057394776245</v>
      </c>
      <c r="I2842" s="28"/>
    </row>
    <row r="2843" spans="2:9" x14ac:dyDescent="0.35">
      <c r="B2843" s="16">
        <v>45814</v>
      </c>
      <c r="C2843" s="6" t="s">
        <v>2</v>
      </c>
      <c r="D28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3" s="7">
        <v>369.75</v>
      </c>
      <c r="F2843" s="9">
        <v>1.98</v>
      </c>
      <c r="G2843" s="11">
        <v>52.127901472064231</v>
      </c>
      <c r="I2843" s="28"/>
    </row>
    <row r="2844" spans="2:9" x14ac:dyDescent="0.35">
      <c r="B2844" s="16">
        <v>45815</v>
      </c>
      <c r="C2844" s="6" t="s">
        <v>2</v>
      </c>
      <c r="D28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4" s="7">
        <v>0.47799999999999998</v>
      </c>
      <c r="F2844" s="9">
        <v>0.22</v>
      </c>
      <c r="G2844" s="11">
        <v>53.151685082872923</v>
      </c>
      <c r="I2844" s="28"/>
    </row>
    <row r="2845" spans="2:9" x14ac:dyDescent="0.35">
      <c r="B2845" s="16">
        <v>45814</v>
      </c>
      <c r="C2845" s="6" t="s">
        <v>7</v>
      </c>
      <c r="D28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5" s="7">
        <v>71.14</v>
      </c>
      <c r="F2845" s="9">
        <v>2.52</v>
      </c>
      <c r="G2845" s="11">
        <v>53.478618766131049</v>
      </c>
      <c r="I2845" s="28"/>
    </row>
    <row r="2846" spans="2:9" x14ac:dyDescent="0.35">
      <c r="B2846" s="16">
        <v>45812</v>
      </c>
      <c r="C2846" s="6" t="s">
        <v>4</v>
      </c>
      <c r="D28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6" s="7">
        <v>195.81</v>
      </c>
      <c r="F2846" s="11">
        <v>2.33</v>
      </c>
      <c r="G2846" s="11">
        <v>53.316700561541964</v>
      </c>
      <c r="I2846" s="28"/>
    </row>
    <row r="2847" spans="2:9" x14ac:dyDescent="0.35">
      <c r="B2847" s="16">
        <v>45813</v>
      </c>
      <c r="C2847" s="6" t="s">
        <v>4</v>
      </c>
      <c r="D28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7" s="7">
        <v>271.89999999999998</v>
      </c>
      <c r="F2847" s="11">
        <v>1.55</v>
      </c>
      <c r="G2847" s="11">
        <v>53.975835144624639</v>
      </c>
      <c r="I2847" s="28"/>
    </row>
    <row r="2848" spans="2:9" x14ac:dyDescent="0.35">
      <c r="B2848" s="16">
        <v>45813</v>
      </c>
      <c r="C2848" s="6" t="s">
        <v>4</v>
      </c>
      <c r="D28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8" s="7">
        <v>96.13</v>
      </c>
      <c r="F2848" s="11">
        <v>2.19</v>
      </c>
      <c r="G2848" s="11">
        <v>53.844243080253598</v>
      </c>
      <c r="I2848" s="28"/>
    </row>
    <row r="2849" spans="2:9" x14ac:dyDescent="0.35">
      <c r="B2849" s="16">
        <v>45818</v>
      </c>
      <c r="C2849" s="6" t="s">
        <v>5</v>
      </c>
      <c r="D28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49" s="7">
        <v>68.53</v>
      </c>
      <c r="F2849" s="9">
        <v>2.94</v>
      </c>
      <c r="G2849" s="10">
        <v>51.904741717433026</v>
      </c>
      <c r="I2849" s="28"/>
    </row>
    <row r="2850" spans="2:9" x14ac:dyDescent="0.35">
      <c r="B2850" s="16">
        <v>45819</v>
      </c>
      <c r="C2850" s="6" t="s">
        <v>5</v>
      </c>
      <c r="D28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0" s="7">
        <v>33.4</v>
      </c>
      <c r="F2850" s="9">
        <v>2.15</v>
      </c>
      <c r="G2850" s="10">
        <v>52.83083050207626</v>
      </c>
      <c r="I2850" s="28"/>
    </row>
    <row r="2851" spans="2:9" x14ac:dyDescent="0.35">
      <c r="B2851" s="16">
        <v>45821</v>
      </c>
      <c r="C2851" s="6" t="s">
        <v>5</v>
      </c>
      <c r="D28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1" s="7">
        <v>108.51</v>
      </c>
      <c r="F2851" s="9">
        <v>7.0000000000000007E-2</v>
      </c>
      <c r="G2851" s="10">
        <v>53.952069305304647</v>
      </c>
      <c r="I2851" s="28"/>
    </row>
    <row r="2852" spans="2:9" x14ac:dyDescent="0.35">
      <c r="B2852" s="16">
        <v>45822</v>
      </c>
      <c r="C2852" s="6" t="s">
        <v>5</v>
      </c>
      <c r="D28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2" s="7">
        <v>99.88</v>
      </c>
      <c r="F2852" s="9">
        <v>0.33</v>
      </c>
      <c r="G2852" s="10">
        <v>54.367427466150872</v>
      </c>
      <c r="I2852" s="28"/>
    </row>
    <row r="2853" spans="2:9" x14ac:dyDescent="0.35">
      <c r="B2853" s="16">
        <v>45820</v>
      </c>
      <c r="C2853" s="6" t="s">
        <v>3</v>
      </c>
      <c r="D28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3" s="7">
        <v>24.39</v>
      </c>
      <c r="F2853" s="11">
        <v>3.69</v>
      </c>
      <c r="G2853" s="11">
        <v>51.82959960857864</v>
      </c>
      <c r="I2853" s="28"/>
    </row>
    <row r="2854" spans="2:9" x14ac:dyDescent="0.35">
      <c r="B2854" s="16">
        <v>45821</v>
      </c>
      <c r="C2854" s="6" t="s">
        <v>3</v>
      </c>
      <c r="D28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4" s="7">
        <v>248.72</v>
      </c>
      <c r="F2854" s="11">
        <v>2.75</v>
      </c>
      <c r="G2854" s="11">
        <v>53.132135922330093</v>
      </c>
      <c r="I2854" s="28"/>
    </row>
    <row r="2855" spans="2:9" x14ac:dyDescent="0.35">
      <c r="B2855" s="16">
        <v>45822</v>
      </c>
      <c r="C2855" s="6" t="s">
        <v>3</v>
      </c>
      <c r="D28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5" s="7">
        <v>24.66</v>
      </c>
      <c r="F2855" s="11">
        <v>1.97</v>
      </c>
      <c r="G2855" s="11">
        <v>53.026361420329899</v>
      </c>
      <c r="I2855" s="28"/>
    </row>
    <row r="2856" spans="2:9" x14ac:dyDescent="0.35">
      <c r="B2856" s="16">
        <v>45819</v>
      </c>
      <c r="C2856" s="6" t="s">
        <v>9</v>
      </c>
      <c r="D28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6" s="7">
        <v>104.31</v>
      </c>
      <c r="F2856" s="9">
        <v>2.57</v>
      </c>
      <c r="G2856" s="10">
        <v>53.327369353410099</v>
      </c>
      <c r="I2856" s="28"/>
    </row>
    <row r="2857" spans="2:9" x14ac:dyDescent="0.35">
      <c r="B2857" s="16">
        <v>45821</v>
      </c>
      <c r="C2857" s="6" t="s">
        <v>9</v>
      </c>
      <c r="D28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7" s="7">
        <v>33.770000000000003</v>
      </c>
      <c r="F2857" s="9">
        <v>2.5499999999999998</v>
      </c>
      <c r="G2857" s="10">
        <v>52.78989674344718</v>
      </c>
      <c r="I2857" s="28"/>
    </row>
    <row r="2858" spans="2:9" x14ac:dyDescent="0.35">
      <c r="B2858" s="16">
        <v>45822</v>
      </c>
      <c r="C2858" s="6" t="s">
        <v>9</v>
      </c>
      <c r="D28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8" s="7">
        <v>34.69</v>
      </c>
      <c r="F2858" s="9">
        <v>2.67</v>
      </c>
      <c r="G2858" s="10">
        <v>52.971069366580203</v>
      </c>
      <c r="I2858" s="28"/>
    </row>
    <row r="2859" spans="2:9" x14ac:dyDescent="0.35">
      <c r="B2859" s="16">
        <v>45815</v>
      </c>
      <c r="C2859" s="6" t="s">
        <v>6</v>
      </c>
      <c r="D28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59" s="7">
        <v>25.4</v>
      </c>
      <c r="F2859" s="9">
        <v>2.44</v>
      </c>
      <c r="G2859" s="10">
        <v>51.74842232202262</v>
      </c>
      <c r="I2859" s="28"/>
    </row>
    <row r="2860" spans="2:9" x14ac:dyDescent="0.35">
      <c r="B2860" s="16">
        <v>45818</v>
      </c>
      <c r="C2860" s="6" t="s">
        <v>6</v>
      </c>
      <c r="D28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0" s="7">
        <v>81.739999999999995</v>
      </c>
      <c r="F2860" s="9">
        <v>2.0099999999999998</v>
      </c>
      <c r="G2860" s="10">
        <v>53.515557007513891</v>
      </c>
      <c r="I2860" s="28"/>
    </row>
    <row r="2861" spans="2:9" x14ac:dyDescent="0.35">
      <c r="B2861" s="16">
        <v>45817</v>
      </c>
      <c r="C2861" s="6" t="s">
        <v>2</v>
      </c>
      <c r="D28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1" s="7">
        <v>332.06</v>
      </c>
      <c r="F2861" s="9">
        <v>2.4500000000000002</v>
      </c>
      <c r="G2861" s="11">
        <v>52.74923729518423</v>
      </c>
      <c r="I2861" s="28"/>
    </row>
    <row r="2862" spans="2:9" x14ac:dyDescent="0.35">
      <c r="B2862" s="16">
        <v>45818</v>
      </c>
      <c r="C2862" s="6" t="s">
        <v>2</v>
      </c>
      <c r="D28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2" s="7">
        <v>484.47</v>
      </c>
      <c r="F2862" s="9">
        <v>0.3</v>
      </c>
      <c r="G2862" s="11">
        <v>53.326309281577707</v>
      </c>
      <c r="I2862" s="28"/>
    </row>
    <row r="2863" spans="2:9" x14ac:dyDescent="0.35">
      <c r="B2863" s="16">
        <v>45819</v>
      </c>
      <c r="C2863" s="6" t="s">
        <v>2</v>
      </c>
      <c r="D28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3" s="7">
        <v>575.25</v>
      </c>
      <c r="F2863" s="9">
        <v>0.78</v>
      </c>
      <c r="G2863" s="11">
        <v>53.698975356679632</v>
      </c>
      <c r="I2863" s="28"/>
    </row>
    <row r="2864" spans="2:9" x14ac:dyDescent="0.35">
      <c r="B2864" s="16">
        <v>45820</v>
      </c>
      <c r="C2864" s="6" t="s">
        <v>2</v>
      </c>
      <c r="D28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4" s="7">
        <v>609.96</v>
      </c>
      <c r="F2864" s="9">
        <v>0.16</v>
      </c>
      <c r="G2864" s="11">
        <v>54.012965686274505</v>
      </c>
      <c r="I2864" s="28"/>
    </row>
    <row r="2865" spans="2:9" x14ac:dyDescent="0.35">
      <c r="B2865" s="16">
        <v>45821</v>
      </c>
      <c r="C2865" s="6" t="s">
        <v>2</v>
      </c>
      <c r="D28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5" s="7">
        <v>513.51</v>
      </c>
      <c r="F2865" s="9">
        <v>0.44</v>
      </c>
      <c r="G2865" s="11">
        <v>52.972697289035473</v>
      </c>
      <c r="I2865" s="28"/>
    </row>
    <row r="2866" spans="2:9" x14ac:dyDescent="0.35">
      <c r="B2866" s="16">
        <v>45822</v>
      </c>
      <c r="C2866" s="6" t="s">
        <v>2</v>
      </c>
      <c r="D28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6" s="7">
        <v>376.29</v>
      </c>
      <c r="F2866" s="9">
        <v>0.88</v>
      </c>
      <c r="G2866" s="11">
        <v>53.440532889258954</v>
      </c>
      <c r="I2866" s="28"/>
    </row>
    <row r="2867" spans="2:9" x14ac:dyDescent="0.35">
      <c r="B2867" s="16">
        <v>45817</v>
      </c>
      <c r="C2867" s="6" t="s">
        <v>7</v>
      </c>
      <c r="D28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7" s="7">
        <v>102.93</v>
      </c>
      <c r="F2867" s="9">
        <v>0.24</v>
      </c>
      <c r="G2867" s="11">
        <v>54.787068936738436</v>
      </c>
      <c r="I2867" s="28"/>
    </row>
    <row r="2868" spans="2:9" x14ac:dyDescent="0.35">
      <c r="B2868" s="16">
        <v>45818</v>
      </c>
      <c r="C2868" s="6" t="s">
        <v>7</v>
      </c>
      <c r="D28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8" s="7">
        <v>48.83</v>
      </c>
      <c r="F2868" s="9">
        <v>0.34</v>
      </c>
      <c r="G2868" s="11">
        <v>54.181062772538276</v>
      </c>
      <c r="I2868" s="28"/>
    </row>
    <row r="2869" spans="2:9" x14ac:dyDescent="0.35">
      <c r="B2869" s="16">
        <v>45819</v>
      </c>
      <c r="C2869" s="6" t="s">
        <v>7</v>
      </c>
      <c r="D28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69" s="7">
        <v>24.39</v>
      </c>
      <c r="F2869" s="9">
        <v>0.61</v>
      </c>
      <c r="G2869" s="11">
        <v>53.96837952679865</v>
      </c>
      <c r="I2869" s="28"/>
    </row>
    <row r="2870" spans="2:9" x14ac:dyDescent="0.35">
      <c r="B2870" s="16">
        <v>45820</v>
      </c>
      <c r="C2870" s="6" t="s">
        <v>7</v>
      </c>
      <c r="D28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0" s="7">
        <v>248.72</v>
      </c>
      <c r="F2870" s="9">
        <v>7.28</v>
      </c>
      <c r="G2870" s="11">
        <v>49.896037664066959</v>
      </c>
      <c r="I2870" s="28"/>
    </row>
    <row r="2871" spans="2:9" x14ac:dyDescent="0.35">
      <c r="B2871" s="16">
        <v>45821</v>
      </c>
      <c r="C2871" s="6" t="s">
        <v>7</v>
      </c>
      <c r="D28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1" s="7">
        <v>24.66</v>
      </c>
      <c r="F2871" s="9">
        <v>2.65</v>
      </c>
      <c r="G2871" s="11">
        <v>49.819784679420472</v>
      </c>
      <c r="I2871" s="28"/>
    </row>
    <row r="2872" spans="2:9" x14ac:dyDescent="0.35">
      <c r="B2872" s="16">
        <v>45822</v>
      </c>
      <c r="C2872" s="6" t="s">
        <v>7</v>
      </c>
      <c r="D28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2" s="7">
        <v>0</v>
      </c>
      <c r="F2872" s="9">
        <v>1.1499999999999999</v>
      </c>
      <c r="G2872" s="11">
        <v>53.028276093710637</v>
      </c>
      <c r="I2872" s="28"/>
    </row>
    <row r="2873" spans="2:9" x14ac:dyDescent="0.35">
      <c r="B2873" s="16">
        <v>45820</v>
      </c>
      <c r="C2873" s="6" t="s">
        <v>4</v>
      </c>
      <c r="D28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3" s="7">
        <v>96.13</v>
      </c>
      <c r="F2873" s="11">
        <v>3.28</v>
      </c>
      <c r="G2873" s="11">
        <v>52.099954682779455</v>
      </c>
      <c r="I2873" s="28"/>
    </row>
    <row r="2874" spans="2:9" x14ac:dyDescent="0.35">
      <c r="B2874" s="16">
        <v>45821</v>
      </c>
      <c r="C2874" s="6" t="s">
        <v>4</v>
      </c>
      <c r="D28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4" s="7">
        <v>212.19</v>
      </c>
      <c r="F2874" s="11">
        <v>2.77</v>
      </c>
      <c r="G2874" s="11">
        <v>53.184229906397455</v>
      </c>
      <c r="I2874" s="28"/>
    </row>
    <row r="2875" spans="2:9" x14ac:dyDescent="0.35">
      <c r="B2875" s="16">
        <v>45821</v>
      </c>
      <c r="C2875" s="6" t="s">
        <v>4</v>
      </c>
      <c r="D28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5" s="7">
        <v>126.22</v>
      </c>
      <c r="F2875" s="11">
        <v>3.01</v>
      </c>
      <c r="G2875" s="11">
        <v>51.236813258943222</v>
      </c>
      <c r="I2875" s="28"/>
    </row>
    <row r="2876" spans="2:9" x14ac:dyDescent="0.35">
      <c r="B2876" s="16">
        <v>45822</v>
      </c>
      <c r="C2876" s="6" t="s">
        <v>4</v>
      </c>
      <c r="D28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6" s="7">
        <v>101.54</v>
      </c>
      <c r="F2876" s="11">
        <v>1.48</v>
      </c>
      <c r="G2876" s="11">
        <v>54.159869073757825</v>
      </c>
      <c r="I2876" s="28"/>
    </row>
    <row r="2877" spans="2:9" x14ac:dyDescent="0.35">
      <c r="B2877" s="16">
        <v>45824</v>
      </c>
      <c r="C2877" s="6" t="s">
        <v>5</v>
      </c>
      <c r="D287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7" s="7">
        <v>35.130000000000003</v>
      </c>
      <c r="F2877" s="9">
        <v>0</v>
      </c>
      <c r="G2877" s="10">
        <v>54.554254193868275</v>
      </c>
      <c r="I2877" s="28"/>
    </row>
    <row r="2878" spans="2:9" x14ac:dyDescent="0.35">
      <c r="B2878" s="16">
        <v>45825</v>
      </c>
      <c r="C2878" s="6" t="s">
        <v>5</v>
      </c>
      <c r="D287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8" s="7">
        <v>96.4</v>
      </c>
      <c r="F2878" s="9">
        <v>0.78</v>
      </c>
      <c r="G2878" s="10">
        <v>53.907718658243617</v>
      </c>
      <c r="I2878" s="28"/>
    </row>
    <row r="2879" spans="2:9" x14ac:dyDescent="0.35">
      <c r="B2879" s="16">
        <v>45826</v>
      </c>
      <c r="C2879" s="6" t="s">
        <v>5</v>
      </c>
      <c r="D287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79" s="7">
        <v>71.069999999999993</v>
      </c>
      <c r="F2879" s="9">
        <v>3.86</v>
      </c>
      <c r="G2879" s="10">
        <v>52.139772708350684</v>
      </c>
      <c r="I2879" s="28"/>
    </row>
    <row r="2880" spans="2:9" x14ac:dyDescent="0.35">
      <c r="B2880" s="16">
        <v>45828</v>
      </c>
      <c r="C2880" s="6" t="s">
        <v>5</v>
      </c>
      <c r="D288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0" s="7">
        <v>109.56</v>
      </c>
      <c r="F2880" s="9">
        <v>0.08</v>
      </c>
      <c r="G2880" s="10">
        <v>54.581739130434784</v>
      </c>
      <c r="I2880" s="28"/>
    </row>
    <row r="2881" spans="2:9" x14ac:dyDescent="0.35">
      <c r="B2881" s="16">
        <v>45824</v>
      </c>
      <c r="C2881" s="6" t="s">
        <v>3</v>
      </c>
      <c r="D288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1" s="7">
        <v>20.5</v>
      </c>
      <c r="F2881" s="11">
        <v>3.48</v>
      </c>
      <c r="G2881" s="11">
        <v>51.388081457663446</v>
      </c>
      <c r="I2881" s="28"/>
    </row>
    <row r="2882" spans="2:9" x14ac:dyDescent="0.35">
      <c r="B2882" s="16">
        <v>45825</v>
      </c>
      <c r="C2882" s="6" t="s">
        <v>3</v>
      </c>
      <c r="D288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2" s="7">
        <v>43.86</v>
      </c>
      <c r="F2882" s="11">
        <v>4.7300000000000004</v>
      </c>
      <c r="G2882" s="11">
        <v>45.155236673399493</v>
      </c>
      <c r="I2882" s="28"/>
    </row>
    <row r="2883" spans="2:9" x14ac:dyDescent="0.35">
      <c r="B2883" s="16">
        <v>45826</v>
      </c>
      <c r="C2883" s="6" t="s">
        <v>3</v>
      </c>
      <c r="D288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3" s="7">
        <v>21.42</v>
      </c>
      <c r="F2883" s="11">
        <v>5.75</v>
      </c>
      <c r="G2883" s="11">
        <v>50.726895977346544</v>
      </c>
      <c r="I2883" s="28"/>
    </row>
    <row r="2884" spans="2:9" x14ac:dyDescent="0.35">
      <c r="B2884" s="16">
        <v>45827</v>
      </c>
      <c r="C2884" s="6" t="s">
        <v>3</v>
      </c>
      <c r="D288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4" s="7">
        <v>90.12</v>
      </c>
      <c r="F2884" s="11">
        <v>6.49</v>
      </c>
      <c r="G2884" s="11">
        <v>49.863679237463728</v>
      </c>
      <c r="I2884" s="28"/>
    </row>
    <row r="2885" spans="2:9" x14ac:dyDescent="0.35">
      <c r="B2885" s="16">
        <v>45828</v>
      </c>
      <c r="C2885" s="6" t="s">
        <v>3</v>
      </c>
      <c r="D288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5" s="7">
        <v>91.02</v>
      </c>
      <c r="F2885" s="11">
        <v>4.62</v>
      </c>
      <c r="G2885" s="11">
        <v>51.331341051616015</v>
      </c>
      <c r="I2885" s="28"/>
    </row>
    <row r="2886" spans="2:9" x14ac:dyDescent="0.35">
      <c r="B2886" s="16">
        <v>45829</v>
      </c>
      <c r="C2886" s="6" t="s">
        <v>3</v>
      </c>
      <c r="D288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6" s="7">
        <v>63.38</v>
      </c>
      <c r="F2886" s="11">
        <v>2.81</v>
      </c>
      <c r="G2886" s="11">
        <v>52.785660802134572</v>
      </c>
      <c r="I2886" s="28"/>
    </row>
    <row r="2887" spans="2:9" x14ac:dyDescent="0.35">
      <c r="B2887" s="16">
        <v>45822</v>
      </c>
      <c r="C2887" s="6" t="s">
        <v>2</v>
      </c>
      <c r="D288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7" s="7">
        <v>376.29</v>
      </c>
      <c r="F2887" s="9">
        <v>0.88</v>
      </c>
      <c r="G2887" s="11">
        <v>53.440532889258954</v>
      </c>
      <c r="I2887" s="28"/>
    </row>
    <row r="2888" spans="2:9" x14ac:dyDescent="0.35">
      <c r="B2888" s="16">
        <v>45824</v>
      </c>
      <c r="C2888" s="6" t="s">
        <v>2</v>
      </c>
      <c r="D288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8" s="7">
        <v>166.62</v>
      </c>
      <c r="F2888" s="9">
        <v>0.09</v>
      </c>
      <c r="G2888" s="11">
        <v>54.637475360121307</v>
      </c>
      <c r="I2888" s="28"/>
    </row>
    <row r="2889" spans="2:9" x14ac:dyDescent="0.35">
      <c r="B2889" s="16">
        <v>45825</v>
      </c>
      <c r="C2889" s="6" t="s">
        <v>2</v>
      </c>
      <c r="D288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89" s="7">
        <v>255.4</v>
      </c>
      <c r="F2889" s="9">
        <v>0.69</v>
      </c>
      <c r="G2889" s="11">
        <v>53.004157446036636</v>
      </c>
      <c r="I2889" s="28"/>
    </row>
    <row r="2890" spans="2:9" x14ac:dyDescent="0.35">
      <c r="B2890" s="16">
        <v>45826</v>
      </c>
      <c r="C2890" s="6" t="s">
        <v>2</v>
      </c>
      <c r="D289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0" s="7">
        <v>441.73</v>
      </c>
      <c r="F2890" s="9">
        <v>0.16</v>
      </c>
      <c r="G2890" s="11">
        <v>53.827075565912111</v>
      </c>
      <c r="I2890" s="28"/>
    </row>
    <row r="2891" spans="2:9" x14ac:dyDescent="0.35">
      <c r="B2891" s="16">
        <v>45827</v>
      </c>
      <c r="C2891" s="6" t="s">
        <v>2</v>
      </c>
      <c r="D289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1" s="7">
        <v>163.44</v>
      </c>
      <c r="F2891" s="9">
        <v>0.56000000000000005</v>
      </c>
      <c r="G2891" s="11">
        <v>54.332257392753014</v>
      </c>
      <c r="I2891" s="28"/>
    </row>
    <row r="2892" spans="2:9" x14ac:dyDescent="0.35">
      <c r="B2892" s="16">
        <v>45828</v>
      </c>
      <c r="C2892" s="6" t="s">
        <v>2</v>
      </c>
      <c r="D289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2" s="7">
        <v>898.45</v>
      </c>
      <c r="F2892" s="9">
        <v>0.04</v>
      </c>
      <c r="G2892" s="11">
        <v>55.201063776781268</v>
      </c>
      <c r="I2892" s="28"/>
    </row>
    <row r="2893" spans="2:9" x14ac:dyDescent="0.35">
      <c r="B2893" s="16">
        <v>45829</v>
      </c>
      <c r="C2893" s="6" t="s">
        <v>2</v>
      </c>
      <c r="D289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3" s="7">
        <v>488.99</v>
      </c>
      <c r="F2893" s="9">
        <v>0.12</v>
      </c>
      <c r="G2893" s="11">
        <v>53.822968828138023</v>
      </c>
      <c r="I2893" s="28"/>
    </row>
    <row r="2894" spans="2:9" x14ac:dyDescent="0.35">
      <c r="B2894" s="16">
        <v>45827</v>
      </c>
      <c r="C2894" s="6" t="s">
        <v>7</v>
      </c>
      <c r="D289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4" s="7">
        <v>43.54</v>
      </c>
      <c r="F2894" s="9">
        <v>1.08</v>
      </c>
      <c r="G2894" s="11">
        <v>54.650418935902806</v>
      </c>
      <c r="I2894" s="28"/>
    </row>
    <row r="2895" spans="2:9" x14ac:dyDescent="0.35">
      <c r="B2895" s="16">
        <v>45824</v>
      </c>
      <c r="C2895" s="6" t="s">
        <v>4</v>
      </c>
      <c r="D289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5" s="7">
        <v>47.89</v>
      </c>
      <c r="F2895" s="11">
        <v>3.43</v>
      </c>
      <c r="G2895" s="11">
        <v>52.151931238995459</v>
      </c>
      <c r="I2895" s="28"/>
    </row>
    <row r="2896" spans="2:9" x14ac:dyDescent="0.35">
      <c r="B2896" s="16">
        <v>45825</v>
      </c>
      <c r="C2896" s="6" t="s">
        <v>4</v>
      </c>
      <c r="D289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6" s="7">
        <v>97.93</v>
      </c>
      <c r="F2896" s="11">
        <v>2.11</v>
      </c>
      <c r="G2896" s="11">
        <v>53.439268530242522</v>
      </c>
      <c r="I2896" s="28"/>
    </row>
    <row r="2897" spans="2:9" x14ac:dyDescent="0.35">
      <c r="B2897" s="16">
        <v>45826</v>
      </c>
      <c r="C2897" s="6" t="s">
        <v>4</v>
      </c>
      <c r="D289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7" s="7">
        <v>269.06</v>
      </c>
      <c r="F2897" s="11">
        <v>1.9</v>
      </c>
      <c r="G2897" s="11">
        <v>53.441978551833074</v>
      </c>
      <c r="I2897" s="28"/>
    </row>
    <row r="2898" spans="2:9" x14ac:dyDescent="0.35">
      <c r="B2898" s="16">
        <v>45827</v>
      </c>
      <c r="C2898" s="6" t="s">
        <v>4</v>
      </c>
      <c r="D289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8" s="7">
        <v>272.36</v>
      </c>
      <c r="F2898" s="11">
        <v>3.31</v>
      </c>
      <c r="G2898" s="11">
        <v>50.618333333333339</v>
      </c>
      <c r="I2898" s="28"/>
    </row>
    <row r="2899" spans="2:9" x14ac:dyDescent="0.35">
      <c r="B2899" s="16">
        <v>45828</v>
      </c>
      <c r="C2899" s="6" t="s">
        <v>4</v>
      </c>
      <c r="D289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899" s="7">
        <v>228.39</v>
      </c>
      <c r="F2899" s="11">
        <v>2.74</v>
      </c>
      <c r="G2899" s="11">
        <v>53.475581223281814</v>
      </c>
      <c r="I2899" s="28"/>
    </row>
    <row r="2900" spans="2:9" x14ac:dyDescent="0.35">
      <c r="B2900" s="16">
        <v>45832</v>
      </c>
      <c r="C2900" s="6" t="s">
        <v>5</v>
      </c>
      <c r="D290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0" s="7">
        <v>138.52000000000001</v>
      </c>
      <c r="F2900" s="9">
        <v>0.08</v>
      </c>
      <c r="G2900" s="10">
        <v>53.253333333333337</v>
      </c>
      <c r="I2900" s="28"/>
    </row>
    <row r="2901" spans="2:9" x14ac:dyDescent="0.35">
      <c r="B2901" s="16">
        <v>45834</v>
      </c>
      <c r="C2901" s="6" t="s">
        <v>5</v>
      </c>
      <c r="D290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1" s="7">
        <v>144.44999999999999</v>
      </c>
      <c r="F2901" s="9">
        <v>1.43</v>
      </c>
      <c r="G2901" s="10">
        <v>52.873333333333335</v>
      </c>
      <c r="I2901" s="28"/>
    </row>
    <row r="2902" spans="2:9" x14ac:dyDescent="0.35">
      <c r="B2902" s="16">
        <v>45835</v>
      </c>
      <c r="C2902" s="6" t="s">
        <v>5</v>
      </c>
      <c r="D290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2" s="7">
        <v>142.52000000000001</v>
      </c>
      <c r="F2902" s="9">
        <v>0.35042500000000004</v>
      </c>
      <c r="G2902" s="10">
        <v>54.459148752749456</v>
      </c>
      <c r="I2902" s="28"/>
    </row>
    <row r="2903" spans="2:9" x14ac:dyDescent="0.35">
      <c r="B2903" s="16">
        <v>45840</v>
      </c>
      <c r="C2903" s="6" t="s">
        <v>5</v>
      </c>
      <c r="D290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3" s="7">
        <v>138.88</v>
      </c>
      <c r="F2903" s="9">
        <v>0.62595000000000001</v>
      </c>
      <c r="G2903" s="10">
        <v>53.830027623863757</v>
      </c>
      <c r="I2903" s="28"/>
    </row>
    <row r="2904" spans="2:9" x14ac:dyDescent="0.35">
      <c r="B2904" s="16">
        <v>45832</v>
      </c>
      <c r="C2904" s="6" t="s">
        <v>3</v>
      </c>
      <c r="D290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4" s="7">
        <v>22.08</v>
      </c>
      <c r="F2904" s="11">
        <v>0.73</v>
      </c>
      <c r="G2904" s="11">
        <v>54.064967046135415</v>
      </c>
      <c r="I2904" s="28"/>
    </row>
    <row r="2905" spans="2:9" x14ac:dyDescent="0.35">
      <c r="B2905" s="16">
        <v>45833</v>
      </c>
      <c r="C2905" s="6" t="s">
        <v>3</v>
      </c>
      <c r="D290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5" s="7">
        <v>43.5</v>
      </c>
      <c r="F2905" s="11">
        <v>0.87</v>
      </c>
      <c r="G2905" s="11">
        <v>54.766169344767299</v>
      </c>
      <c r="I2905" s="28"/>
    </row>
    <row r="2906" spans="2:9" x14ac:dyDescent="0.35">
      <c r="B2906" s="16">
        <v>45834</v>
      </c>
      <c r="C2906" s="6" t="s">
        <v>3</v>
      </c>
      <c r="D290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6" s="7">
        <v>63.38</v>
      </c>
      <c r="F2906" s="11">
        <v>11.76</v>
      </c>
      <c r="G2906" s="11">
        <v>44.7235802983582</v>
      </c>
      <c r="I2906" s="28"/>
    </row>
    <row r="2907" spans="2:9" x14ac:dyDescent="0.35">
      <c r="B2907" s="16">
        <v>45835</v>
      </c>
      <c r="C2907" s="6" t="s">
        <v>3</v>
      </c>
      <c r="D290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7" s="7">
        <v>69.66</v>
      </c>
      <c r="F2907" s="11">
        <v>8.0624500000000001</v>
      </c>
      <c r="G2907" s="11">
        <v>47.194087973642098</v>
      </c>
      <c r="I2907" s="28"/>
    </row>
    <row r="2908" spans="2:9" x14ac:dyDescent="0.35">
      <c r="B2908" s="16">
        <v>45836</v>
      </c>
      <c r="C2908" s="6" t="s">
        <v>3</v>
      </c>
      <c r="D290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8" s="7">
        <v>92.98</v>
      </c>
      <c r="F2908" s="11">
        <v>2.3780750000000004</v>
      </c>
      <c r="G2908" s="11">
        <v>52.364773980154354</v>
      </c>
      <c r="I2908" s="28"/>
    </row>
    <row r="2909" spans="2:9" x14ac:dyDescent="0.35">
      <c r="B2909" s="16">
        <v>45839</v>
      </c>
      <c r="C2909" s="6" t="s">
        <v>3</v>
      </c>
      <c r="D290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09" s="7">
        <v>0</v>
      </c>
      <c r="F2909" s="11">
        <v>8.8596000000000004</v>
      </c>
      <c r="G2909" s="11">
        <v>45.61347943779905</v>
      </c>
      <c r="I2909" s="28"/>
    </row>
    <row r="2910" spans="2:9" x14ac:dyDescent="0.35">
      <c r="B2910" s="16">
        <v>45840</v>
      </c>
      <c r="C2910" s="6" t="s">
        <v>3</v>
      </c>
      <c r="D291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0" s="7">
        <v>0</v>
      </c>
      <c r="F2910" s="11">
        <v>5.5934250000000008</v>
      </c>
      <c r="G2910" s="11">
        <v>50.644120097240275</v>
      </c>
      <c r="I2910" s="28"/>
    </row>
    <row r="2911" spans="2:9" x14ac:dyDescent="0.35">
      <c r="B2911" s="16">
        <v>45832</v>
      </c>
      <c r="C2911" s="6" t="s">
        <v>2</v>
      </c>
      <c r="D291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1" s="7">
        <v>101.89</v>
      </c>
      <c r="F2911" s="9">
        <v>0.11</v>
      </c>
      <c r="G2911" s="11">
        <v>55.175304557953503</v>
      </c>
      <c r="I2911" s="28"/>
    </row>
    <row r="2912" spans="2:9" x14ac:dyDescent="0.35">
      <c r="B2912" s="16">
        <v>45833</v>
      </c>
      <c r="C2912" s="6" t="s">
        <v>2</v>
      </c>
      <c r="D291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2" s="7">
        <v>570</v>
      </c>
      <c r="F2912" s="9">
        <v>3.05</v>
      </c>
      <c r="G2912" s="11">
        <v>51.193446092317949</v>
      </c>
      <c r="I2912" s="28"/>
    </row>
    <row r="2913" spans="2:9" x14ac:dyDescent="0.35">
      <c r="B2913" s="16">
        <v>45834</v>
      </c>
      <c r="C2913" s="6" t="s">
        <v>2</v>
      </c>
      <c r="D291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3" s="7">
        <v>458.83</v>
      </c>
      <c r="F2913" s="9">
        <v>0.72</v>
      </c>
      <c r="G2913" s="11">
        <v>54.274572047670631</v>
      </c>
      <c r="I2913" s="28"/>
    </row>
    <row r="2914" spans="2:9" x14ac:dyDescent="0.35">
      <c r="B2914" s="16">
        <v>45835</v>
      </c>
      <c r="C2914" s="6" t="s">
        <v>2</v>
      </c>
      <c r="D291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4" s="7">
        <v>531.47</v>
      </c>
      <c r="F2914" s="9">
        <v>0.52965000000000007</v>
      </c>
      <c r="G2914" s="11">
        <v>53.509577576742331</v>
      </c>
      <c r="I2914" s="28"/>
    </row>
    <row r="2915" spans="2:9" x14ac:dyDescent="0.35">
      <c r="B2915" s="16">
        <v>45839</v>
      </c>
      <c r="C2915" s="6" t="s">
        <v>2</v>
      </c>
      <c r="D291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5" s="7">
        <v>115.55</v>
      </c>
      <c r="F2915" s="9">
        <v>0.52162500000000001</v>
      </c>
      <c r="G2915" s="11">
        <v>53.051414444111472</v>
      </c>
      <c r="I2915" s="28"/>
    </row>
    <row r="2916" spans="2:9" x14ac:dyDescent="0.35">
      <c r="B2916" s="16">
        <v>45840</v>
      </c>
      <c r="C2916" s="6" t="s">
        <v>2</v>
      </c>
      <c r="D291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6" s="7">
        <v>135.74</v>
      </c>
      <c r="F2916" s="9">
        <v>0.61257500000000009</v>
      </c>
      <c r="G2916" s="11">
        <v>53.503010494752623</v>
      </c>
      <c r="I2916" s="28"/>
    </row>
    <row r="2917" spans="2:9" x14ac:dyDescent="0.35">
      <c r="B2917" s="16">
        <v>45834</v>
      </c>
      <c r="C2917" s="6" t="s">
        <v>4</v>
      </c>
      <c r="D291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7" s="7">
        <v>151.22999999999999</v>
      </c>
      <c r="F2917" s="11">
        <v>3.86</v>
      </c>
      <c r="G2917" s="11">
        <v>52.460254442312497</v>
      </c>
      <c r="I2917" s="28"/>
    </row>
    <row r="2918" spans="2:9" x14ac:dyDescent="0.35">
      <c r="B2918" s="16">
        <v>45835</v>
      </c>
      <c r="C2918" s="6" t="s">
        <v>4</v>
      </c>
      <c r="D291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8" s="7">
        <v>125.84</v>
      </c>
      <c r="F2918" s="11">
        <v>6.6366750000000003</v>
      </c>
      <c r="G2918" s="11">
        <v>50.385091094140584</v>
      </c>
      <c r="I2918" s="28"/>
    </row>
    <row r="2919" spans="2:9" x14ac:dyDescent="0.35">
      <c r="B2919" s="18">
        <v>45841</v>
      </c>
      <c r="C2919" s="6" t="s">
        <v>5</v>
      </c>
      <c r="D291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19" s="7">
        <v>153.88</v>
      </c>
      <c r="F2919" s="9">
        <v>0.83727499999999999</v>
      </c>
      <c r="G2919" s="10">
        <v>53.698272958503338</v>
      </c>
      <c r="I2919" s="28"/>
    </row>
    <row r="2920" spans="2:9" x14ac:dyDescent="0.35">
      <c r="B2920" s="18">
        <v>45843</v>
      </c>
      <c r="C2920" s="6" t="s">
        <v>5</v>
      </c>
      <c r="D292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0" s="7">
        <v>33.5</v>
      </c>
      <c r="F2920" s="9">
        <v>0.70085000000000008</v>
      </c>
      <c r="G2920" s="10">
        <v>54.129320779758913</v>
      </c>
      <c r="I2920" s="28"/>
    </row>
    <row r="2921" spans="2:9" x14ac:dyDescent="0.35">
      <c r="B2921" s="18">
        <v>45846</v>
      </c>
      <c r="C2921" s="6" t="s">
        <v>5</v>
      </c>
      <c r="D292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1" s="7">
        <v>74.63</v>
      </c>
      <c r="F2921" s="9">
        <v>1.0900000000000001</v>
      </c>
      <c r="G2921" s="10">
        <v>53.832395145457788</v>
      </c>
      <c r="I2921" s="28"/>
    </row>
    <row r="2922" spans="2:9" x14ac:dyDescent="0.35">
      <c r="B2922" s="18">
        <v>45847</v>
      </c>
      <c r="C2922" s="6" t="s">
        <v>5</v>
      </c>
      <c r="D292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2" s="7">
        <v>69.2</v>
      </c>
      <c r="F2922" s="9">
        <v>1.58</v>
      </c>
      <c r="G2922" s="10">
        <v>53.374545980335455</v>
      </c>
      <c r="I2922" s="28"/>
    </row>
    <row r="2923" spans="2:9" x14ac:dyDescent="0.35">
      <c r="B2923" s="18">
        <v>45852</v>
      </c>
      <c r="C2923" s="6" t="s">
        <v>5</v>
      </c>
      <c r="D292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3" s="7">
        <v>69.900000000000006</v>
      </c>
      <c r="F2923" s="9">
        <v>0.32</v>
      </c>
      <c r="G2923" s="10">
        <v>53.374711274060495</v>
      </c>
      <c r="I2923" s="28"/>
    </row>
    <row r="2924" spans="2:9" x14ac:dyDescent="0.35">
      <c r="B2924" s="18">
        <v>45854</v>
      </c>
      <c r="C2924" s="6" t="s">
        <v>5</v>
      </c>
      <c r="D292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4" s="7">
        <v>33.85</v>
      </c>
      <c r="F2924" s="9">
        <v>2.13</v>
      </c>
      <c r="G2924" s="10">
        <v>52.540254011773243</v>
      </c>
      <c r="I2924" s="28"/>
    </row>
    <row r="2925" spans="2:9" x14ac:dyDescent="0.35">
      <c r="B2925" s="16">
        <v>45856</v>
      </c>
      <c r="C2925" s="6" t="s">
        <v>5</v>
      </c>
      <c r="D292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5" s="7">
        <v>66.989999999999995</v>
      </c>
      <c r="F2925" s="9">
        <v>0.6</v>
      </c>
      <c r="G2925" s="10">
        <v>53.652336981655615</v>
      </c>
      <c r="I2925" s="28"/>
    </row>
    <row r="2926" spans="2:9" x14ac:dyDescent="0.35">
      <c r="B2926" s="16">
        <v>45857</v>
      </c>
      <c r="C2926" s="6" t="s">
        <v>5</v>
      </c>
      <c r="D292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6" s="7">
        <v>73.3</v>
      </c>
      <c r="F2926" s="9">
        <v>0.43</v>
      </c>
      <c r="G2926" s="10">
        <v>53.825819924968734</v>
      </c>
      <c r="I2926" s="28"/>
    </row>
    <row r="2927" spans="2:9" x14ac:dyDescent="0.35">
      <c r="B2927" s="16">
        <v>45859</v>
      </c>
      <c r="C2927" s="6" t="s">
        <v>5</v>
      </c>
      <c r="D292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7" s="7">
        <v>69.23</v>
      </c>
      <c r="F2927" s="9">
        <v>0.43</v>
      </c>
      <c r="G2927" s="10">
        <v>54.538118391474484</v>
      </c>
      <c r="I2927" s="28"/>
    </row>
    <row r="2928" spans="2:9" x14ac:dyDescent="0.35">
      <c r="B2928" s="16">
        <v>45860</v>
      </c>
      <c r="C2928" s="6" t="s">
        <v>5</v>
      </c>
      <c r="D292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8" s="7">
        <v>65.599999999999994</v>
      </c>
      <c r="F2928" s="9">
        <v>0.7</v>
      </c>
      <c r="G2928" s="10">
        <v>53.638463842889237</v>
      </c>
      <c r="I2928" s="28"/>
    </row>
    <row r="2929" spans="2:9" x14ac:dyDescent="0.35">
      <c r="B2929" s="16">
        <v>45862</v>
      </c>
      <c r="C2929" s="6" t="s">
        <v>5</v>
      </c>
      <c r="D292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29" s="7">
        <v>105.49</v>
      </c>
      <c r="F2929" s="9">
        <v>1.39</v>
      </c>
      <c r="G2929" s="10">
        <v>53.551462327949714</v>
      </c>
      <c r="I2929" s="28"/>
    </row>
    <row r="2930" spans="2:9" x14ac:dyDescent="0.35">
      <c r="B2930" s="16">
        <v>45863</v>
      </c>
      <c r="C2930" s="6" t="s">
        <v>5</v>
      </c>
      <c r="D293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0" s="7">
        <v>72.260000000000005</v>
      </c>
      <c r="F2930" s="9">
        <v>0.72</v>
      </c>
      <c r="G2930" s="10">
        <v>53.320394545315253</v>
      </c>
      <c r="I2930" s="28"/>
    </row>
    <row r="2931" spans="2:9" x14ac:dyDescent="0.35">
      <c r="B2931" s="16">
        <v>45864</v>
      </c>
      <c r="C2931" s="6" t="s">
        <v>5</v>
      </c>
      <c r="D293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1" s="7">
        <v>405.39</v>
      </c>
      <c r="F2931" s="9">
        <v>0.6</v>
      </c>
      <c r="G2931" s="10">
        <v>53.246617766911164</v>
      </c>
      <c r="I2931" s="28"/>
    </row>
    <row r="2932" spans="2:9" x14ac:dyDescent="0.35">
      <c r="B2932" s="18">
        <v>45842</v>
      </c>
      <c r="C2932" s="6" t="s">
        <v>3</v>
      </c>
      <c r="D293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2" s="7">
        <v>88.92</v>
      </c>
      <c r="F2932" s="11">
        <v>3.8573500000000003</v>
      </c>
      <c r="G2932" s="11">
        <v>51.718755925039872</v>
      </c>
      <c r="I2932" s="28"/>
    </row>
    <row r="2933" spans="2:9" x14ac:dyDescent="0.35">
      <c r="B2933" s="16">
        <v>45843</v>
      </c>
      <c r="C2933" s="6" t="s">
        <v>3</v>
      </c>
      <c r="D293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3" s="7">
        <v>22.04</v>
      </c>
      <c r="F2933" s="11">
        <v>11.422250000000002</v>
      </c>
      <c r="G2933" s="11">
        <v>42.69572906908256</v>
      </c>
      <c r="I2933" s="28"/>
    </row>
    <row r="2934" spans="2:9" x14ac:dyDescent="0.35">
      <c r="B2934" s="16">
        <v>45845</v>
      </c>
      <c r="C2934" s="6" t="s">
        <v>3</v>
      </c>
      <c r="D293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4" s="7">
        <v>108.6</v>
      </c>
      <c r="F2934" s="11">
        <v>4.28</v>
      </c>
      <c r="G2934" s="11">
        <v>46.640357583230582</v>
      </c>
      <c r="I2934" s="28"/>
    </row>
    <row r="2935" spans="2:9" x14ac:dyDescent="0.35">
      <c r="B2935" s="16">
        <v>45849</v>
      </c>
      <c r="C2935" s="6" t="s">
        <v>3</v>
      </c>
      <c r="D293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5" s="7">
        <v>91.4</v>
      </c>
      <c r="F2935" s="11">
        <v>3.49</v>
      </c>
      <c r="G2935" s="11">
        <v>51.971717180244823</v>
      </c>
      <c r="I2935" s="28"/>
    </row>
    <row r="2936" spans="2:9" x14ac:dyDescent="0.35">
      <c r="B2936" s="16">
        <v>45852</v>
      </c>
      <c r="C2936" s="6" t="s">
        <v>3</v>
      </c>
      <c r="D293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6" s="7">
        <v>89.7</v>
      </c>
      <c r="F2936" s="11">
        <v>3.49</v>
      </c>
      <c r="G2936" s="11">
        <v>51.971717180244823</v>
      </c>
      <c r="I2936" s="28"/>
    </row>
    <row r="2937" spans="2:9" x14ac:dyDescent="0.35">
      <c r="B2937" s="16">
        <v>45853</v>
      </c>
      <c r="C2937" s="6" t="s">
        <v>3</v>
      </c>
      <c r="D293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7" s="7">
        <v>87.38</v>
      </c>
      <c r="F2937" s="11">
        <v>3.74</v>
      </c>
      <c r="G2937" s="11">
        <v>51.920830822895198</v>
      </c>
      <c r="I2937" s="28"/>
    </row>
    <row r="2938" spans="2:9" x14ac:dyDescent="0.35">
      <c r="B2938" s="16">
        <v>45854</v>
      </c>
      <c r="C2938" s="6" t="s">
        <v>3</v>
      </c>
      <c r="D293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8" s="7">
        <v>86.26</v>
      </c>
      <c r="F2938" s="11">
        <v>5.91</v>
      </c>
      <c r="G2938" s="11">
        <v>48.420552212972886</v>
      </c>
      <c r="I2938" s="28"/>
    </row>
    <row r="2939" spans="2:9" x14ac:dyDescent="0.35">
      <c r="B2939" s="16">
        <v>45855</v>
      </c>
      <c r="C2939" s="6" t="s">
        <v>3</v>
      </c>
      <c r="D293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39" s="7">
        <v>86.7</v>
      </c>
      <c r="F2939" s="11">
        <v>4.8899999999999997</v>
      </c>
      <c r="G2939" s="11">
        <v>50.76369429404415</v>
      </c>
      <c r="I2939" s="28"/>
    </row>
    <row r="2940" spans="2:9" x14ac:dyDescent="0.35">
      <c r="B2940" s="16">
        <v>45856</v>
      </c>
      <c r="C2940" s="6" t="s">
        <v>3</v>
      </c>
      <c r="D294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0" s="7">
        <v>45.44</v>
      </c>
      <c r="F2940" s="11">
        <v>3.48</v>
      </c>
      <c r="G2940" s="11">
        <v>52.184516827724096</v>
      </c>
      <c r="I2940" s="28"/>
    </row>
    <row r="2941" spans="2:9" x14ac:dyDescent="0.35">
      <c r="B2941" s="16">
        <v>45857</v>
      </c>
      <c r="C2941" s="6" t="s">
        <v>3</v>
      </c>
      <c r="D294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1" s="7">
        <v>23.06</v>
      </c>
      <c r="F2941" s="11">
        <v>3.61</v>
      </c>
      <c r="G2941" s="11">
        <v>52.025266183454143</v>
      </c>
      <c r="I2941" s="28"/>
    </row>
    <row r="2942" spans="2:9" x14ac:dyDescent="0.35">
      <c r="B2942" s="16">
        <v>45859</v>
      </c>
      <c r="C2942" s="6" t="s">
        <v>3</v>
      </c>
      <c r="D294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2" s="7">
        <v>67.58</v>
      </c>
      <c r="F2942" s="11">
        <v>4.7</v>
      </c>
      <c r="G2942" s="11">
        <v>51.672894824707846</v>
      </c>
      <c r="I2942" s="28"/>
    </row>
    <row r="2943" spans="2:9" x14ac:dyDescent="0.35">
      <c r="B2943" s="16">
        <v>45860</v>
      </c>
      <c r="C2943" s="6" t="s">
        <v>3</v>
      </c>
      <c r="D294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3" s="7">
        <v>87.68</v>
      </c>
      <c r="F2943" s="11">
        <v>5.61</v>
      </c>
      <c r="G2943" s="11">
        <v>49.933769198837695</v>
      </c>
      <c r="I2943" s="28"/>
    </row>
    <row r="2944" spans="2:9" x14ac:dyDescent="0.35">
      <c r="B2944" s="16">
        <v>45860</v>
      </c>
      <c r="C2944" s="6" t="s">
        <v>3</v>
      </c>
      <c r="D294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4" s="7">
        <v>43.66</v>
      </c>
      <c r="F2944" s="11">
        <v>4.9000000000000004</v>
      </c>
      <c r="G2944" s="11">
        <v>50.345135360266561</v>
      </c>
      <c r="I2944" s="28"/>
    </row>
    <row r="2945" spans="2:9" x14ac:dyDescent="0.35">
      <c r="B2945" s="16">
        <v>45862</v>
      </c>
      <c r="C2945" s="6" t="s">
        <v>3</v>
      </c>
      <c r="D294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5" s="7">
        <v>44.74</v>
      </c>
      <c r="F2945" s="11">
        <v>5.3</v>
      </c>
      <c r="G2945" s="11">
        <v>50.321877554424887</v>
      </c>
      <c r="I2945" s="28"/>
    </row>
    <row r="2946" spans="2:9" x14ac:dyDescent="0.35">
      <c r="B2946" s="16">
        <v>45863</v>
      </c>
      <c r="C2946" s="6" t="s">
        <v>3</v>
      </c>
      <c r="D294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6" s="7">
        <v>0</v>
      </c>
      <c r="F2946" s="11">
        <v>2.8</v>
      </c>
      <c r="G2946" s="11">
        <v>52.035732135884416</v>
      </c>
      <c r="I2946" s="28"/>
    </row>
    <row r="2947" spans="2:9" x14ac:dyDescent="0.35">
      <c r="B2947" s="16">
        <v>45864</v>
      </c>
      <c r="C2947" s="6" t="s">
        <v>3</v>
      </c>
      <c r="D294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7" s="7">
        <v>44.94</v>
      </c>
      <c r="F2947" s="11">
        <v>2.5499999999999998</v>
      </c>
      <c r="G2947" s="11">
        <v>52.290654429369511</v>
      </c>
      <c r="I2947" s="28"/>
    </row>
    <row r="2948" spans="2:9" x14ac:dyDescent="0.35">
      <c r="B2948" s="16">
        <v>45841</v>
      </c>
      <c r="C2948" s="6" t="s">
        <v>2</v>
      </c>
      <c r="D294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8" s="7">
        <v>686.89</v>
      </c>
      <c r="F2948" s="9">
        <v>0.97637499999999999</v>
      </c>
      <c r="G2948" s="11">
        <v>52.014806023735908</v>
      </c>
      <c r="I2948" s="28"/>
    </row>
    <row r="2949" spans="2:9" x14ac:dyDescent="0.35">
      <c r="B2949" s="16">
        <v>45843</v>
      </c>
      <c r="C2949" s="6" t="s">
        <v>2</v>
      </c>
      <c r="D294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49" s="7">
        <v>294.65999999999997</v>
      </c>
      <c r="F2949" s="9">
        <v>1.01115</v>
      </c>
      <c r="G2949" s="11">
        <v>53.012244714798562</v>
      </c>
      <c r="I2949" s="28"/>
    </row>
    <row r="2950" spans="2:9" x14ac:dyDescent="0.35">
      <c r="B2950" s="16">
        <v>45845</v>
      </c>
      <c r="C2950" s="6" t="s">
        <v>2</v>
      </c>
      <c r="D295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0" s="7">
        <v>334.82</v>
      </c>
      <c r="F2950" s="9">
        <v>0.45</v>
      </c>
      <c r="G2950" s="11">
        <v>54.631533101045292</v>
      </c>
      <c r="I2950" s="28"/>
    </row>
    <row r="2951" spans="2:9" x14ac:dyDescent="0.35">
      <c r="B2951" s="16">
        <v>45846</v>
      </c>
      <c r="C2951" s="6" t="s">
        <v>2</v>
      </c>
      <c r="D295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1" s="7">
        <v>364.02</v>
      </c>
      <c r="F2951" s="9">
        <v>0.53</v>
      </c>
      <c r="G2951" s="11">
        <v>54.228588253057531</v>
      </c>
      <c r="I2951" s="28"/>
    </row>
    <row r="2952" spans="2:9" x14ac:dyDescent="0.35">
      <c r="B2952" s="16">
        <v>45847</v>
      </c>
      <c r="C2952" s="6" t="s">
        <v>2</v>
      </c>
      <c r="D295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2" s="7">
        <v>293.41000000000003</v>
      </c>
      <c r="F2952" s="9">
        <v>0.65</v>
      </c>
      <c r="G2952" s="11">
        <v>54.113757424947828</v>
      </c>
      <c r="I2952" s="28"/>
    </row>
    <row r="2953" spans="2:9" x14ac:dyDescent="0.35">
      <c r="B2953" s="16">
        <v>45848</v>
      </c>
      <c r="C2953" s="6" t="s">
        <v>2</v>
      </c>
      <c r="D295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3" s="7">
        <v>334.71</v>
      </c>
      <c r="F2953" s="9">
        <v>0.04</v>
      </c>
      <c r="G2953" s="11">
        <v>54.726379121280793</v>
      </c>
      <c r="I2953" s="28"/>
    </row>
    <row r="2954" spans="2:9" x14ac:dyDescent="0.35">
      <c r="B2954" s="16">
        <v>45849</v>
      </c>
      <c r="C2954" s="6" t="s">
        <v>2</v>
      </c>
      <c r="D295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4" s="7">
        <v>367.16</v>
      </c>
      <c r="F2954" s="9">
        <v>0.11</v>
      </c>
      <c r="G2954" s="11">
        <v>53.351881554065663</v>
      </c>
      <c r="I2954" s="28"/>
    </row>
    <row r="2955" spans="2:9" x14ac:dyDescent="0.35">
      <c r="B2955" s="16">
        <v>45850</v>
      </c>
      <c r="C2955" s="6" t="s">
        <v>2</v>
      </c>
      <c r="D295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5" s="7">
        <v>322.68</v>
      </c>
      <c r="F2955" s="9">
        <v>0.2</v>
      </c>
      <c r="G2955" s="11">
        <v>53.467494976557269</v>
      </c>
      <c r="I2955" s="28"/>
    </row>
    <row r="2956" spans="2:9" x14ac:dyDescent="0.35">
      <c r="B2956" s="16">
        <v>45852</v>
      </c>
      <c r="C2956" s="6" t="s">
        <v>2</v>
      </c>
      <c r="D295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6" s="7">
        <v>212.49</v>
      </c>
      <c r="F2956" s="9">
        <v>3.05</v>
      </c>
      <c r="G2956" s="11">
        <v>53.026866439777542</v>
      </c>
      <c r="I2956" s="28"/>
    </row>
    <row r="2957" spans="2:9" x14ac:dyDescent="0.35">
      <c r="B2957" s="16">
        <v>45853</v>
      </c>
      <c r="C2957" s="6" t="s">
        <v>2</v>
      </c>
      <c r="D295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7" s="7">
        <v>285.3</v>
      </c>
      <c r="F2957" s="9">
        <v>0.06</v>
      </c>
      <c r="G2957" s="11">
        <v>53.251388980534472</v>
      </c>
      <c r="I2957" s="28"/>
    </row>
    <row r="2958" spans="2:9" x14ac:dyDescent="0.35">
      <c r="B2958" s="16">
        <v>45854</v>
      </c>
      <c r="C2958" s="6" t="s">
        <v>2</v>
      </c>
      <c r="D295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8" s="7">
        <v>236.08</v>
      </c>
      <c r="F2958" s="9">
        <v>1.18</v>
      </c>
      <c r="G2958" s="11">
        <v>52.619022630370615</v>
      </c>
      <c r="I2958" s="28"/>
    </row>
    <row r="2959" spans="2:9" x14ac:dyDescent="0.35">
      <c r="B2959" s="16">
        <v>45855</v>
      </c>
      <c r="C2959" s="6" t="s">
        <v>2</v>
      </c>
      <c r="D295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59" s="7">
        <v>377.69</v>
      </c>
      <c r="F2959" s="9">
        <v>0.19</v>
      </c>
      <c r="G2959" s="11">
        <v>54.804604178806294</v>
      </c>
      <c r="I2959" s="28"/>
    </row>
    <row r="2960" spans="2:9" x14ac:dyDescent="0.35">
      <c r="B2960" s="16">
        <v>45856</v>
      </c>
      <c r="C2960" s="6" t="s">
        <v>2</v>
      </c>
      <c r="D296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0" s="7">
        <v>181.16</v>
      </c>
      <c r="F2960" s="9">
        <v>0.33</v>
      </c>
      <c r="G2960" s="11">
        <v>53.31325148809524</v>
      </c>
      <c r="I2960" s="28"/>
    </row>
    <row r="2961" spans="2:9" x14ac:dyDescent="0.35">
      <c r="B2961" s="16">
        <v>45857</v>
      </c>
      <c r="C2961" s="6" t="s">
        <v>2</v>
      </c>
      <c r="D296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1" s="7">
        <v>74.72</v>
      </c>
      <c r="F2961" s="9">
        <v>1.56</v>
      </c>
      <c r="G2961" s="11">
        <v>53.1279925031237</v>
      </c>
      <c r="I2961" s="28"/>
    </row>
    <row r="2962" spans="2:9" x14ac:dyDescent="0.35">
      <c r="B2962" s="16">
        <v>45859</v>
      </c>
      <c r="C2962" s="6" t="s">
        <v>2</v>
      </c>
      <c r="D296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2" s="7">
        <v>95.16</v>
      </c>
      <c r="F2962" s="9">
        <v>0.59</v>
      </c>
      <c r="G2962" s="11">
        <v>54.090544047916147</v>
      </c>
      <c r="I2962" s="28"/>
    </row>
    <row r="2963" spans="2:9" x14ac:dyDescent="0.35">
      <c r="B2963" s="16">
        <v>45860</v>
      </c>
      <c r="C2963" s="6" t="s">
        <v>2</v>
      </c>
      <c r="D296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3" s="7">
        <v>319.01</v>
      </c>
      <c r="F2963" s="9">
        <v>2.39</v>
      </c>
      <c r="G2963" s="11">
        <v>52.160010004168399</v>
      </c>
      <c r="I2963" s="28"/>
    </row>
    <row r="2964" spans="2:9" x14ac:dyDescent="0.35">
      <c r="B2964" s="16">
        <v>45862</v>
      </c>
      <c r="C2964" s="6" t="s">
        <v>2</v>
      </c>
      <c r="D296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4" s="7">
        <v>384.35</v>
      </c>
      <c r="F2964" s="9">
        <v>0</v>
      </c>
      <c r="G2964" s="11">
        <v>54.970316121336054</v>
      </c>
      <c r="I2964" s="28"/>
    </row>
    <row r="2965" spans="2:9" x14ac:dyDescent="0.35">
      <c r="B2965" s="16">
        <v>45863</v>
      </c>
      <c r="C2965" s="6" t="s">
        <v>2</v>
      </c>
      <c r="D296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5" s="7">
        <v>267.54000000000002</v>
      </c>
      <c r="F2965" s="9">
        <v>0.28999999999999998</v>
      </c>
      <c r="G2965" s="11">
        <v>54.528969385370416</v>
      </c>
      <c r="I2965" s="28"/>
    </row>
    <row r="2966" spans="2:9" x14ac:dyDescent="0.35">
      <c r="B2966" s="16">
        <v>45841</v>
      </c>
      <c r="C2966" s="6" t="s">
        <v>7</v>
      </c>
      <c r="D296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6" s="7">
        <v>62.68</v>
      </c>
      <c r="F2966" s="9">
        <v>1.7146750000000002</v>
      </c>
      <c r="G2966" s="11">
        <v>51.181616435603772</v>
      </c>
      <c r="I2966" s="28"/>
    </row>
    <row r="2967" spans="2:9" x14ac:dyDescent="0.35">
      <c r="B2967" s="16">
        <v>45842</v>
      </c>
      <c r="C2967" s="6" t="s">
        <v>7</v>
      </c>
      <c r="D2967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7" s="7">
        <v>149.09</v>
      </c>
      <c r="F2967" s="9">
        <v>3.1003250000000002</v>
      </c>
      <c r="G2967" s="11">
        <v>48.782470908179633</v>
      </c>
      <c r="I2967" s="28"/>
    </row>
    <row r="2968" spans="2:9" x14ac:dyDescent="0.35">
      <c r="B2968" s="16">
        <v>45843</v>
      </c>
      <c r="C2968" s="6" t="s">
        <v>7</v>
      </c>
      <c r="D2968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8" s="7">
        <v>22.66</v>
      </c>
      <c r="F2968" s="9">
        <v>5.687050000000001</v>
      </c>
      <c r="G2968" s="11">
        <v>49.868117439939937</v>
      </c>
      <c r="I2968" s="28"/>
    </row>
    <row r="2969" spans="2:9" x14ac:dyDescent="0.35">
      <c r="B2969" s="16">
        <v>45853</v>
      </c>
      <c r="C2969" s="6" t="s">
        <v>7</v>
      </c>
      <c r="D2969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69" s="7">
        <v>195.14</v>
      </c>
      <c r="F2969" s="9">
        <v>1.84</v>
      </c>
      <c r="G2969" s="11">
        <v>52.660964288632833</v>
      </c>
      <c r="I2969" s="28"/>
    </row>
    <row r="2970" spans="2:9" x14ac:dyDescent="0.35">
      <c r="B2970" s="16">
        <v>45854</v>
      </c>
      <c r="C2970" s="6" t="s">
        <v>7</v>
      </c>
      <c r="D2970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70" s="7">
        <v>50.06</v>
      </c>
      <c r="F2970" s="9">
        <v>4.59</v>
      </c>
      <c r="G2970" s="11">
        <v>51.01153373762186</v>
      </c>
      <c r="I2970" s="28"/>
    </row>
    <row r="2971" spans="2:9" x14ac:dyDescent="0.35">
      <c r="B2971" s="16">
        <v>45856</v>
      </c>
      <c r="C2971" s="6" t="s">
        <v>7</v>
      </c>
      <c r="D2971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71" s="7">
        <v>119.10000000000001</v>
      </c>
      <c r="F2971" s="9">
        <v>1.53</v>
      </c>
      <c r="G2971" s="11">
        <v>53.573462049493443</v>
      </c>
      <c r="I2971" s="28"/>
    </row>
    <row r="2972" spans="2:9" x14ac:dyDescent="0.35">
      <c r="B2972" s="16">
        <v>45847</v>
      </c>
      <c r="C2972" s="6" t="s">
        <v>4</v>
      </c>
      <c r="D2972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72" s="7">
        <v>230.01</v>
      </c>
      <c r="F2972" s="11">
        <v>5.0999999999999996</v>
      </c>
      <c r="G2972" s="11">
        <v>51.336386233269593</v>
      </c>
      <c r="I2972" s="28"/>
    </row>
    <row r="2973" spans="2:9" x14ac:dyDescent="0.35">
      <c r="B2973" s="16">
        <v>45848</v>
      </c>
      <c r="C2973" s="6" t="s">
        <v>4</v>
      </c>
      <c r="D2973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73" s="7">
        <v>201.24</v>
      </c>
      <c r="F2973" s="11">
        <v>2.12</v>
      </c>
      <c r="G2973" s="11">
        <v>53.676371871435286</v>
      </c>
      <c r="I2973" s="28"/>
    </row>
    <row r="2974" spans="2:9" x14ac:dyDescent="0.35">
      <c r="B2974" s="16">
        <v>45849</v>
      </c>
      <c r="C2974" s="6" t="s">
        <v>4</v>
      </c>
      <c r="D2974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74" s="7">
        <v>269.20999999999998</v>
      </c>
      <c r="F2974" s="11">
        <v>3.14</v>
      </c>
      <c r="G2974" s="11">
        <v>52.28930483452303</v>
      </c>
      <c r="I2974" s="28"/>
    </row>
    <row r="2975" spans="2:9" x14ac:dyDescent="0.35">
      <c r="B2975" s="16">
        <v>45852</v>
      </c>
      <c r="C2975" s="6" t="s">
        <v>4</v>
      </c>
      <c r="D2975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75" s="7">
        <v>79.63</v>
      </c>
      <c r="F2975" s="11">
        <v>2.77</v>
      </c>
      <c r="G2975" s="11">
        <v>53.311905519725272</v>
      </c>
      <c r="I2975" s="28"/>
    </row>
    <row r="2976" spans="2:9" x14ac:dyDescent="0.35">
      <c r="B2976" s="16">
        <v>45854</v>
      </c>
      <c r="C2976" s="6" t="s">
        <v>4</v>
      </c>
      <c r="D2976" s="6" t="str">
        <f>IF(ISNUMBER(MATCH(ING_PRV[[#This Row],[Proveedor]],PARAMETROS!$A$2:$A$8,0)),"COMPRADA",
                    IF(ISNUMBER(MATCH(ING_PRV[[#This Row],[Proveedor]],PARAMETROS!$B$2:$B$8,0)),"PROPIA","NA")
)</f>
        <v>COMPRADA</v>
      </c>
      <c r="E2976" s="7">
        <v>104.73</v>
      </c>
      <c r="F2976" s="11">
        <v>1.44</v>
      </c>
      <c r="G2976" s="11">
        <v>53.87</v>
      </c>
      <c r="I2976" s="28"/>
    </row>
    <row r="2977" spans="2:9" x14ac:dyDescent="0.35">
      <c r="B2977" s="16">
        <v>45845</v>
      </c>
      <c r="C2977" s="6" t="s">
        <v>8</v>
      </c>
      <c r="D2977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77" s="7">
        <v>235</v>
      </c>
      <c r="F2977" s="9">
        <v>6.8</v>
      </c>
      <c r="G2977" s="10">
        <v>50.390722466201666</v>
      </c>
      <c r="I2977" s="28"/>
    </row>
    <row r="2978" spans="2:9" x14ac:dyDescent="0.35">
      <c r="B2978" s="16">
        <v>45846</v>
      </c>
      <c r="C2978" s="6" t="s">
        <v>8</v>
      </c>
      <c r="D2978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78" s="7">
        <v>235</v>
      </c>
      <c r="F2978" s="9">
        <v>1.84</v>
      </c>
      <c r="G2978" s="10">
        <v>53.693243017226962</v>
      </c>
      <c r="I2978" s="28"/>
    </row>
    <row r="2979" spans="2:9" x14ac:dyDescent="0.35">
      <c r="B2979" s="16">
        <v>45847</v>
      </c>
      <c r="C2979" s="6" t="s">
        <v>8</v>
      </c>
      <c r="D2979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79" s="7">
        <v>235</v>
      </c>
      <c r="F2979" s="9">
        <v>2.95</v>
      </c>
      <c r="G2979" s="10">
        <v>52.265404418159683</v>
      </c>
      <c r="I2979" s="28"/>
    </row>
    <row r="2980" spans="2:9" x14ac:dyDescent="0.35">
      <c r="B2980" s="16">
        <v>45847</v>
      </c>
      <c r="C2980" s="6" t="s">
        <v>8</v>
      </c>
      <c r="D2980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0" s="7">
        <v>235</v>
      </c>
      <c r="F2980" s="9">
        <v>3.4</v>
      </c>
      <c r="G2980" s="10">
        <v>52.042179487179489</v>
      </c>
      <c r="I2980" s="28"/>
    </row>
    <row r="2981" spans="2:9" x14ac:dyDescent="0.35">
      <c r="B2981" s="16">
        <v>45847</v>
      </c>
      <c r="C2981" s="6" t="s">
        <v>8</v>
      </c>
      <c r="D2981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1" s="7">
        <v>235</v>
      </c>
      <c r="F2981" s="9">
        <v>3.26</v>
      </c>
      <c r="G2981" s="10">
        <v>52.429602385685882</v>
      </c>
      <c r="I2981" s="28"/>
    </row>
    <row r="2982" spans="2:9" x14ac:dyDescent="0.35">
      <c r="B2982" s="16">
        <v>45848</v>
      </c>
      <c r="C2982" s="6" t="s">
        <v>8</v>
      </c>
      <c r="D2982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2" s="7">
        <v>235</v>
      </c>
      <c r="F2982" s="9">
        <v>3.61</v>
      </c>
      <c r="G2982" s="10">
        <v>52.49330788002834</v>
      </c>
      <c r="I2982" s="28"/>
    </row>
    <row r="2983" spans="2:9" x14ac:dyDescent="0.35">
      <c r="B2983" s="16">
        <v>45853</v>
      </c>
      <c r="C2983" s="6" t="s">
        <v>8</v>
      </c>
      <c r="D2983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3" s="7">
        <v>235</v>
      </c>
      <c r="F2983" s="9">
        <v>3.37</v>
      </c>
      <c r="G2983" s="10">
        <v>49.099693919305999</v>
      </c>
      <c r="I2983" s="28"/>
    </row>
    <row r="2984" spans="2:9" x14ac:dyDescent="0.35">
      <c r="B2984" s="16">
        <v>45854</v>
      </c>
      <c r="C2984" s="6" t="s">
        <v>8</v>
      </c>
      <c r="D2984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4" s="7">
        <v>235</v>
      </c>
      <c r="F2984" s="9">
        <v>1.61</v>
      </c>
      <c r="G2984" s="10">
        <v>52.859000969932097</v>
      </c>
      <c r="I2984" s="28"/>
    </row>
    <row r="2985" spans="2:9" x14ac:dyDescent="0.35">
      <c r="B2985" s="16">
        <v>45855</v>
      </c>
      <c r="C2985" s="6" t="s">
        <v>8</v>
      </c>
      <c r="D2985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5" s="7">
        <v>235</v>
      </c>
      <c r="F2985" s="9">
        <v>2.0699999999999998</v>
      </c>
      <c r="G2985" s="10">
        <v>53.681166721909186</v>
      </c>
      <c r="I2985" s="28"/>
    </row>
    <row r="2986" spans="2:9" x14ac:dyDescent="0.35">
      <c r="B2986" s="16">
        <v>45856</v>
      </c>
      <c r="C2986" s="6" t="s">
        <v>8</v>
      </c>
      <c r="D2986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6" s="7">
        <v>235</v>
      </c>
      <c r="F2986" s="9">
        <v>4.75</v>
      </c>
      <c r="G2986" s="10">
        <v>47.894978828792844</v>
      </c>
      <c r="I2986" s="28"/>
    </row>
    <row r="2987" spans="2:9" x14ac:dyDescent="0.35">
      <c r="B2987" s="16">
        <v>45860</v>
      </c>
      <c r="C2987" s="6" t="s">
        <v>8</v>
      </c>
      <c r="D2987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7" s="7">
        <v>235</v>
      </c>
      <c r="F2987" s="9">
        <v>1.52</v>
      </c>
      <c r="G2987" s="10">
        <v>53.701267952400499</v>
      </c>
      <c r="I2987" s="28"/>
    </row>
    <row r="2988" spans="2:9" x14ac:dyDescent="0.35">
      <c r="B2988" s="16">
        <v>45861</v>
      </c>
      <c r="C2988" s="6" t="s">
        <v>8</v>
      </c>
      <c r="D2988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8" s="7">
        <v>235</v>
      </c>
      <c r="F2988" s="9">
        <v>1.52</v>
      </c>
      <c r="G2988" s="10">
        <v>53.701267952400499</v>
      </c>
      <c r="I2988" s="28"/>
    </row>
    <row r="2989" spans="2:9" x14ac:dyDescent="0.35">
      <c r="B2989" s="16">
        <v>45862</v>
      </c>
      <c r="C2989" s="6" t="s">
        <v>8</v>
      </c>
      <c r="D2989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89" s="7">
        <v>235</v>
      </c>
      <c r="F2989" s="9">
        <v>3.45</v>
      </c>
      <c r="G2989" s="10">
        <v>50.877602436785445</v>
      </c>
      <c r="I2989" s="28"/>
    </row>
    <row r="2990" spans="2:9" x14ac:dyDescent="0.35">
      <c r="B2990" s="16">
        <v>45863</v>
      </c>
      <c r="C2990" s="6" t="s">
        <v>8</v>
      </c>
      <c r="D2990" s="6" t="str">
        <f>IF(ISNUMBER(MATCH(ING_PRV[[#This Row],[Proveedor]],PARAMETROS!$A$2:$A$8,0)),"COMPRADA",
                    IF(ISNUMBER(MATCH(ING_PRV[[#This Row],[Proveedor]],PARAMETROS!$B$2:$B$8,0)),"PROPIA","NA")
)</f>
        <v>PROPIA</v>
      </c>
      <c r="E2990" s="7">
        <v>235</v>
      </c>
      <c r="F2990" s="9">
        <v>1.54</v>
      </c>
      <c r="G2990" s="10">
        <v>53.314451078735765</v>
      </c>
      <c r="I2990" s="28"/>
    </row>
    <row r="2991" spans="2:9" x14ac:dyDescent="0.35">
      <c r="B2991" s="16">
        <v>45870</v>
      </c>
      <c r="C2991" s="17" t="s">
        <v>5</v>
      </c>
      <c r="D299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2991" s="7">
        <v>37.340000000000003</v>
      </c>
      <c r="F2991" s="9">
        <v>1.15025</v>
      </c>
      <c r="G2991" s="10">
        <v>53.472972878323105</v>
      </c>
      <c r="I2991" s="28"/>
    </row>
    <row r="2992" spans="2:9" x14ac:dyDescent="0.35">
      <c r="B2992" s="16">
        <v>45877</v>
      </c>
      <c r="C2992" s="17" t="s">
        <v>5</v>
      </c>
      <c r="D299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2992" s="7">
        <v>138.88</v>
      </c>
      <c r="F2992" s="9">
        <v>0.54</v>
      </c>
      <c r="G2992" s="10">
        <v>54.649434967129899</v>
      </c>
      <c r="I2992" s="28"/>
    </row>
    <row r="2993" spans="2:9" x14ac:dyDescent="0.35">
      <c r="B2993" s="16">
        <v>45878</v>
      </c>
      <c r="C2993" s="17" t="s">
        <v>5</v>
      </c>
      <c r="D299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2993" s="7">
        <v>34.380000000000003</v>
      </c>
      <c r="F2993" s="9">
        <v>0</v>
      </c>
      <c r="G2993" s="10">
        <v>54.816079346557764</v>
      </c>
      <c r="I2993" s="28"/>
    </row>
    <row r="2994" spans="2:9" x14ac:dyDescent="0.35">
      <c r="B2994" s="16">
        <v>45881</v>
      </c>
      <c r="C2994" s="17" t="s">
        <v>5</v>
      </c>
      <c r="D299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2994" s="7">
        <v>66.88</v>
      </c>
      <c r="F2994" s="9">
        <v>0.17</v>
      </c>
      <c r="G2994" s="10">
        <v>54.576011320126511</v>
      </c>
      <c r="I2994" s="28"/>
    </row>
    <row r="2995" spans="2:9" x14ac:dyDescent="0.35">
      <c r="B2995" s="16">
        <v>45877</v>
      </c>
      <c r="C2995" s="17" t="s">
        <v>3</v>
      </c>
      <c r="D299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2995" s="7">
        <v>63.06</v>
      </c>
      <c r="F2995" s="11">
        <v>3.49</v>
      </c>
      <c r="G2995" s="11">
        <v>52.208815603426764</v>
      </c>
      <c r="I2995" s="28"/>
    </row>
    <row r="2996" spans="2:9" x14ac:dyDescent="0.35">
      <c r="B2996" s="16">
        <v>45878</v>
      </c>
      <c r="C2996" s="17" t="s">
        <v>3</v>
      </c>
      <c r="D299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2996" s="7">
        <v>41.44</v>
      </c>
      <c r="F2996" s="11">
        <v>3.98</v>
      </c>
      <c r="G2996" s="11">
        <v>50.84726364014994</v>
      </c>
      <c r="I2996" s="28"/>
    </row>
    <row r="2997" spans="2:9" x14ac:dyDescent="0.35">
      <c r="B2997" s="16">
        <v>45880</v>
      </c>
      <c r="C2997" s="17" t="s">
        <v>3</v>
      </c>
      <c r="D299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2997" s="7">
        <v>88.4</v>
      </c>
      <c r="F2997" s="11">
        <v>1.1100000000000001</v>
      </c>
      <c r="G2997" s="11">
        <v>54.10233411137046</v>
      </c>
      <c r="I2997" s="28"/>
    </row>
    <row r="2998" spans="2:9" x14ac:dyDescent="0.35">
      <c r="B2998" s="16">
        <v>45881</v>
      </c>
      <c r="C2998" s="17" t="s">
        <v>3</v>
      </c>
      <c r="D299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2998" s="7">
        <v>230.42</v>
      </c>
      <c r="F2998" s="11">
        <v>0.72</v>
      </c>
      <c r="G2998" s="11">
        <v>54.436666666666667</v>
      </c>
      <c r="I2998" s="28"/>
    </row>
    <row r="2999" spans="2:9" x14ac:dyDescent="0.35">
      <c r="B2999" s="16">
        <v>45870</v>
      </c>
      <c r="C2999" s="17" t="s">
        <v>2</v>
      </c>
      <c r="D299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2999" s="7">
        <v>76.69</v>
      </c>
      <c r="F2999" s="9">
        <v>0.57780000000000009</v>
      </c>
      <c r="G2999" s="11">
        <v>53.693442752886206</v>
      </c>
      <c r="I2999" s="28"/>
    </row>
    <row r="3000" spans="2:9" x14ac:dyDescent="0.35">
      <c r="B3000" s="16">
        <v>45871</v>
      </c>
      <c r="C3000" s="17" t="s">
        <v>2</v>
      </c>
      <c r="D300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0" s="7">
        <v>135.18</v>
      </c>
      <c r="F3000" s="9">
        <v>0.98</v>
      </c>
      <c r="G3000" s="11">
        <v>52.915027117229876</v>
      </c>
      <c r="I3000" s="28"/>
    </row>
    <row r="3001" spans="2:9" x14ac:dyDescent="0.35">
      <c r="B3001" s="16">
        <v>45877</v>
      </c>
      <c r="C3001" s="17" t="s">
        <v>2</v>
      </c>
      <c r="D300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1" s="7">
        <v>59.4</v>
      </c>
      <c r="F3001" s="9">
        <v>0.35</v>
      </c>
      <c r="G3001" s="11">
        <v>54.119741550695821</v>
      </c>
      <c r="I3001" s="28"/>
    </row>
    <row r="3002" spans="2:9" x14ac:dyDescent="0.35">
      <c r="B3002" s="16">
        <v>45878</v>
      </c>
      <c r="C3002" s="17" t="s">
        <v>2</v>
      </c>
      <c r="D300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2" s="7">
        <v>69.86</v>
      </c>
      <c r="F3002" s="9">
        <v>2.0499999999999998</v>
      </c>
      <c r="G3002" s="11">
        <v>52.388333333333335</v>
      </c>
      <c r="I3002" s="28"/>
    </row>
    <row r="3003" spans="2:9" x14ac:dyDescent="0.35">
      <c r="B3003" s="16">
        <v>45880</v>
      </c>
      <c r="C3003" s="17" t="s">
        <v>2</v>
      </c>
      <c r="D300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3" s="7">
        <v>271.04000000000002</v>
      </c>
      <c r="F3003" s="9">
        <v>0.08</v>
      </c>
      <c r="G3003" s="11">
        <v>54.192832138689781</v>
      </c>
      <c r="I3003" s="28"/>
    </row>
    <row r="3004" spans="2:9" x14ac:dyDescent="0.35">
      <c r="B3004" s="16">
        <v>45881</v>
      </c>
      <c r="C3004" s="17" t="s">
        <v>2</v>
      </c>
      <c r="D300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4" s="7">
        <v>313.49</v>
      </c>
      <c r="F3004" s="9">
        <v>0.97</v>
      </c>
      <c r="G3004" s="11">
        <v>52.145416145963509</v>
      </c>
      <c r="I3004" s="28"/>
    </row>
    <row r="3005" spans="2:9" x14ac:dyDescent="0.35">
      <c r="B3005" s="16">
        <v>45877</v>
      </c>
      <c r="C3005" s="17" t="s">
        <v>4</v>
      </c>
      <c r="D300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5" s="7">
        <v>222.12</v>
      </c>
      <c r="F3005" s="11">
        <v>1.97</v>
      </c>
      <c r="G3005" s="11">
        <v>53.39800300050009</v>
      </c>
      <c r="I3005" s="28"/>
    </row>
    <row r="3006" spans="2:9" x14ac:dyDescent="0.35">
      <c r="B3006" s="16">
        <v>45880</v>
      </c>
      <c r="C3006" s="17" t="s">
        <v>4</v>
      </c>
      <c r="D300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6" s="7">
        <v>223.17</v>
      </c>
      <c r="F3006" s="9">
        <v>2.5</v>
      </c>
      <c r="G3006" s="10">
        <v>53.278666888851859</v>
      </c>
      <c r="I3006" s="28"/>
    </row>
    <row r="3007" spans="2:9" x14ac:dyDescent="0.35">
      <c r="B3007" s="16">
        <v>45881</v>
      </c>
      <c r="C3007" s="17" t="s">
        <v>4</v>
      </c>
      <c r="D300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7" s="7">
        <v>218.95</v>
      </c>
      <c r="F3007" s="11">
        <v>2.4500000000000002</v>
      </c>
      <c r="G3007" s="11">
        <v>52.855878626208735</v>
      </c>
      <c r="I3007" s="28"/>
    </row>
    <row r="3008" spans="2:9" x14ac:dyDescent="0.35">
      <c r="B3008" s="16">
        <v>45882</v>
      </c>
      <c r="C3008" s="17" t="s">
        <v>5</v>
      </c>
      <c r="D300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8" s="7">
        <v>170.22</v>
      </c>
      <c r="F3008" s="9">
        <v>0.26</v>
      </c>
      <c r="G3008" s="10">
        <v>54.185726210350587</v>
      </c>
      <c r="I3008" s="28"/>
    </row>
    <row r="3009" spans="2:9" x14ac:dyDescent="0.35">
      <c r="B3009" s="16">
        <v>45884</v>
      </c>
      <c r="C3009" s="17" t="s">
        <v>5</v>
      </c>
      <c r="D300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09" s="7">
        <v>101.2</v>
      </c>
      <c r="F3009" s="9">
        <v>4</v>
      </c>
      <c r="G3009" s="10">
        <v>51.053073845640938</v>
      </c>
      <c r="I3009" s="28"/>
    </row>
    <row r="3010" spans="2:9" x14ac:dyDescent="0.35">
      <c r="B3010" s="16">
        <v>45882</v>
      </c>
      <c r="C3010" s="17" t="s">
        <v>3</v>
      </c>
      <c r="D301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0" s="7">
        <v>165.02</v>
      </c>
      <c r="F3010" s="11">
        <v>3.04</v>
      </c>
      <c r="G3010" s="11">
        <v>52.143208761809213</v>
      </c>
      <c r="I3010" s="28"/>
    </row>
    <row r="3011" spans="2:9" x14ac:dyDescent="0.35">
      <c r="B3011" s="16">
        <v>45883</v>
      </c>
      <c r="C3011" s="17" t="s">
        <v>3</v>
      </c>
      <c r="D301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1" s="7">
        <v>65.400000000000006</v>
      </c>
      <c r="F3011" s="11">
        <v>3.92</v>
      </c>
      <c r="G3011" s="11">
        <v>51.503240540090019</v>
      </c>
      <c r="I3011" s="28"/>
    </row>
    <row r="3012" spans="2:9" x14ac:dyDescent="0.35">
      <c r="B3012" s="16">
        <v>45884</v>
      </c>
      <c r="C3012" s="17" t="s">
        <v>3</v>
      </c>
      <c r="D301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2" s="7">
        <v>67.72</v>
      </c>
      <c r="F3012" s="11">
        <v>1.95</v>
      </c>
      <c r="G3012" s="11">
        <v>52.886258236716991</v>
      </c>
      <c r="I3012" s="28"/>
    </row>
    <row r="3013" spans="2:9" x14ac:dyDescent="0.35">
      <c r="B3013" s="18">
        <v>45882</v>
      </c>
      <c r="C3013" s="17" t="s">
        <v>2</v>
      </c>
      <c r="D301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3" s="7">
        <v>197.65</v>
      </c>
      <c r="F3013" s="9">
        <v>0.63</v>
      </c>
      <c r="G3013" s="11">
        <v>54.422924488944517</v>
      </c>
      <c r="I3013" s="28"/>
    </row>
    <row r="3014" spans="2:9" x14ac:dyDescent="0.35">
      <c r="B3014" s="16">
        <v>45883</v>
      </c>
      <c r="C3014" s="17" t="s">
        <v>2</v>
      </c>
      <c r="D301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4" s="7">
        <v>556.08000000000004</v>
      </c>
      <c r="F3014" s="9">
        <v>0.32</v>
      </c>
      <c r="G3014" s="11">
        <v>53.094493091393375</v>
      </c>
      <c r="I3014" s="28"/>
    </row>
    <row r="3015" spans="2:9" x14ac:dyDescent="0.35">
      <c r="B3015" s="16">
        <v>45884</v>
      </c>
      <c r="C3015" s="17" t="s">
        <v>2</v>
      </c>
      <c r="D301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5" s="7">
        <v>375.43</v>
      </c>
      <c r="F3015" s="9">
        <v>0.01</v>
      </c>
      <c r="G3015" s="11">
        <v>54.449209713761164</v>
      </c>
      <c r="I3015" s="28"/>
    </row>
    <row r="3016" spans="2:9" x14ac:dyDescent="0.35">
      <c r="B3016" s="16">
        <v>45882</v>
      </c>
      <c r="C3016" s="17" t="s">
        <v>4</v>
      </c>
      <c r="D301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6" s="7">
        <v>346.93</v>
      </c>
      <c r="F3016" s="11">
        <v>2.16</v>
      </c>
      <c r="G3016" s="11">
        <v>53.701885164288086</v>
      </c>
      <c r="I3016" s="28"/>
    </row>
    <row r="3017" spans="2:9" x14ac:dyDescent="0.35">
      <c r="B3017" s="16">
        <v>45885</v>
      </c>
      <c r="C3017" s="17" t="s">
        <v>5</v>
      </c>
      <c r="D301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7" s="7">
        <v>68.64</v>
      </c>
      <c r="F3017" s="9">
        <v>0.39</v>
      </c>
      <c r="G3017" s="10">
        <v>54.270265076209405</v>
      </c>
      <c r="I3017" s="28"/>
    </row>
    <row r="3018" spans="2:9" x14ac:dyDescent="0.35">
      <c r="B3018" s="16">
        <v>45889</v>
      </c>
      <c r="C3018" s="17" t="s">
        <v>5</v>
      </c>
      <c r="D301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8" s="7">
        <v>106.84</v>
      </c>
      <c r="F3018" s="9">
        <v>0.48</v>
      </c>
      <c r="G3018" s="10">
        <v>54.217415152002566</v>
      </c>
      <c r="I3018" s="28"/>
    </row>
    <row r="3019" spans="2:9" x14ac:dyDescent="0.35">
      <c r="B3019" s="16">
        <v>45885</v>
      </c>
      <c r="C3019" s="17" t="s">
        <v>3</v>
      </c>
      <c r="D301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19" s="7">
        <v>91.18</v>
      </c>
      <c r="F3019" s="11">
        <v>2.09</v>
      </c>
      <c r="G3019" s="11">
        <v>53.325477764919818</v>
      </c>
      <c r="I3019" s="28"/>
    </row>
    <row r="3020" spans="2:9" x14ac:dyDescent="0.35">
      <c r="B3020" s="16">
        <v>45888</v>
      </c>
      <c r="C3020" s="17" t="s">
        <v>3</v>
      </c>
      <c r="D302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0" s="7">
        <v>69.64</v>
      </c>
      <c r="F3020" s="11">
        <v>1.18</v>
      </c>
      <c r="G3020" s="11">
        <v>53.81831218274111</v>
      </c>
      <c r="I3020" s="28"/>
    </row>
    <row r="3021" spans="2:9" x14ac:dyDescent="0.35">
      <c r="B3021" s="16">
        <v>45888</v>
      </c>
      <c r="C3021" s="17" t="s">
        <v>2</v>
      </c>
      <c r="D302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1" s="7">
        <v>70.58</v>
      </c>
      <c r="F3021" s="9">
        <v>0.24</v>
      </c>
      <c r="G3021" s="11">
        <v>55.066270518713068</v>
      </c>
      <c r="I3021" s="28"/>
    </row>
    <row r="3022" spans="2:9" x14ac:dyDescent="0.35">
      <c r="B3022" s="16">
        <v>45889</v>
      </c>
      <c r="C3022" s="17" t="s">
        <v>2</v>
      </c>
      <c r="D302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2" s="7">
        <v>224</v>
      </c>
      <c r="F3022" s="9">
        <v>0.32</v>
      </c>
      <c r="G3022" s="11">
        <v>54.602646206842557</v>
      </c>
      <c r="I3022" s="28"/>
    </row>
    <row r="3023" spans="2:9" x14ac:dyDescent="0.35">
      <c r="B3023" s="16">
        <v>45882</v>
      </c>
      <c r="C3023" s="17" t="s">
        <v>4</v>
      </c>
      <c r="D302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3" s="7">
        <v>346.93</v>
      </c>
      <c r="F3023" s="11">
        <v>2.16</v>
      </c>
      <c r="G3023" s="11">
        <v>53.701885164288086</v>
      </c>
      <c r="I3023" s="28"/>
    </row>
    <row r="3024" spans="2:9" x14ac:dyDescent="0.35">
      <c r="B3024" s="16">
        <v>45888</v>
      </c>
      <c r="C3024" s="17" t="s">
        <v>4</v>
      </c>
      <c r="D302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4" s="7">
        <v>250.22</v>
      </c>
      <c r="F3024" s="11">
        <v>3.24</v>
      </c>
      <c r="G3024" s="11">
        <v>51.093820598006644</v>
      </c>
      <c r="I3024" s="28"/>
    </row>
    <row r="3025" spans="2:9" x14ac:dyDescent="0.35">
      <c r="B3025" s="16">
        <v>45891</v>
      </c>
      <c r="C3025" s="17" t="s">
        <v>5</v>
      </c>
      <c r="D302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5" s="7">
        <v>197.88</v>
      </c>
      <c r="F3025" s="9">
        <v>0.45</v>
      </c>
      <c r="G3025" s="10">
        <v>54.72171419042855</v>
      </c>
      <c r="I3025" s="28"/>
    </row>
    <row r="3026" spans="2:9" x14ac:dyDescent="0.35">
      <c r="B3026" s="16">
        <v>45892</v>
      </c>
      <c r="C3026" s="17" t="s">
        <v>5</v>
      </c>
      <c r="D302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6" s="7">
        <v>235.95</v>
      </c>
      <c r="F3026" s="9">
        <v>0.45</v>
      </c>
      <c r="G3026" s="10">
        <v>54.72171419042855</v>
      </c>
      <c r="I3026" s="28"/>
    </row>
    <row r="3027" spans="2:9" x14ac:dyDescent="0.35">
      <c r="B3027" s="16">
        <v>45891</v>
      </c>
      <c r="C3027" s="17" t="s">
        <v>3</v>
      </c>
      <c r="D302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7" s="7">
        <v>94.02</v>
      </c>
      <c r="F3027" s="11">
        <v>1.65</v>
      </c>
      <c r="G3027" s="11">
        <v>54.070834798626805</v>
      </c>
      <c r="I3027" s="28"/>
    </row>
    <row r="3028" spans="2:9" x14ac:dyDescent="0.35">
      <c r="B3028" s="16">
        <v>45892</v>
      </c>
      <c r="C3028" s="17" t="s">
        <v>3</v>
      </c>
      <c r="D302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8" s="7">
        <v>95.5</v>
      </c>
      <c r="F3028" s="11">
        <v>4.79</v>
      </c>
      <c r="G3028" s="11">
        <v>51.945763521583345</v>
      </c>
      <c r="I3028" s="28"/>
    </row>
    <row r="3029" spans="2:9" x14ac:dyDescent="0.35">
      <c r="B3029" s="16">
        <v>45890</v>
      </c>
      <c r="C3029" s="17" t="s">
        <v>2</v>
      </c>
      <c r="D302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29" s="7">
        <v>75.25</v>
      </c>
      <c r="F3029" s="9">
        <v>1.55</v>
      </c>
      <c r="G3029" s="11">
        <v>53.513447421031586</v>
      </c>
      <c r="I3029" s="28"/>
    </row>
    <row r="3030" spans="2:9" x14ac:dyDescent="0.35">
      <c r="B3030" s="16">
        <v>45891</v>
      </c>
      <c r="C3030" s="17" t="s">
        <v>2</v>
      </c>
      <c r="D303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0" s="7">
        <v>197.88</v>
      </c>
      <c r="F3030" s="9">
        <v>0.48</v>
      </c>
      <c r="G3030" s="11">
        <v>54.154810126582277</v>
      </c>
      <c r="I3030" s="28"/>
    </row>
    <row r="3031" spans="2:9" x14ac:dyDescent="0.35">
      <c r="B3031" s="16">
        <v>45892</v>
      </c>
      <c r="C3031" s="17" t="s">
        <v>2</v>
      </c>
      <c r="D303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1" s="7">
        <v>235.95</v>
      </c>
      <c r="F3031" s="9">
        <v>6.87</v>
      </c>
      <c r="G3031" s="11">
        <v>50.226056226315322</v>
      </c>
      <c r="I3031" s="28"/>
    </row>
    <row r="3032" spans="2:9" x14ac:dyDescent="0.35">
      <c r="B3032" s="16">
        <v>45890</v>
      </c>
      <c r="C3032" s="17" t="s">
        <v>4</v>
      </c>
      <c r="D303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2" s="7">
        <v>155.52000000000001</v>
      </c>
      <c r="F3032" s="11">
        <v>3.67</v>
      </c>
      <c r="G3032" s="11">
        <v>51.088549786965437</v>
      </c>
      <c r="I3032" s="28"/>
    </row>
    <row r="3033" spans="2:9" x14ac:dyDescent="0.35">
      <c r="B3033" s="16">
        <v>45891</v>
      </c>
      <c r="C3033" s="17" t="s">
        <v>4</v>
      </c>
      <c r="D303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3" s="7">
        <v>75.89</v>
      </c>
      <c r="F3033" s="11">
        <v>1.74</v>
      </c>
      <c r="G3033" s="11">
        <v>53.978195077484052</v>
      </c>
      <c r="I3033" s="28"/>
    </row>
    <row r="3034" spans="2:9" x14ac:dyDescent="0.35">
      <c r="B3034" s="16">
        <v>45892</v>
      </c>
      <c r="C3034" s="17" t="s">
        <v>4</v>
      </c>
      <c r="D303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4" s="7">
        <v>230.76</v>
      </c>
      <c r="F3034" s="11">
        <v>0.46</v>
      </c>
      <c r="G3034" s="11">
        <v>54.024685719074753</v>
      </c>
      <c r="I3034" s="28"/>
    </row>
    <row r="3035" spans="2:9" x14ac:dyDescent="0.35">
      <c r="B3035" s="16">
        <v>45895</v>
      </c>
      <c r="C3035" s="17" t="s">
        <v>5</v>
      </c>
      <c r="D303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5" s="7">
        <v>102.51</v>
      </c>
      <c r="F3035" s="9">
        <v>0.51</v>
      </c>
      <c r="G3035" s="10">
        <v>53.712791411042943</v>
      </c>
      <c r="I3035" s="28"/>
    </row>
    <row r="3036" spans="2:9" x14ac:dyDescent="0.35">
      <c r="B3036" s="16">
        <v>45894</v>
      </c>
      <c r="C3036" s="17" t="s">
        <v>3</v>
      </c>
      <c r="D303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6" s="7">
        <v>44.68</v>
      </c>
      <c r="F3036" s="11">
        <v>8.7100000000000009</v>
      </c>
      <c r="G3036" s="11">
        <v>47.682249633399465</v>
      </c>
      <c r="I3036" s="28"/>
    </row>
    <row r="3037" spans="2:9" x14ac:dyDescent="0.35">
      <c r="B3037" s="16">
        <v>45895</v>
      </c>
      <c r="C3037" s="17" t="s">
        <v>3</v>
      </c>
      <c r="D303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7" s="7">
        <v>23.92</v>
      </c>
      <c r="F3037" s="11">
        <v>1.71</v>
      </c>
      <c r="G3037" s="11">
        <v>52.85250430786904</v>
      </c>
      <c r="I3037" s="28"/>
    </row>
    <row r="3038" spans="2:9" x14ac:dyDescent="0.35">
      <c r="B3038" s="16">
        <v>45894</v>
      </c>
      <c r="C3038" s="17" t="s">
        <v>6</v>
      </c>
      <c r="D303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8" s="7">
        <v>0</v>
      </c>
      <c r="F3038" s="9">
        <v>1.5</v>
      </c>
      <c r="G3038" s="10">
        <v>54.09248037676609</v>
      </c>
      <c r="I3038" s="28"/>
    </row>
    <row r="3039" spans="2:9" x14ac:dyDescent="0.35">
      <c r="B3039" s="16">
        <v>45895</v>
      </c>
      <c r="C3039" s="17" t="s">
        <v>6</v>
      </c>
      <c r="D303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39" s="7">
        <v>268.31</v>
      </c>
      <c r="F3039" s="9">
        <v>1.69</v>
      </c>
      <c r="G3039" s="10">
        <v>53.51833586754519</v>
      </c>
      <c r="I3039" s="28"/>
    </row>
    <row r="3040" spans="2:9" x14ac:dyDescent="0.35">
      <c r="B3040" s="16">
        <v>45894</v>
      </c>
      <c r="C3040" s="17" t="s">
        <v>2</v>
      </c>
      <c r="D304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0" s="7">
        <v>175.9</v>
      </c>
      <c r="F3040" s="9">
        <v>0.55000000000000004</v>
      </c>
      <c r="G3040" s="11">
        <v>53.860428799194423</v>
      </c>
      <c r="I3040" s="28"/>
    </row>
    <row r="3041" spans="2:9" x14ac:dyDescent="0.35">
      <c r="B3041" s="16">
        <v>45895</v>
      </c>
      <c r="C3041" s="17" t="s">
        <v>2</v>
      </c>
      <c r="D304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1" s="7">
        <v>232.8</v>
      </c>
      <c r="F3041" s="9">
        <v>1.25</v>
      </c>
      <c r="G3041" s="11">
        <v>52.912129094412322</v>
      </c>
      <c r="I3041" s="28"/>
    </row>
    <row r="3042" spans="2:9" x14ac:dyDescent="0.35">
      <c r="B3042" s="16">
        <v>45894</v>
      </c>
      <c r="C3042" s="17" t="s">
        <v>7</v>
      </c>
      <c r="D304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2" s="7">
        <v>70.41</v>
      </c>
      <c r="F3042" s="9">
        <v>1.1399999999999999</v>
      </c>
      <c r="G3042" s="11">
        <v>53.729415164909895</v>
      </c>
      <c r="I3042" s="28"/>
    </row>
    <row r="3043" spans="2:9" x14ac:dyDescent="0.35">
      <c r="B3043" s="16">
        <v>45894</v>
      </c>
      <c r="C3043" s="17" t="s">
        <v>4</v>
      </c>
      <c r="D304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3" s="7">
        <v>232.03</v>
      </c>
      <c r="F3043" s="11">
        <v>5.27</v>
      </c>
      <c r="G3043" s="11">
        <v>50.863771120013936</v>
      </c>
      <c r="I3043" s="28"/>
    </row>
    <row r="3044" spans="2:9" x14ac:dyDescent="0.35">
      <c r="B3044" s="16">
        <v>45895</v>
      </c>
      <c r="C3044" s="17" t="s">
        <v>4</v>
      </c>
      <c r="D304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4" s="7">
        <v>100.97</v>
      </c>
      <c r="F3044" s="11">
        <v>0.96</v>
      </c>
      <c r="G3044" s="11">
        <v>53.901843856276805</v>
      </c>
      <c r="I3044" s="28"/>
    </row>
    <row r="3045" spans="2:9" x14ac:dyDescent="0.35">
      <c r="B3045" s="16">
        <v>45897</v>
      </c>
      <c r="C3045" s="17" t="s">
        <v>5</v>
      </c>
      <c r="D304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5" s="7">
        <v>106.64</v>
      </c>
      <c r="F3045" s="9">
        <v>2.5</v>
      </c>
      <c r="G3045" s="10">
        <v>52.753983029698027</v>
      </c>
      <c r="I3045" s="28"/>
    </row>
    <row r="3046" spans="2:9" x14ac:dyDescent="0.35">
      <c r="B3046" s="16">
        <v>45899</v>
      </c>
      <c r="C3046" s="17" t="s">
        <v>5</v>
      </c>
      <c r="D304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6" s="7">
        <v>103.4</v>
      </c>
      <c r="F3046" s="9">
        <v>1.83</v>
      </c>
      <c r="G3046" s="10">
        <v>53.498756185523781</v>
      </c>
      <c r="I3046" s="28"/>
    </row>
    <row r="3047" spans="2:9" x14ac:dyDescent="0.35">
      <c r="B3047" s="16">
        <v>45895</v>
      </c>
      <c r="C3047" s="17" t="s">
        <v>3</v>
      </c>
      <c r="D304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7" s="7">
        <v>23.92</v>
      </c>
      <c r="F3047" s="11">
        <v>1.71</v>
      </c>
      <c r="G3047" s="11">
        <v>52.85250430786904</v>
      </c>
      <c r="I3047" s="28"/>
    </row>
    <row r="3048" spans="2:9" x14ac:dyDescent="0.35">
      <c r="B3048" s="16">
        <v>45896</v>
      </c>
      <c r="C3048" s="17" t="s">
        <v>3</v>
      </c>
      <c r="D304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8" s="7">
        <v>65.94</v>
      </c>
      <c r="F3048" s="11">
        <v>1.57</v>
      </c>
      <c r="G3048" s="11">
        <v>53.743038691412394</v>
      </c>
      <c r="I3048" s="28"/>
    </row>
    <row r="3049" spans="2:9" x14ac:dyDescent="0.35">
      <c r="B3049" s="16">
        <v>45897</v>
      </c>
      <c r="C3049" s="17" t="s">
        <v>3</v>
      </c>
      <c r="D304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49" s="7">
        <v>21.7</v>
      </c>
      <c r="F3049" s="11">
        <v>1.53</v>
      </c>
      <c r="G3049" s="11">
        <v>53.716689834926143</v>
      </c>
      <c r="I3049" s="28"/>
    </row>
    <row r="3050" spans="2:9" x14ac:dyDescent="0.35">
      <c r="B3050" s="16">
        <v>45899</v>
      </c>
      <c r="C3050" s="17" t="s">
        <v>3</v>
      </c>
      <c r="D305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0" s="7">
        <v>113.14</v>
      </c>
      <c r="F3050" s="11">
        <v>0.77</v>
      </c>
      <c r="G3050" s="11">
        <v>54.754362724613451</v>
      </c>
      <c r="I3050" s="28"/>
    </row>
    <row r="3051" spans="2:9" x14ac:dyDescent="0.35">
      <c r="B3051" s="16">
        <v>45896</v>
      </c>
      <c r="C3051" s="17" t="s">
        <v>6</v>
      </c>
      <c r="D305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1" s="7">
        <v>68.930000000000007</v>
      </c>
      <c r="F3051" s="9">
        <v>2.02</v>
      </c>
      <c r="G3051" s="10">
        <v>53.630012893867359</v>
      </c>
      <c r="I3051" s="28"/>
    </row>
    <row r="3052" spans="2:9" x14ac:dyDescent="0.35">
      <c r="B3052" s="16">
        <v>45898</v>
      </c>
      <c r="C3052" s="17" t="s">
        <v>6</v>
      </c>
      <c r="D305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2" s="7">
        <v>48.46</v>
      </c>
      <c r="F3052" s="9">
        <v>1.92</v>
      </c>
      <c r="G3052" s="10">
        <v>53.726265223274694</v>
      </c>
      <c r="I3052" s="28"/>
    </row>
    <row r="3053" spans="2:9" x14ac:dyDescent="0.35">
      <c r="B3053" s="16">
        <v>45899</v>
      </c>
      <c r="C3053" s="17" t="s">
        <v>6</v>
      </c>
      <c r="D305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3" s="7">
        <v>290.02</v>
      </c>
      <c r="F3053" s="9">
        <v>1.0900000000000001</v>
      </c>
      <c r="G3053" s="10">
        <v>54.391513311148088</v>
      </c>
      <c r="I3053" s="28"/>
    </row>
    <row r="3054" spans="2:9" x14ac:dyDescent="0.35">
      <c r="B3054" s="16">
        <v>45896</v>
      </c>
      <c r="C3054" s="17" t="s">
        <v>2</v>
      </c>
      <c r="D305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4" s="7">
        <v>202.39</v>
      </c>
      <c r="F3054" s="9">
        <v>1.6</v>
      </c>
      <c r="G3054" s="11">
        <v>53.350744907266645</v>
      </c>
      <c r="I3054" s="28"/>
    </row>
    <row r="3055" spans="2:9" x14ac:dyDescent="0.35">
      <c r="B3055" s="16">
        <v>45897</v>
      </c>
      <c r="C3055" s="17" t="s">
        <v>2</v>
      </c>
      <c r="D305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5" s="7">
        <v>294.42</v>
      </c>
      <c r="F3055" s="9">
        <v>2.33</v>
      </c>
      <c r="G3055" s="11">
        <v>51.909337936252726</v>
      </c>
      <c r="I3055" s="28"/>
    </row>
    <row r="3056" spans="2:9" x14ac:dyDescent="0.35">
      <c r="B3056" s="16">
        <v>45898</v>
      </c>
      <c r="C3056" s="17" t="s">
        <v>2</v>
      </c>
      <c r="D305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6" s="7">
        <v>139.4</v>
      </c>
      <c r="F3056" s="9">
        <v>0.52</v>
      </c>
      <c r="G3056" s="11">
        <v>54.537267563992842</v>
      </c>
      <c r="I3056" s="28"/>
    </row>
    <row r="3057" spans="2:9" x14ac:dyDescent="0.35">
      <c r="B3057" s="16">
        <v>45899</v>
      </c>
      <c r="C3057" s="17" t="s">
        <v>2</v>
      </c>
      <c r="D305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7" s="7">
        <v>261.02999999999997</v>
      </c>
      <c r="F3057" s="9">
        <v>0.57999999999999996</v>
      </c>
      <c r="G3057" s="11">
        <v>52.433509364445811</v>
      </c>
      <c r="I3057" s="28"/>
    </row>
    <row r="3058" spans="2:9" x14ac:dyDescent="0.35">
      <c r="B3058" s="18">
        <v>45894</v>
      </c>
      <c r="C3058" s="17" t="s">
        <v>7</v>
      </c>
      <c r="D305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8" s="7">
        <v>70.41</v>
      </c>
      <c r="F3058" s="9">
        <v>1.1399999999999999</v>
      </c>
      <c r="G3058" s="11">
        <v>53.729415164909895</v>
      </c>
      <c r="I3058" s="28"/>
    </row>
    <row r="3059" spans="2:9" x14ac:dyDescent="0.35">
      <c r="B3059" s="16">
        <v>45899</v>
      </c>
      <c r="C3059" s="17" t="s">
        <v>7</v>
      </c>
      <c r="D305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59" s="7">
        <v>45.16</v>
      </c>
      <c r="F3059" s="9">
        <v>4.3600000000000003</v>
      </c>
      <c r="G3059" s="11">
        <v>51.290926870037602</v>
      </c>
      <c r="I3059" s="28"/>
    </row>
    <row r="3060" spans="2:9" x14ac:dyDescent="0.35">
      <c r="B3060" s="16">
        <v>45897</v>
      </c>
      <c r="C3060" s="17" t="s">
        <v>4</v>
      </c>
      <c r="D306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0" s="7">
        <v>199.97</v>
      </c>
      <c r="F3060" s="11">
        <v>5.81</v>
      </c>
      <c r="G3060" s="11">
        <v>49.75858676207514</v>
      </c>
      <c r="I3060" s="28"/>
    </row>
    <row r="3061" spans="2:9" x14ac:dyDescent="0.35">
      <c r="B3061" s="16">
        <v>45898</v>
      </c>
      <c r="C3061" s="17" t="s">
        <v>4</v>
      </c>
      <c r="D306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1" s="7">
        <v>77.19</v>
      </c>
      <c r="F3061" s="11">
        <v>4.3099999999999996</v>
      </c>
      <c r="G3061" s="11">
        <v>50.691300813008127</v>
      </c>
      <c r="I3061" s="28"/>
    </row>
    <row r="3062" spans="2:9" x14ac:dyDescent="0.35">
      <c r="B3062" s="16">
        <v>45902</v>
      </c>
      <c r="C3062" s="17" t="s">
        <v>5</v>
      </c>
      <c r="D306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2" s="7">
        <v>103.15</v>
      </c>
      <c r="F3062" s="9">
        <v>0.72</v>
      </c>
      <c r="G3062" s="10">
        <v>54.125197848636184</v>
      </c>
      <c r="I3062" s="28"/>
    </row>
    <row r="3063" spans="2:9" x14ac:dyDescent="0.35">
      <c r="B3063" s="16">
        <v>45901</v>
      </c>
      <c r="C3063" s="17" t="s">
        <v>3</v>
      </c>
      <c r="D306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3" s="7">
        <v>46.72</v>
      </c>
      <c r="F3063" s="11">
        <v>23.56</v>
      </c>
      <c r="G3063" s="11">
        <v>38.161040404878456</v>
      </c>
      <c r="I3063" s="28"/>
    </row>
    <row r="3064" spans="2:9" x14ac:dyDescent="0.35">
      <c r="B3064" s="16">
        <v>45902</v>
      </c>
      <c r="C3064" s="17" t="s">
        <v>3</v>
      </c>
      <c r="D306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4" s="7">
        <v>90.66</v>
      </c>
      <c r="F3064" s="11">
        <v>20.05</v>
      </c>
      <c r="G3064" s="11">
        <v>41.064506620034976</v>
      </c>
      <c r="I3064" s="28"/>
    </row>
    <row r="3065" spans="2:9" x14ac:dyDescent="0.35">
      <c r="B3065" s="16">
        <v>45901</v>
      </c>
      <c r="C3065" s="17" t="s">
        <v>6</v>
      </c>
      <c r="D306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5" s="7">
        <v>34.119999999999997</v>
      </c>
      <c r="F3065" s="9">
        <v>1.83</v>
      </c>
      <c r="G3065" s="10">
        <v>53.768098404255319</v>
      </c>
      <c r="I3065" s="28"/>
    </row>
    <row r="3066" spans="2:9" x14ac:dyDescent="0.35">
      <c r="B3066" s="16">
        <v>45902</v>
      </c>
      <c r="C3066" s="17" t="s">
        <v>6</v>
      </c>
      <c r="D306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6" s="7">
        <v>134.88999999999999</v>
      </c>
      <c r="F3066" s="9">
        <v>3.97</v>
      </c>
      <c r="G3066" s="10">
        <v>51.868448117539025</v>
      </c>
      <c r="I3066" s="28"/>
    </row>
    <row r="3067" spans="2:9" x14ac:dyDescent="0.35">
      <c r="B3067" s="16">
        <v>45903</v>
      </c>
      <c r="C3067" s="17" t="s">
        <v>6</v>
      </c>
      <c r="D306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7" s="7">
        <v>174.17</v>
      </c>
      <c r="F3067" s="9">
        <v>2.2000000000000002</v>
      </c>
      <c r="G3067" s="10">
        <v>53.664322799097064</v>
      </c>
      <c r="I3067" s="28"/>
    </row>
    <row r="3068" spans="2:9" x14ac:dyDescent="0.35">
      <c r="B3068" s="16">
        <v>45901</v>
      </c>
      <c r="C3068" s="17" t="s">
        <v>2</v>
      </c>
      <c r="D306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8" s="7">
        <v>32.85</v>
      </c>
      <c r="F3068" s="9">
        <v>0.68</v>
      </c>
      <c r="G3068" s="11">
        <v>53.900250584697623</v>
      </c>
      <c r="I3068" s="28"/>
    </row>
    <row r="3069" spans="2:9" x14ac:dyDescent="0.35">
      <c r="B3069" s="16">
        <v>45902</v>
      </c>
      <c r="C3069" s="17" t="s">
        <v>2</v>
      </c>
      <c r="D306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69" s="7">
        <v>155.09</v>
      </c>
      <c r="F3069" s="9">
        <v>1.51</v>
      </c>
      <c r="G3069" s="11">
        <v>51.372881834801397</v>
      </c>
      <c r="I3069" s="28"/>
    </row>
    <row r="3070" spans="2:9" x14ac:dyDescent="0.35">
      <c r="B3070" s="16">
        <v>45903</v>
      </c>
      <c r="C3070" s="17" t="s">
        <v>2</v>
      </c>
      <c r="D307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0" s="7">
        <v>244.08</v>
      </c>
      <c r="F3070" s="9">
        <v>3.17</v>
      </c>
      <c r="G3070" s="11">
        <v>50.230147874306837</v>
      </c>
      <c r="I3070" s="28"/>
    </row>
    <row r="3071" spans="2:9" x14ac:dyDescent="0.35">
      <c r="B3071" s="16">
        <v>45903</v>
      </c>
      <c r="C3071" s="17" t="s">
        <v>4</v>
      </c>
      <c r="D307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1" s="7">
        <v>226.79</v>
      </c>
      <c r="F3071" s="11">
        <v>1.97</v>
      </c>
      <c r="G3071" s="20">
        <v>53.63281324684192</v>
      </c>
      <c r="I3071" s="28"/>
    </row>
    <row r="3072" spans="2:9" x14ac:dyDescent="0.35">
      <c r="B3072" s="18">
        <v>45904</v>
      </c>
      <c r="C3072" s="17" t="s">
        <v>5</v>
      </c>
      <c r="D307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2" s="7">
        <v>100.19</v>
      </c>
      <c r="F3072" s="9">
        <v>1.36</v>
      </c>
      <c r="G3072" s="20">
        <v>53.42</v>
      </c>
      <c r="I3072" s="28"/>
    </row>
    <row r="3073" spans="2:9" x14ac:dyDescent="0.35">
      <c r="B3073" s="16">
        <v>45904</v>
      </c>
      <c r="C3073" s="17" t="s">
        <v>3</v>
      </c>
      <c r="D307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3" s="7">
        <v>100.19</v>
      </c>
      <c r="F3073" s="11">
        <v>5.82</v>
      </c>
      <c r="G3073" s="11">
        <v>47.276061743846476</v>
      </c>
      <c r="I3073" s="28"/>
    </row>
    <row r="3074" spans="2:9" x14ac:dyDescent="0.35">
      <c r="B3074" s="16">
        <v>45904</v>
      </c>
      <c r="C3074" s="17" t="s">
        <v>9</v>
      </c>
      <c r="D307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4" s="7">
        <v>68.099999999999994</v>
      </c>
      <c r="F3074" s="9">
        <v>1.59</v>
      </c>
      <c r="G3074" s="10">
        <v>53.727915873147296</v>
      </c>
      <c r="I3074" s="28"/>
    </row>
    <row r="3075" spans="2:9" x14ac:dyDescent="0.35">
      <c r="B3075" s="16">
        <v>45904</v>
      </c>
      <c r="C3075" s="17" t="s">
        <v>6</v>
      </c>
      <c r="D307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5" s="7">
        <v>111.59</v>
      </c>
      <c r="F3075" s="9">
        <v>2.4900000000000002</v>
      </c>
      <c r="G3075" s="10">
        <v>53.168836801203312</v>
      </c>
      <c r="I3075" s="28"/>
    </row>
    <row r="3076" spans="2:9" x14ac:dyDescent="0.35">
      <c r="B3076" s="16">
        <v>45904</v>
      </c>
      <c r="C3076" s="17" t="s">
        <v>2</v>
      </c>
      <c r="D307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6" s="7">
        <v>190.98</v>
      </c>
      <c r="F3076" s="9">
        <v>0.22</v>
      </c>
      <c r="G3076" s="11">
        <v>53.345711431188079</v>
      </c>
      <c r="I3076" s="28"/>
    </row>
    <row r="3077" spans="2:9" x14ac:dyDescent="0.35">
      <c r="B3077" s="16">
        <v>45904</v>
      </c>
      <c r="C3077" s="17" t="s">
        <v>4</v>
      </c>
      <c r="D307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7" s="7">
        <v>176.41</v>
      </c>
      <c r="F3077" s="11">
        <v>1.39</v>
      </c>
      <c r="G3077" s="11">
        <v>53.70331114808652</v>
      </c>
      <c r="I3077" s="28"/>
    </row>
    <row r="3078" spans="2:9" x14ac:dyDescent="0.35">
      <c r="B3078" s="16">
        <v>45906</v>
      </c>
      <c r="C3078" s="17" t="s">
        <v>5</v>
      </c>
      <c r="D307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8" s="7">
        <v>105.01</v>
      </c>
      <c r="F3078" s="9">
        <v>0.67</v>
      </c>
      <c r="G3078" s="10">
        <v>53.024447421299399</v>
      </c>
      <c r="I3078" s="28"/>
    </row>
    <row r="3079" spans="2:9" x14ac:dyDescent="0.35">
      <c r="B3079" s="16">
        <v>45905</v>
      </c>
      <c r="C3079" s="17" t="s">
        <v>3</v>
      </c>
      <c r="D307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79" s="7">
        <v>65.319999999999993</v>
      </c>
      <c r="F3079" s="11">
        <v>1.94</v>
      </c>
      <c r="G3079" s="11">
        <v>53.369223074358118</v>
      </c>
      <c r="I3079" s="28"/>
    </row>
    <row r="3080" spans="2:9" x14ac:dyDescent="0.35">
      <c r="B3080" s="16">
        <v>45906</v>
      </c>
      <c r="C3080" s="17" t="s">
        <v>3</v>
      </c>
      <c r="D308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0" s="7">
        <v>68.92</v>
      </c>
      <c r="F3080" s="11">
        <v>3.29</v>
      </c>
      <c r="G3080" s="11">
        <v>52.266311236796142</v>
      </c>
      <c r="I3080" s="28"/>
    </row>
    <row r="3081" spans="2:9" x14ac:dyDescent="0.35">
      <c r="B3081" s="16">
        <v>45906</v>
      </c>
      <c r="C3081" s="17" t="s">
        <v>6</v>
      </c>
      <c r="D308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1" s="7">
        <v>34.39</v>
      </c>
      <c r="F3081" s="9">
        <v>2.61</v>
      </c>
      <c r="G3081" s="10">
        <v>52.691281174409873</v>
      </c>
      <c r="I3081" s="28"/>
    </row>
    <row r="3082" spans="2:9" x14ac:dyDescent="0.35">
      <c r="B3082" s="16">
        <v>45905</v>
      </c>
      <c r="C3082" s="17" t="s">
        <v>2</v>
      </c>
      <c r="D308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2" s="7">
        <v>225.61</v>
      </c>
      <c r="F3082" s="9">
        <v>0.22</v>
      </c>
      <c r="G3082" s="11">
        <v>53.345711431188079</v>
      </c>
      <c r="I3082" s="28"/>
    </row>
    <row r="3083" spans="2:9" x14ac:dyDescent="0.35">
      <c r="B3083" s="16">
        <v>45906</v>
      </c>
      <c r="C3083" s="17" t="s">
        <v>2</v>
      </c>
      <c r="D308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3" s="7">
        <v>153.87</v>
      </c>
      <c r="F3083" s="9">
        <v>0.57999999999999996</v>
      </c>
      <c r="G3083" s="11">
        <v>53.246301849075458</v>
      </c>
      <c r="I3083" s="28"/>
    </row>
    <row r="3084" spans="2:9" x14ac:dyDescent="0.35">
      <c r="B3084" s="18">
        <v>45909</v>
      </c>
      <c r="C3084" s="17" t="s">
        <v>5</v>
      </c>
      <c r="D308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4" s="7">
        <v>106.65</v>
      </c>
      <c r="F3084" s="9">
        <v>2.72</v>
      </c>
      <c r="G3084" s="20">
        <v>52.742617840219467</v>
      </c>
      <c r="I3084" s="28"/>
    </row>
    <row r="3085" spans="2:9" x14ac:dyDescent="0.35">
      <c r="B3085" s="16">
        <v>45908</v>
      </c>
      <c r="C3085" s="17" t="s">
        <v>3</v>
      </c>
      <c r="D308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5" s="7">
        <v>44.52</v>
      </c>
      <c r="F3085" s="11">
        <v>2.56</v>
      </c>
      <c r="G3085" s="11">
        <v>53.468205512532265</v>
      </c>
      <c r="I3085" s="28"/>
    </row>
    <row r="3086" spans="2:9" x14ac:dyDescent="0.35">
      <c r="B3086" s="16">
        <v>45909</v>
      </c>
      <c r="C3086" s="17" t="s">
        <v>3</v>
      </c>
      <c r="D308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6" s="7">
        <v>20.54</v>
      </c>
      <c r="F3086" s="11">
        <v>0.28999999999999998</v>
      </c>
      <c r="G3086" s="11">
        <v>54.837766624843162</v>
      </c>
      <c r="I3086" s="28"/>
    </row>
    <row r="3087" spans="2:9" x14ac:dyDescent="0.35">
      <c r="B3087" s="16">
        <v>45908</v>
      </c>
      <c r="C3087" s="17" t="s">
        <v>9</v>
      </c>
      <c r="D308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7" s="7">
        <v>33.1</v>
      </c>
      <c r="F3087" s="9">
        <v>1.97</v>
      </c>
      <c r="G3087" s="10">
        <v>53.795522512739112</v>
      </c>
      <c r="I3087" s="28"/>
    </row>
    <row r="3088" spans="2:9" x14ac:dyDescent="0.35">
      <c r="B3088" s="16">
        <v>45908</v>
      </c>
      <c r="C3088" s="17" t="s">
        <v>2</v>
      </c>
      <c r="D308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8" s="7">
        <v>86.96</v>
      </c>
      <c r="F3088" s="9">
        <v>6.25</v>
      </c>
      <c r="G3088" s="11">
        <v>49.191946755407656</v>
      </c>
      <c r="I3088" s="28"/>
    </row>
    <row r="3089" spans="2:9" x14ac:dyDescent="0.35">
      <c r="B3089" s="16">
        <v>45909</v>
      </c>
      <c r="C3089" s="17" t="s">
        <v>2</v>
      </c>
      <c r="D308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89" s="7">
        <v>170.74</v>
      </c>
      <c r="F3089" s="9">
        <v>0.34</v>
      </c>
      <c r="G3089" s="11">
        <v>53.509516601154132</v>
      </c>
      <c r="I3089" s="28"/>
    </row>
    <row r="3090" spans="2:9" x14ac:dyDescent="0.35">
      <c r="B3090" s="16">
        <v>45909</v>
      </c>
      <c r="C3090" s="17" t="s">
        <v>4</v>
      </c>
      <c r="D309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0" s="7">
        <v>75.19</v>
      </c>
      <c r="F3090" s="11">
        <v>15.96</v>
      </c>
      <c r="G3090" s="11">
        <v>44.320659102286001</v>
      </c>
      <c r="I3090" s="28"/>
    </row>
    <row r="3091" spans="2:9" x14ac:dyDescent="0.35">
      <c r="B3091" s="18">
        <v>45911</v>
      </c>
      <c r="C3091" s="17" t="s">
        <v>5</v>
      </c>
      <c r="D309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1" s="7">
        <v>105.98</v>
      </c>
      <c r="F3091" s="9">
        <v>0.31</v>
      </c>
      <c r="G3091" s="20">
        <v>54.396047024246876</v>
      </c>
      <c r="I3091" s="28"/>
    </row>
    <row r="3092" spans="2:9" x14ac:dyDescent="0.35">
      <c r="B3092" s="18">
        <v>45911</v>
      </c>
      <c r="C3092" s="17" t="s">
        <v>3</v>
      </c>
      <c r="D309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2" s="7">
        <v>90.82</v>
      </c>
      <c r="F3092" s="11">
        <v>12.64</v>
      </c>
      <c r="G3092" s="20">
        <v>46.206567164179106</v>
      </c>
      <c r="I3092" s="28"/>
    </row>
    <row r="3093" spans="2:9" x14ac:dyDescent="0.35">
      <c r="B3093" s="18">
        <v>45911</v>
      </c>
      <c r="C3093" s="17" t="s">
        <v>6</v>
      </c>
      <c r="D309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3" s="7">
        <v>293.36</v>
      </c>
      <c r="F3093" s="9">
        <v>1.87</v>
      </c>
      <c r="G3093" s="20">
        <v>53.233495417119777</v>
      </c>
      <c r="I3093" s="28"/>
    </row>
    <row r="3094" spans="2:9" x14ac:dyDescent="0.35">
      <c r="B3094" s="18">
        <v>45911</v>
      </c>
      <c r="C3094" s="17" t="s">
        <v>2</v>
      </c>
      <c r="D309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4" s="7">
        <v>611.52</v>
      </c>
      <c r="F3094" s="9">
        <v>1.73</v>
      </c>
      <c r="G3094" s="20">
        <v>53.337533632286998</v>
      </c>
      <c r="I3094" s="28"/>
    </row>
    <row r="3095" spans="2:9" x14ac:dyDescent="0.35">
      <c r="B3095" s="18">
        <v>45911</v>
      </c>
      <c r="C3095" s="17" t="s">
        <v>4</v>
      </c>
      <c r="D309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5" s="7">
        <v>73.760000000000005</v>
      </c>
      <c r="F3095" s="11">
        <v>2.4</v>
      </c>
      <c r="G3095" s="20">
        <v>52.931287128712874</v>
      </c>
      <c r="I3095" s="28"/>
    </row>
    <row r="3096" spans="2:9" x14ac:dyDescent="0.35">
      <c r="B3096" s="16">
        <v>45912</v>
      </c>
      <c r="C3096" s="17" t="s">
        <v>5</v>
      </c>
      <c r="D309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6" s="7">
        <v>99.32</v>
      </c>
      <c r="F3096" s="9">
        <v>0.12</v>
      </c>
      <c r="G3096" s="10">
        <v>54.565055805430617</v>
      </c>
      <c r="I3096" s="28"/>
    </row>
    <row r="3097" spans="2:9" x14ac:dyDescent="0.35">
      <c r="B3097" s="16">
        <v>45912</v>
      </c>
      <c r="C3097" s="17" t="s">
        <v>3</v>
      </c>
      <c r="D309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7" s="7">
        <v>66.650000000000006</v>
      </c>
      <c r="F3097" s="11">
        <v>1.62</v>
      </c>
      <c r="G3097" s="11">
        <v>53.345943600867678</v>
      </c>
      <c r="I3097" s="28"/>
    </row>
    <row r="3098" spans="2:9" x14ac:dyDescent="0.35">
      <c r="B3098" s="16">
        <v>45913</v>
      </c>
      <c r="C3098" s="17" t="s">
        <v>3</v>
      </c>
      <c r="D309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8" s="7">
        <v>91.34</v>
      </c>
      <c r="F3098" s="11">
        <v>12.29</v>
      </c>
      <c r="G3098" s="11">
        <v>46.263455149501667</v>
      </c>
      <c r="I3098" s="28"/>
    </row>
    <row r="3099" spans="2:9" x14ac:dyDescent="0.35">
      <c r="B3099" s="16">
        <v>45912</v>
      </c>
      <c r="C3099" s="17" t="s">
        <v>6</v>
      </c>
      <c r="D309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099" s="7">
        <v>209.23</v>
      </c>
      <c r="F3099" s="9">
        <v>2.44</v>
      </c>
      <c r="G3099" s="10">
        <v>53.07240535818287</v>
      </c>
      <c r="I3099" s="28"/>
    </row>
    <row r="3100" spans="2:9" x14ac:dyDescent="0.35">
      <c r="B3100" s="16">
        <v>45913</v>
      </c>
      <c r="C3100" s="17" t="s">
        <v>6</v>
      </c>
      <c r="D310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0" s="7">
        <v>280.13</v>
      </c>
      <c r="F3100" s="9">
        <v>2.25</v>
      </c>
      <c r="G3100" s="10">
        <v>53.695548852019449</v>
      </c>
      <c r="I3100" s="28"/>
    </row>
    <row r="3101" spans="2:9" x14ac:dyDescent="0.35">
      <c r="B3101" s="16">
        <v>45912</v>
      </c>
      <c r="C3101" s="17" t="s">
        <v>2</v>
      </c>
      <c r="D310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1" s="7">
        <v>252.09</v>
      </c>
      <c r="F3101" s="9">
        <v>1.32</v>
      </c>
      <c r="G3101" s="11">
        <v>53.002691795639876</v>
      </c>
      <c r="I3101" s="28"/>
    </row>
    <row r="3102" spans="2:9" x14ac:dyDescent="0.35">
      <c r="B3102" s="16">
        <v>45913</v>
      </c>
      <c r="C3102" s="17" t="s">
        <v>2</v>
      </c>
      <c r="D310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2" s="7">
        <v>203.06</v>
      </c>
      <c r="F3102" s="9">
        <v>1.1000000000000001</v>
      </c>
      <c r="G3102" s="11">
        <v>53.352047375910267</v>
      </c>
      <c r="I3102" s="28"/>
    </row>
    <row r="3103" spans="2:9" x14ac:dyDescent="0.35">
      <c r="B3103" s="16">
        <v>45912</v>
      </c>
      <c r="C3103" s="17" t="s">
        <v>7</v>
      </c>
      <c r="D310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3" s="7">
        <v>24.57</v>
      </c>
      <c r="F3103" s="9">
        <v>0.24</v>
      </c>
      <c r="G3103" s="11">
        <v>54.239797533744373</v>
      </c>
      <c r="I3103" s="28"/>
    </row>
    <row r="3104" spans="2:9" x14ac:dyDescent="0.35">
      <c r="B3104" s="16">
        <v>45913</v>
      </c>
      <c r="C3104" s="17" t="s">
        <v>7</v>
      </c>
      <c r="D310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4" s="7">
        <v>139.65</v>
      </c>
      <c r="F3104" s="9">
        <v>2.1</v>
      </c>
      <c r="G3104" s="11">
        <v>51.246167279411765</v>
      </c>
      <c r="I3104" s="28"/>
    </row>
    <row r="3105" spans="2:9" x14ac:dyDescent="0.35">
      <c r="B3105" s="16">
        <v>45913</v>
      </c>
      <c r="C3105" s="17" t="s">
        <v>4</v>
      </c>
      <c r="D310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5" s="7">
        <v>202.03</v>
      </c>
      <c r="F3105" s="11">
        <v>2.62</v>
      </c>
      <c r="G3105" s="11">
        <v>52.147257257257252</v>
      </c>
      <c r="I3105" s="28"/>
    </row>
    <row r="3106" spans="2:9" x14ac:dyDescent="0.35">
      <c r="B3106" s="4">
        <v>45915</v>
      </c>
      <c r="C3106" s="17" t="s">
        <v>3</v>
      </c>
      <c r="D310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6" s="7">
        <v>23.04</v>
      </c>
      <c r="F3106" s="11">
        <v>1.67</v>
      </c>
      <c r="G3106" s="20">
        <v>53.612502115221908</v>
      </c>
      <c r="I3106" s="28"/>
    </row>
    <row r="3107" spans="2:9" x14ac:dyDescent="0.35">
      <c r="B3107" s="4">
        <v>45915</v>
      </c>
      <c r="C3107" s="17" t="s">
        <v>6</v>
      </c>
      <c r="D310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7" s="7">
        <v>182.52</v>
      </c>
      <c r="F3107" s="9">
        <v>1.78</v>
      </c>
      <c r="G3107" s="20">
        <v>53.744070468242931</v>
      </c>
      <c r="I3107" s="28"/>
    </row>
    <row r="3108" spans="2:9" x14ac:dyDescent="0.35">
      <c r="B3108" s="4">
        <v>45915</v>
      </c>
      <c r="C3108" s="17" t="s">
        <v>2</v>
      </c>
      <c r="D310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8" s="7">
        <v>79.010000000000005</v>
      </c>
      <c r="F3108" s="9">
        <v>0.89</v>
      </c>
      <c r="G3108" s="11">
        <v>53.209930168758831</v>
      </c>
      <c r="I3108" s="28"/>
    </row>
    <row r="3109" spans="2:9" x14ac:dyDescent="0.35">
      <c r="B3109" s="4">
        <v>45915</v>
      </c>
      <c r="C3109" s="17" t="s">
        <v>4</v>
      </c>
      <c r="D310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09" s="7">
        <v>76.41</v>
      </c>
      <c r="F3109" s="11">
        <v>1.59</v>
      </c>
      <c r="G3109" s="11">
        <v>53.251869158878506</v>
      </c>
      <c r="I3109" s="28"/>
    </row>
    <row r="3110" spans="2:9" x14ac:dyDescent="0.35">
      <c r="B3110" s="4">
        <v>45916</v>
      </c>
      <c r="C3110" s="17" t="s">
        <v>5</v>
      </c>
      <c r="D311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0" s="7">
        <v>112.44</v>
      </c>
      <c r="F3110" s="9">
        <v>0.5</v>
      </c>
      <c r="G3110" s="10">
        <v>53.921715446480391</v>
      </c>
      <c r="I3110" s="28"/>
    </row>
    <row r="3111" spans="2:9" x14ac:dyDescent="0.35">
      <c r="B3111" s="4">
        <v>45916</v>
      </c>
      <c r="C3111" s="17" t="s">
        <v>6</v>
      </c>
      <c r="D311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1" s="7">
        <v>0</v>
      </c>
      <c r="F3111" s="9">
        <v>1.87</v>
      </c>
      <c r="G3111" s="10">
        <v>52.679315068493146</v>
      </c>
      <c r="I3111" s="28"/>
    </row>
    <row r="3112" spans="2:9" x14ac:dyDescent="0.35">
      <c r="B3112" s="4">
        <v>45916</v>
      </c>
      <c r="C3112" s="17" t="s">
        <v>4</v>
      </c>
      <c r="D311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2" s="7">
        <v>100.79</v>
      </c>
      <c r="F3112" s="11">
        <v>3.89</v>
      </c>
      <c r="G3112" s="11">
        <v>47.421306288969291</v>
      </c>
      <c r="I3112" s="28"/>
    </row>
    <row r="3113" spans="2:9" x14ac:dyDescent="0.35">
      <c r="B3113" s="16">
        <v>45918</v>
      </c>
      <c r="C3113" s="17" t="s">
        <v>5</v>
      </c>
      <c r="D311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3" s="7">
        <v>102.59</v>
      </c>
      <c r="F3113" s="9">
        <v>0.39</v>
      </c>
      <c r="G3113" s="10">
        <v>54.376747967479673</v>
      </c>
      <c r="I3113" s="28"/>
    </row>
    <row r="3114" spans="2:9" x14ac:dyDescent="0.35">
      <c r="B3114" s="16">
        <v>45917</v>
      </c>
      <c r="C3114" s="17" t="s">
        <v>3</v>
      </c>
      <c r="D311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4" s="7">
        <v>44.38</v>
      </c>
      <c r="F3114" s="11">
        <v>1.88</v>
      </c>
      <c r="G3114" s="11">
        <v>53.587368421052624</v>
      </c>
      <c r="I3114" s="28"/>
    </row>
    <row r="3115" spans="2:9" x14ac:dyDescent="0.35">
      <c r="B3115" s="16">
        <v>45918</v>
      </c>
      <c r="C3115" s="17" t="s">
        <v>3</v>
      </c>
      <c r="D311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5" s="7">
        <v>89.4</v>
      </c>
      <c r="F3115" s="11">
        <v>4.9400000000000004</v>
      </c>
      <c r="G3115" s="11">
        <v>51.294882876938303</v>
      </c>
      <c r="I3115" s="28"/>
    </row>
    <row r="3116" spans="2:9" x14ac:dyDescent="0.35">
      <c r="B3116" s="16">
        <v>45917</v>
      </c>
      <c r="C3116" s="17" t="s">
        <v>6</v>
      </c>
      <c r="D311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6" s="7">
        <v>209.77</v>
      </c>
      <c r="F3116" s="9">
        <v>2.0699999999999998</v>
      </c>
      <c r="G3116" s="10">
        <v>53.595188458972643</v>
      </c>
      <c r="I3116" s="28"/>
    </row>
    <row r="3117" spans="2:9" x14ac:dyDescent="0.35">
      <c r="B3117" s="16">
        <v>45918</v>
      </c>
      <c r="C3117" s="17" t="s">
        <v>6</v>
      </c>
      <c r="D311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7" s="7">
        <v>173.14</v>
      </c>
      <c r="F3117" s="9">
        <v>2.13</v>
      </c>
      <c r="G3117" s="10">
        <v>53.404650156899336</v>
      </c>
      <c r="I3117" s="28"/>
    </row>
    <row r="3118" spans="2:9" x14ac:dyDescent="0.35">
      <c r="B3118" s="16">
        <v>45916</v>
      </c>
      <c r="C3118" s="17" t="s">
        <v>4</v>
      </c>
      <c r="D311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8" s="7">
        <v>100.79</v>
      </c>
      <c r="F3118" s="11">
        <v>3.89</v>
      </c>
      <c r="G3118" s="11">
        <v>47.421306288969291</v>
      </c>
      <c r="I3118" s="28"/>
    </row>
    <row r="3119" spans="2:9" x14ac:dyDescent="0.35">
      <c r="B3119" s="16">
        <v>45917</v>
      </c>
      <c r="C3119" s="17" t="s">
        <v>4</v>
      </c>
      <c r="D311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19" s="7">
        <v>151.5</v>
      </c>
      <c r="F3119" s="11">
        <v>2.46</v>
      </c>
      <c r="G3119" s="11">
        <v>53.396123880958143</v>
      </c>
      <c r="I3119" s="28"/>
    </row>
    <row r="3120" spans="2:9" x14ac:dyDescent="0.35">
      <c r="B3120" s="16">
        <v>45918</v>
      </c>
      <c r="C3120" s="17" t="s">
        <v>4</v>
      </c>
      <c r="D312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0" s="7">
        <v>179.16</v>
      </c>
      <c r="F3120" s="11">
        <v>2.19</v>
      </c>
      <c r="G3120" s="11">
        <v>53.378219696969694</v>
      </c>
      <c r="I3120" s="28"/>
    </row>
    <row r="3121" spans="2:9" x14ac:dyDescent="0.35">
      <c r="B3121" s="16">
        <v>45919</v>
      </c>
      <c r="C3121" s="17" t="s">
        <v>3</v>
      </c>
      <c r="D312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1" s="7">
        <v>84.9</v>
      </c>
      <c r="F3121" s="11">
        <v>1.07</v>
      </c>
      <c r="G3121" s="11">
        <v>54.09865880619013</v>
      </c>
      <c r="I3121" s="28"/>
    </row>
    <row r="3122" spans="2:9" x14ac:dyDescent="0.35">
      <c r="B3122" s="16">
        <v>45920</v>
      </c>
      <c r="C3122" s="17" t="s">
        <v>3</v>
      </c>
      <c r="D312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2" s="7">
        <v>87.62</v>
      </c>
      <c r="F3122" s="11">
        <v>3.75</v>
      </c>
      <c r="G3122" s="11">
        <v>52.765077191235065</v>
      </c>
      <c r="I3122" s="28"/>
    </row>
    <row r="3123" spans="2:9" x14ac:dyDescent="0.35">
      <c r="B3123" s="16">
        <v>45920</v>
      </c>
      <c r="C3123" s="17" t="s">
        <v>6</v>
      </c>
      <c r="D312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3" s="7">
        <v>173.14</v>
      </c>
      <c r="F3123" s="9">
        <v>1.74</v>
      </c>
      <c r="G3123" s="10">
        <v>53.391781881707011</v>
      </c>
      <c r="I3123" s="28"/>
    </row>
    <row r="3124" spans="2:9" x14ac:dyDescent="0.35">
      <c r="B3124" s="16">
        <v>45918</v>
      </c>
      <c r="C3124" s="17" t="s">
        <v>2</v>
      </c>
      <c r="D312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4" s="7">
        <v>632.09</v>
      </c>
      <c r="F3124" s="9">
        <v>0.22</v>
      </c>
      <c r="G3124" s="11">
        <v>55.058100184514458</v>
      </c>
      <c r="I3124" s="28"/>
    </row>
    <row r="3125" spans="2:9" x14ac:dyDescent="0.35">
      <c r="B3125" s="16">
        <v>45919</v>
      </c>
      <c r="C3125" s="17" t="s">
        <v>2</v>
      </c>
      <c r="D312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5" s="7">
        <v>297.93</v>
      </c>
      <c r="F3125" s="9">
        <v>0.25</v>
      </c>
      <c r="G3125" s="11">
        <v>54.241586924902393</v>
      </c>
      <c r="I3125" s="28"/>
    </row>
    <row r="3126" spans="2:9" x14ac:dyDescent="0.35">
      <c r="B3126" s="16">
        <v>45920</v>
      </c>
      <c r="C3126" s="17" t="s">
        <v>2</v>
      </c>
      <c r="D312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6" s="7">
        <v>234.7</v>
      </c>
      <c r="F3126" s="9">
        <v>1.46</v>
      </c>
      <c r="G3126" s="11">
        <v>52.64479638358705</v>
      </c>
      <c r="I3126" s="28"/>
    </row>
    <row r="3127" spans="2:9" x14ac:dyDescent="0.35">
      <c r="B3127" s="4">
        <v>45920</v>
      </c>
      <c r="C3127" s="17" t="s">
        <v>7</v>
      </c>
      <c r="D312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7" s="7">
        <v>0</v>
      </c>
      <c r="F3127" s="9">
        <v>13.65</v>
      </c>
      <c r="G3127" s="20">
        <v>46.262724180837829</v>
      </c>
      <c r="I3127" s="28"/>
    </row>
    <row r="3128" spans="2:9" x14ac:dyDescent="0.35">
      <c r="B3128" s="16">
        <v>45919</v>
      </c>
      <c r="C3128" s="17" t="s">
        <v>4</v>
      </c>
      <c r="D312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8" s="7">
        <v>101.75</v>
      </c>
      <c r="F3128" s="11">
        <v>2.4300000000000002</v>
      </c>
      <c r="G3128" s="11">
        <v>53.174499612102402</v>
      </c>
      <c r="I3128" s="28"/>
    </row>
    <row r="3129" spans="2:9" x14ac:dyDescent="0.35">
      <c r="B3129" s="16">
        <v>45922</v>
      </c>
      <c r="C3129" s="17" t="s">
        <v>5</v>
      </c>
      <c r="D312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29" s="7">
        <v>34.94</v>
      </c>
      <c r="F3129" s="9">
        <v>0.3</v>
      </c>
      <c r="G3129" s="10">
        <v>53.623724598119502</v>
      </c>
      <c r="I3129" s="28"/>
    </row>
    <row r="3130" spans="2:9" x14ac:dyDescent="0.35">
      <c r="B3130" s="16">
        <v>45923</v>
      </c>
      <c r="C3130" s="17" t="s">
        <v>5</v>
      </c>
      <c r="D313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30" s="7">
        <v>103.97</v>
      </c>
      <c r="F3130" s="9">
        <v>1.89</v>
      </c>
      <c r="G3130" s="10">
        <v>47.170215203054497</v>
      </c>
      <c r="I3130" s="28"/>
    </row>
    <row r="3131" spans="2:9" x14ac:dyDescent="0.35">
      <c r="B3131" s="16">
        <v>45920</v>
      </c>
      <c r="C3131" s="17" t="s">
        <v>3</v>
      </c>
      <c r="D313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31" s="7">
        <v>87.62</v>
      </c>
      <c r="F3131" s="11">
        <v>3.75</v>
      </c>
      <c r="G3131" s="11">
        <v>52.765077191235065</v>
      </c>
      <c r="I3131" s="28"/>
    </row>
    <row r="3132" spans="2:9" x14ac:dyDescent="0.35">
      <c r="B3132" s="16">
        <v>45922</v>
      </c>
      <c r="C3132" s="17" t="s">
        <v>3</v>
      </c>
      <c r="D313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32" s="7">
        <v>43.08</v>
      </c>
      <c r="F3132" s="11">
        <v>2.42</v>
      </c>
      <c r="G3132" s="11">
        <v>52.687533632287</v>
      </c>
      <c r="I3132" s="28"/>
    </row>
    <row r="3133" spans="2:9" x14ac:dyDescent="0.35">
      <c r="B3133" s="18">
        <v>45922</v>
      </c>
      <c r="C3133" s="17" t="s">
        <v>6</v>
      </c>
      <c r="D313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33" s="7">
        <v>0</v>
      </c>
      <c r="F3133" s="9">
        <v>1.96</v>
      </c>
      <c r="G3133" s="10">
        <v>53.378118912179538</v>
      </c>
      <c r="I3133" s="28"/>
    </row>
    <row r="3134" spans="2:9" x14ac:dyDescent="0.35">
      <c r="B3134" s="16">
        <v>45922</v>
      </c>
      <c r="C3134" s="17" t="s">
        <v>2</v>
      </c>
      <c r="D313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34" s="7">
        <v>94.48</v>
      </c>
      <c r="F3134" s="9">
        <v>3.96</v>
      </c>
      <c r="G3134" s="11">
        <v>49.333444537114261</v>
      </c>
      <c r="I3134" s="28"/>
    </row>
    <row r="3135" spans="2:9" x14ac:dyDescent="0.35">
      <c r="B3135" s="16">
        <v>45923</v>
      </c>
      <c r="C3135" s="17" t="s">
        <v>2</v>
      </c>
      <c r="D313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35" s="7">
        <v>162.52000000000001</v>
      </c>
      <c r="F3135" s="9">
        <v>1.2</v>
      </c>
      <c r="G3135" s="11">
        <v>51.839671678428971</v>
      </c>
      <c r="I3135" s="28"/>
    </row>
    <row r="3136" spans="2:9" x14ac:dyDescent="0.35">
      <c r="B3136" s="16">
        <v>45901</v>
      </c>
      <c r="C3136" s="17" t="s">
        <v>8</v>
      </c>
      <c r="D3136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36" s="7">
        <v>0</v>
      </c>
      <c r="F3136" s="6"/>
      <c r="G3136" s="6"/>
      <c r="I3136" s="28"/>
    </row>
    <row r="3137" spans="2:9" x14ac:dyDescent="0.35">
      <c r="B3137" s="16">
        <v>45905</v>
      </c>
      <c r="C3137" s="17" t="s">
        <v>8</v>
      </c>
      <c r="D313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37" s="7">
        <v>587.78800000000001</v>
      </c>
      <c r="F3137" s="6">
        <v>16.760000000000002</v>
      </c>
      <c r="G3137" s="6">
        <v>43.4</v>
      </c>
      <c r="I3137" s="28"/>
    </row>
    <row r="3138" spans="2:9" x14ac:dyDescent="0.35">
      <c r="B3138" s="16">
        <v>45906</v>
      </c>
      <c r="C3138" s="17" t="s">
        <v>8</v>
      </c>
      <c r="D313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38" s="7">
        <v>145.51</v>
      </c>
      <c r="F3138" s="6">
        <v>16.760000000000002</v>
      </c>
      <c r="G3138" s="6">
        <v>43.4</v>
      </c>
      <c r="I3138" s="28"/>
    </row>
    <row r="3139" spans="2:9" x14ac:dyDescent="0.35">
      <c r="B3139" s="16">
        <v>45908</v>
      </c>
      <c r="C3139" s="17" t="s">
        <v>8</v>
      </c>
      <c r="D313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39" s="7">
        <v>231.64500000000001</v>
      </c>
      <c r="F3139" s="6">
        <v>12.59</v>
      </c>
      <c r="G3139" s="6">
        <v>47.2</v>
      </c>
      <c r="I3139" s="28"/>
    </row>
    <row r="3140" spans="2:9" x14ac:dyDescent="0.35">
      <c r="B3140" s="16">
        <v>45917</v>
      </c>
      <c r="C3140" s="17" t="s">
        <v>8</v>
      </c>
      <c r="D314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0" s="7">
        <v>112.452</v>
      </c>
      <c r="F3140" s="6">
        <v>8.9600000000000009</v>
      </c>
      <c r="G3140" s="6">
        <v>48.5</v>
      </c>
      <c r="I3140" s="28"/>
    </row>
    <row r="3141" spans="2:9" x14ac:dyDescent="0.35">
      <c r="B3141" s="16">
        <v>45918</v>
      </c>
      <c r="C3141" s="17" t="s">
        <v>8</v>
      </c>
      <c r="D314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1" s="7">
        <v>327.88600000000002</v>
      </c>
      <c r="F3141" s="6">
        <v>1.26</v>
      </c>
      <c r="G3141" s="6">
        <v>54.2</v>
      </c>
      <c r="I3141" s="28"/>
    </row>
    <row r="3142" spans="2:9" x14ac:dyDescent="0.35">
      <c r="B3142" s="16">
        <v>45919</v>
      </c>
      <c r="C3142" s="17" t="s">
        <v>8</v>
      </c>
      <c r="D314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2" s="7">
        <v>175.982</v>
      </c>
      <c r="F3142" s="6">
        <v>1.26</v>
      </c>
      <c r="G3142" s="6">
        <v>54.2</v>
      </c>
      <c r="I3142" s="28"/>
    </row>
    <row r="3143" spans="2:9" x14ac:dyDescent="0.35">
      <c r="B3143" s="16">
        <v>45920</v>
      </c>
      <c r="C3143" s="17" t="s">
        <v>8</v>
      </c>
      <c r="D314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3" s="7">
        <v>117.621</v>
      </c>
      <c r="F3143" s="6">
        <v>2.65</v>
      </c>
      <c r="G3143" s="6">
        <v>53.1</v>
      </c>
      <c r="I3143" s="28"/>
    </row>
    <row r="3144" spans="2:9" x14ac:dyDescent="0.35">
      <c r="B3144" s="16">
        <v>45922</v>
      </c>
      <c r="C3144" s="17" t="s">
        <v>8</v>
      </c>
      <c r="D314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4" s="7">
        <v>196.02799999999999</v>
      </c>
      <c r="F3144" s="6">
        <v>2.97</v>
      </c>
      <c r="G3144" s="6">
        <v>52.6</v>
      </c>
      <c r="I3144" s="28"/>
    </row>
    <row r="3145" spans="2:9" x14ac:dyDescent="0.35">
      <c r="B3145" s="4">
        <v>45898</v>
      </c>
      <c r="C3145" s="17" t="s">
        <v>8</v>
      </c>
      <c r="D314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5" s="7">
        <v>28.222000000000001</v>
      </c>
      <c r="F3145" s="6">
        <v>2.77</v>
      </c>
      <c r="G3145" s="6">
        <v>52.8</v>
      </c>
      <c r="I3145" s="28"/>
    </row>
    <row r="3146" spans="2:9" x14ac:dyDescent="0.35">
      <c r="B3146" s="4">
        <v>45850</v>
      </c>
      <c r="C3146" s="17" t="s">
        <v>8</v>
      </c>
      <c r="D3146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6" s="7">
        <v>186.83500000000001</v>
      </c>
      <c r="F3146" s="6">
        <v>2.98</v>
      </c>
      <c r="G3146" s="6">
        <v>52.6</v>
      </c>
      <c r="I3146" s="28"/>
    </row>
    <row r="3147" spans="2:9" x14ac:dyDescent="0.35">
      <c r="B3147" s="4">
        <v>45852</v>
      </c>
      <c r="C3147" s="17" t="s">
        <v>8</v>
      </c>
      <c r="D314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7" s="7">
        <v>222.16800000000001</v>
      </c>
      <c r="F3147" s="21">
        <v>3.61</v>
      </c>
      <c r="G3147" s="22">
        <v>52.49330788002834</v>
      </c>
      <c r="I3147" s="28"/>
    </row>
    <row r="3148" spans="2:9" x14ac:dyDescent="0.35">
      <c r="B3148" s="4">
        <v>45853</v>
      </c>
      <c r="C3148" s="17" t="s">
        <v>8</v>
      </c>
      <c r="D314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8" s="7">
        <v>131.33799999999999</v>
      </c>
      <c r="F3148" s="21">
        <v>3.37</v>
      </c>
      <c r="G3148" s="22">
        <v>49.099693919305999</v>
      </c>
      <c r="I3148" s="28"/>
    </row>
    <row r="3149" spans="2:9" x14ac:dyDescent="0.35">
      <c r="B3149" s="4">
        <v>45854</v>
      </c>
      <c r="C3149" s="17" t="s">
        <v>8</v>
      </c>
      <c r="D314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49" s="7">
        <v>193.08</v>
      </c>
      <c r="F3149" s="21">
        <v>1.61</v>
      </c>
      <c r="G3149" s="22">
        <v>52.859000969932097</v>
      </c>
      <c r="I3149" s="28"/>
    </row>
    <row r="3150" spans="2:9" x14ac:dyDescent="0.35">
      <c r="B3150" s="4">
        <v>45855</v>
      </c>
      <c r="C3150" s="17" t="s">
        <v>8</v>
      </c>
      <c r="D315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0" s="7">
        <v>1165.963</v>
      </c>
      <c r="F3150" s="6">
        <v>2.0699999999999998</v>
      </c>
      <c r="G3150" s="6">
        <v>53.7</v>
      </c>
      <c r="I3150" s="28"/>
    </row>
    <row r="3151" spans="2:9" x14ac:dyDescent="0.35">
      <c r="B3151" s="4">
        <v>45856</v>
      </c>
      <c r="C3151" s="17" t="s">
        <v>8</v>
      </c>
      <c r="D315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1" s="7">
        <v>11.228999999999999</v>
      </c>
      <c r="F3151" s="6">
        <v>4.75</v>
      </c>
      <c r="G3151" s="6">
        <v>47.9</v>
      </c>
      <c r="I3151" s="28"/>
    </row>
    <row r="3152" spans="2:9" x14ac:dyDescent="0.35">
      <c r="B3152" s="4">
        <v>45857</v>
      </c>
      <c r="C3152" s="17" t="s">
        <v>8</v>
      </c>
      <c r="D315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2" s="7">
        <v>587.54</v>
      </c>
      <c r="F3152" s="6">
        <v>1.52</v>
      </c>
      <c r="G3152" s="6">
        <v>53.7</v>
      </c>
      <c r="I3152" s="28"/>
    </row>
    <row r="3153" spans="2:9" x14ac:dyDescent="0.35">
      <c r="B3153" s="4">
        <v>45859</v>
      </c>
      <c r="C3153" s="17" t="s">
        <v>8</v>
      </c>
      <c r="D315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3" s="7">
        <v>670.01900000000001</v>
      </c>
      <c r="F3153" s="6">
        <v>1.52</v>
      </c>
      <c r="G3153" s="6">
        <v>53.7</v>
      </c>
      <c r="I3153" s="28"/>
    </row>
    <row r="3154" spans="2:9" x14ac:dyDescent="0.35">
      <c r="B3154" s="4">
        <v>45860</v>
      </c>
      <c r="C3154" s="17" t="s">
        <v>8</v>
      </c>
      <c r="D315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4" s="7">
        <v>354.089</v>
      </c>
      <c r="F3154" s="6">
        <v>1.52</v>
      </c>
      <c r="G3154" s="6">
        <v>53.7</v>
      </c>
      <c r="I3154" s="28"/>
    </row>
    <row r="3155" spans="2:9" x14ac:dyDescent="0.35">
      <c r="B3155" s="4">
        <v>45861</v>
      </c>
      <c r="C3155" s="17" t="s">
        <v>8</v>
      </c>
      <c r="D315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5" s="7">
        <v>805.1</v>
      </c>
      <c r="F3155" s="6">
        <v>1.52</v>
      </c>
      <c r="G3155" s="6">
        <v>53.7</v>
      </c>
      <c r="I3155" s="28"/>
    </row>
    <row r="3156" spans="2:9" x14ac:dyDescent="0.35">
      <c r="B3156" s="4">
        <v>45862</v>
      </c>
      <c r="C3156" s="17" t="s">
        <v>8</v>
      </c>
      <c r="D3156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6" s="7">
        <v>815.15</v>
      </c>
      <c r="F3156" s="6">
        <v>3.45</v>
      </c>
      <c r="G3156" s="6">
        <v>50.9</v>
      </c>
      <c r="I3156" s="28"/>
    </row>
    <row r="3157" spans="2:9" x14ac:dyDescent="0.35">
      <c r="B3157" s="4">
        <v>45863</v>
      </c>
      <c r="C3157" s="17" t="s">
        <v>8</v>
      </c>
      <c r="D315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7" s="7">
        <v>836.62</v>
      </c>
      <c r="F3157" s="6">
        <v>3.8</v>
      </c>
      <c r="G3157" s="6">
        <v>49.9</v>
      </c>
      <c r="I3157" s="28"/>
    </row>
    <row r="3158" spans="2:9" x14ac:dyDescent="0.35">
      <c r="B3158" s="4">
        <v>45864</v>
      </c>
      <c r="C3158" s="17" t="s">
        <v>8</v>
      </c>
      <c r="D315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8" s="7">
        <v>124.7</v>
      </c>
      <c r="F3158" s="6">
        <v>2.64</v>
      </c>
      <c r="G3158" s="6">
        <v>52.8</v>
      </c>
      <c r="I3158" s="28"/>
    </row>
    <row r="3159" spans="2:9" x14ac:dyDescent="0.35">
      <c r="B3159" s="4">
        <v>45866</v>
      </c>
      <c r="C3159" s="17" t="s">
        <v>8</v>
      </c>
      <c r="D315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59" s="7">
        <v>99.563000000000002</v>
      </c>
      <c r="F3159" s="6">
        <v>3.15</v>
      </c>
      <c r="G3159" s="6">
        <v>50.7</v>
      </c>
      <c r="I3159" s="28"/>
    </row>
    <row r="3160" spans="2:9" x14ac:dyDescent="0.35">
      <c r="B3160" s="4">
        <v>45825</v>
      </c>
      <c r="C3160" s="17" t="s">
        <v>8</v>
      </c>
      <c r="D316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0" s="7">
        <v>601.10400000000004</v>
      </c>
      <c r="F3160" s="21">
        <v>2.64</v>
      </c>
      <c r="G3160" s="22">
        <v>52.166716517115319</v>
      </c>
      <c r="I3160" s="28"/>
    </row>
    <row r="3161" spans="2:9" x14ac:dyDescent="0.35">
      <c r="B3161" s="4">
        <v>45826</v>
      </c>
      <c r="C3161" s="17" t="s">
        <v>8</v>
      </c>
      <c r="D316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1" s="7">
        <v>545.67899999999997</v>
      </c>
      <c r="F3161" s="21">
        <v>5.25</v>
      </c>
      <c r="G3161" s="22">
        <v>50.97434404865335</v>
      </c>
      <c r="I3161" s="28"/>
    </row>
    <row r="3162" spans="2:9" x14ac:dyDescent="0.35">
      <c r="B3162" s="4">
        <v>45827</v>
      </c>
      <c r="C3162" s="17" t="s">
        <v>8</v>
      </c>
      <c r="D316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2" s="7">
        <v>333.27</v>
      </c>
      <c r="F3162" s="21">
        <v>0.74</v>
      </c>
      <c r="G3162" s="22">
        <v>53.055641537693461</v>
      </c>
      <c r="I3162" s="28"/>
    </row>
    <row r="3163" spans="2:9" x14ac:dyDescent="0.35">
      <c r="B3163" s="4">
        <v>45828</v>
      </c>
      <c r="C3163" s="17" t="s">
        <v>8</v>
      </c>
      <c r="D316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3" s="7">
        <v>684.45399999999995</v>
      </c>
      <c r="F3163" s="21">
        <v>3.32</v>
      </c>
      <c r="G3163" s="22">
        <v>52.428369710096625</v>
      </c>
      <c r="I3163" s="28"/>
    </row>
    <row r="3164" spans="2:9" x14ac:dyDescent="0.35">
      <c r="B3164" s="4">
        <v>45829</v>
      </c>
      <c r="C3164" s="17" t="s">
        <v>8</v>
      </c>
      <c r="D316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4" s="7">
        <v>569.68100000000004</v>
      </c>
      <c r="F3164" s="21">
        <v>2.66</v>
      </c>
      <c r="G3164" s="22">
        <v>52.764215650257157</v>
      </c>
      <c r="I3164" s="28"/>
    </row>
    <row r="3165" spans="2:9" x14ac:dyDescent="0.35">
      <c r="B3165" s="4">
        <v>45832</v>
      </c>
      <c r="C3165" s="17" t="s">
        <v>8</v>
      </c>
      <c r="D316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5" s="7">
        <v>522.03899999999999</v>
      </c>
      <c r="F3165" s="21">
        <v>2.21</v>
      </c>
      <c r="G3165" s="22">
        <v>53.464798486720191</v>
      </c>
      <c r="I3165" s="28"/>
    </row>
    <row r="3166" spans="2:9" x14ac:dyDescent="0.35">
      <c r="B3166" s="4">
        <v>45833</v>
      </c>
      <c r="C3166" s="17" t="s">
        <v>8</v>
      </c>
      <c r="D3166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6" s="7">
        <v>605.85</v>
      </c>
      <c r="F3166" s="21">
        <v>1.36</v>
      </c>
      <c r="G3166" s="22">
        <v>53.890532889258957</v>
      </c>
      <c r="I3166" s="28"/>
    </row>
    <row r="3167" spans="2:9" x14ac:dyDescent="0.35">
      <c r="B3167" s="4">
        <v>45834</v>
      </c>
      <c r="C3167" s="17" t="s">
        <v>8</v>
      </c>
      <c r="D316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7" s="7">
        <v>989.28</v>
      </c>
      <c r="F3167" s="21">
        <v>1.36</v>
      </c>
      <c r="G3167" s="22">
        <v>53.890532889258957</v>
      </c>
      <c r="I3167" s="28"/>
    </row>
    <row r="3168" spans="2:9" x14ac:dyDescent="0.35">
      <c r="B3168" s="4">
        <v>45835</v>
      </c>
      <c r="C3168" s="17" t="s">
        <v>8</v>
      </c>
      <c r="D316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8" s="7">
        <v>792.26</v>
      </c>
      <c r="F3168" s="21">
        <v>1.36</v>
      </c>
      <c r="G3168" s="22">
        <v>53.890532889258957</v>
      </c>
      <c r="I3168" s="28"/>
    </row>
    <row r="3169" spans="2:9" x14ac:dyDescent="0.35">
      <c r="B3169" s="4">
        <v>45836</v>
      </c>
      <c r="C3169" s="17" t="s">
        <v>8</v>
      </c>
      <c r="D316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69" s="7">
        <v>366.40800000000002</v>
      </c>
      <c r="F3169" s="21">
        <v>1.36</v>
      </c>
      <c r="G3169" s="22">
        <v>53.890532889258957</v>
      </c>
      <c r="I3169" s="28"/>
    </row>
    <row r="3170" spans="2:9" x14ac:dyDescent="0.35">
      <c r="B3170" s="23">
        <v>45780</v>
      </c>
      <c r="C3170" s="17" t="s">
        <v>8</v>
      </c>
      <c r="D317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0" s="7">
        <v>132.77500000000001</v>
      </c>
      <c r="F3170" s="21">
        <v>2.1934999999999998</v>
      </c>
      <c r="G3170" s="22">
        <v>53.488999999999997</v>
      </c>
      <c r="I3170" s="28"/>
    </row>
    <row r="3171" spans="2:9" x14ac:dyDescent="0.35">
      <c r="B3171" s="23">
        <v>45782</v>
      </c>
      <c r="C3171" s="17" t="s">
        <v>8</v>
      </c>
      <c r="D317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1" s="7">
        <v>271.113</v>
      </c>
      <c r="F3171" s="21">
        <v>2.4636750000000003</v>
      </c>
      <c r="G3171" s="22">
        <v>53.042758229665075</v>
      </c>
      <c r="I3171" s="28"/>
    </row>
    <row r="3172" spans="2:9" x14ac:dyDescent="0.35">
      <c r="B3172" s="23">
        <v>45783</v>
      </c>
      <c r="C3172" s="17" t="s">
        <v>8</v>
      </c>
      <c r="D317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2" s="7">
        <v>143.50299999999999</v>
      </c>
      <c r="F3172" s="6">
        <v>2.4</v>
      </c>
      <c r="G3172" s="6">
        <v>53</v>
      </c>
      <c r="I3172" s="28"/>
    </row>
    <row r="3173" spans="2:9" x14ac:dyDescent="0.35">
      <c r="B3173" s="23">
        <v>45784</v>
      </c>
      <c r="C3173" s="17" t="s">
        <v>8</v>
      </c>
      <c r="D317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3" s="7">
        <v>269.76600000000002</v>
      </c>
      <c r="F3173" s="6">
        <v>2.4</v>
      </c>
      <c r="G3173" s="6">
        <v>53</v>
      </c>
      <c r="I3173" s="28"/>
    </row>
    <row r="3174" spans="2:9" x14ac:dyDescent="0.35">
      <c r="B3174" s="23">
        <v>45785</v>
      </c>
      <c r="C3174" s="17" t="s">
        <v>8</v>
      </c>
      <c r="D317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4" s="7">
        <v>234.94399999999999</v>
      </c>
      <c r="F3174" s="6">
        <v>2.4</v>
      </c>
      <c r="G3174" s="6">
        <v>53</v>
      </c>
      <c r="I3174" s="28"/>
    </row>
    <row r="3175" spans="2:9" x14ac:dyDescent="0.35">
      <c r="B3175" s="23">
        <v>45786</v>
      </c>
      <c r="C3175" s="17" t="s">
        <v>8</v>
      </c>
      <c r="D317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5" s="7">
        <v>222.05099999999999</v>
      </c>
      <c r="F3175" s="6">
        <v>2.4</v>
      </c>
      <c r="G3175" s="6">
        <v>53</v>
      </c>
      <c r="I3175" s="28"/>
    </row>
    <row r="3176" spans="2:9" x14ac:dyDescent="0.35">
      <c r="B3176" s="23">
        <v>45787</v>
      </c>
      <c r="C3176" s="17" t="s">
        <v>8</v>
      </c>
      <c r="D3176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6" s="7">
        <v>156.14099999999999</v>
      </c>
      <c r="F3176" s="21">
        <v>2.3379500000000002</v>
      </c>
      <c r="G3176" s="22">
        <v>52.868927465855847</v>
      </c>
      <c r="I3176" s="28"/>
    </row>
    <row r="3177" spans="2:9" x14ac:dyDescent="0.35">
      <c r="B3177" s="23">
        <v>45789</v>
      </c>
      <c r="C3177" s="17" t="s">
        <v>8</v>
      </c>
      <c r="D317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7" s="7">
        <v>193.893</v>
      </c>
      <c r="F3177" s="21">
        <v>5.2109000000000005</v>
      </c>
      <c r="G3177" s="22">
        <v>50.512002681663496</v>
      </c>
      <c r="I3177" s="28"/>
    </row>
    <row r="3178" spans="2:9" x14ac:dyDescent="0.35">
      <c r="B3178" s="23">
        <v>45790</v>
      </c>
      <c r="C3178" s="17" t="s">
        <v>8</v>
      </c>
      <c r="D317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8" s="7">
        <v>154.041</v>
      </c>
      <c r="F3178" s="21">
        <v>5.7940500000000004</v>
      </c>
      <c r="G3178" s="22">
        <v>49.106017984976809</v>
      </c>
      <c r="I3178" s="28"/>
    </row>
    <row r="3179" spans="2:9" x14ac:dyDescent="0.35">
      <c r="B3179" s="23">
        <v>45791</v>
      </c>
      <c r="C3179" s="17" t="s">
        <v>8</v>
      </c>
      <c r="D317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79" s="7">
        <v>266.13</v>
      </c>
      <c r="F3179" s="6"/>
      <c r="G3179" s="6"/>
      <c r="I3179" s="28"/>
    </row>
    <row r="3180" spans="2:9" x14ac:dyDescent="0.35">
      <c r="B3180" s="23">
        <v>45792</v>
      </c>
      <c r="C3180" s="17" t="s">
        <v>8</v>
      </c>
      <c r="D318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0" s="7">
        <v>212.98599999999999</v>
      </c>
      <c r="F3180" s="21">
        <v>17.494500000000002</v>
      </c>
      <c r="G3180" s="22">
        <v>42.911461589775563</v>
      </c>
      <c r="I3180" s="28"/>
    </row>
    <row r="3181" spans="2:9" x14ac:dyDescent="0.35">
      <c r="B3181" s="23">
        <v>45796</v>
      </c>
      <c r="C3181" s="17" t="s">
        <v>8</v>
      </c>
      <c r="D318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1" s="7">
        <v>155.34</v>
      </c>
      <c r="F3181" s="21">
        <v>2.4636750000000003</v>
      </c>
      <c r="G3181" s="22">
        <v>53.523927522797877</v>
      </c>
      <c r="I3181" s="28"/>
    </row>
    <row r="3182" spans="2:9" x14ac:dyDescent="0.35">
      <c r="B3182" s="23">
        <v>45797</v>
      </c>
      <c r="C3182" s="17" t="s">
        <v>8</v>
      </c>
      <c r="D318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2" s="7">
        <v>199.19900000000001</v>
      </c>
      <c r="F3182" s="6">
        <v>3.27</v>
      </c>
      <c r="G3182" s="6">
        <v>52.6</v>
      </c>
      <c r="I3182" s="28"/>
    </row>
    <row r="3183" spans="2:9" x14ac:dyDescent="0.35">
      <c r="B3183" s="23">
        <v>45798</v>
      </c>
      <c r="C3183" s="17" t="s">
        <v>8</v>
      </c>
      <c r="D318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3" s="7">
        <v>76.903999999999996</v>
      </c>
      <c r="F3183" s="6">
        <v>3.27</v>
      </c>
      <c r="G3183" s="6">
        <v>52.6</v>
      </c>
      <c r="I3183" s="28"/>
    </row>
    <row r="3184" spans="2:9" x14ac:dyDescent="0.35">
      <c r="B3184" s="23">
        <v>45799</v>
      </c>
      <c r="C3184" s="17" t="s">
        <v>8</v>
      </c>
      <c r="D318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4" s="7">
        <v>416.45</v>
      </c>
      <c r="F3184" s="6">
        <v>3.27</v>
      </c>
      <c r="G3184" s="6">
        <v>52.6</v>
      </c>
      <c r="I3184" s="28"/>
    </row>
    <row r="3185" spans="2:9" x14ac:dyDescent="0.35">
      <c r="B3185" s="23">
        <v>45800</v>
      </c>
      <c r="C3185" s="17" t="s">
        <v>8</v>
      </c>
      <c r="D318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5" s="7">
        <v>314.80500000000001</v>
      </c>
      <c r="F3185" s="21">
        <v>4.0713500000000007</v>
      </c>
      <c r="G3185" s="22">
        <v>51.747938041901691</v>
      </c>
      <c r="I3185" s="28"/>
    </row>
    <row r="3186" spans="2:9" x14ac:dyDescent="0.35">
      <c r="B3186" s="23">
        <v>45801</v>
      </c>
      <c r="C3186" s="17" t="s">
        <v>8</v>
      </c>
      <c r="D3186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6" s="7">
        <v>271.81200000000001</v>
      </c>
      <c r="F3186" s="21">
        <v>2.9719250000000001</v>
      </c>
      <c r="G3186" s="22">
        <v>52.186490803787272</v>
      </c>
      <c r="I3186" s="28"/>
    </row>
    <row r="3187" spans="2:9" x14ac:dyDescent="0.35">
      <c r="B3187" s="23">
        <v>45803</v>
      </c>
      <c r="C3187" s="17" t="s">
        <v>8</v>
      </c>
      <c r="D318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7" s="7">
        <v>318.45499999999998</v>
      </c>
      <c r="F3187" s="6">
        <v>2.62</v>
      </c>
      <c r="G3187" s="6">
        <v>52.7</v>
      </c>
      <c r="I3187" s="28"/>
    </row>
    <row r="3188" spans="2:9" x14ac:dyDescent="0.35">
      <c r="B3188" s="23">
        <v>45804</v>
      </c>
      <c r="C3188" s="17" t="s">
        <v>8</v>
      </c>
      <c r="D318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8" s="7">
        <v>225.32900000000001</v>
      </c>
      <c r="F3188" s="6">
        <v>2.62</v>
      </c>
      <c r="G3188" s="6">
        <v>52.7</v>
      </c>
      <c r="I3188" s="28"/>
    </row>
    <row r="3189" spans="2:9" x14ac:dyDescent="0.35">
      <c r="B3189" s="23">
        <v>45805</v>
      </c>
      <c r="C3189" s="17" t="s">
        <v>8</v>
      </c>
      <c r="D318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89" s="7">
        <v>306.16399999999999</v>
      </c>
      <c r="F3189" s="6">
        <v>2.62</v>
      </c>
      <c r="G3189" s="6">
        <v>52.7</v>
      </c>
      <c r="I3189" s="28"/>
    </row>
    <row r="3190" spans="2:9" x14ac:dyDescent="0.35">
      <c r="B3190" s="23">
        <v>45806</v>
      </c>
      <c r="C3190" s="17" t="s">
        <v>8</v>
      </c>
      <c r="D319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90" s="7">
        <v>408.166</v>
      </c>
      <c r="F3190" s="6">
        <v>2.62</v>
      </c>
      <c r="G3190" s="6">
        <v>52.7</v>
      </c>
      <c r="I3190" s="28"/>
    </row>
    <row r="3191" spans="2:9" x14ac:dyDescent="0.35">
      <c r="B3191" s="23">
        <v>45807</v>
      </c>
      <c r="C3191" s="17" t="s">
        <v>8</v>
      </c>
      <c r="D319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91" s="7">
        <v>218.26</v>
      </c>
      <c r="F3191" s="21">
        <v>2.2657250000000002</v>
      </c>
      <c r="G3191" s="22">
        <v>53.215527034101108</v>
      </c>
      <c r="I3191" s="28"/>
    </row>
    <row r="3192" spans="2:9" x14ac:dyDescent="0.35">
      <c r="B3192" s="23">
        <v>45808</v>
      </c>
      <c r="C3192" s="17" t="s">
        <v>8</v>
      </c>
      <c r="D319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92" s="7">
        <v>429.24700000000001</v>
      </c>
      <c r="F3192" s="21">
        <v>1.54</v>
      </c>
      <c r="G3192" s="22">
        <v>53.727169433553016</v>
      </c>
      <c r="I3192" s="28"/>
    </row>
    <row r="3193" spans="2:9" x14ac:dyDescent="0.35">
      <c r="B3193" s="4">
        <v>45925</v>
      </c>
      <c r="C3193" s="17" t="s">
        <v>5</v>
      </c>
      <c r="D319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93" s="7">
        <v>143.54</v>
      </c>
      <c r="F3193" s="21">
        <v>2.52</v>
      </c>
      <c r="G3193" s="22">
        <v>52.173846153846156</v>
      </c>
      <c r="I3193" s="28"/>
    </row>
    <row r="3194" spans="2:9" x14ac:dyDescent="0.35">
      <c r="B3194" s="16">
        <v>45925</v>
      </c>
      <c r="C3194" s="17" t="s">
        <v>3</v>
      </c>
      <c r="D319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94" s="7">
        <v>84.26</v>
      </c>
      <c r="F3194" s="24">
        <v>2</v>
      </c>
      <c r="G3194" s="24">
        <v>53.112609535584575</v>
      </c>
      <c r="I3194" s="28"/>
    </row>
    <row r="3195" spans="2:9" x14ac:dyDescent="0.35">
      <c r="B3195" s="16">
        <v>45925</v>
      </c>
      <c r="C3195" s="17" t="s">
        <v>2</v>
      </c>
      <c r="D319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95" s="7">
        <v>253.66</v>
      </c>
      <c r="F3195" s="6">
        <v>0.21</v>
      </c>
      <c r="G3195" s="6">
        <v>52.2</v>
      </c>
      <c r="I3195" s="28"/>
    </row>
    <row r="3196" spans="2:9" x14ac:dyDescent="0.35">
      <c r="B3196" s="16">
        <v>45925</v>
      </c>
      <c r="C3196" s="17" t="s">
        <v>7</v>
      </c>
      <c r="D319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96" s="7">
        <v>26.17</v>
      </c>
      <c r="F3196" s="21">
        <v>0.4</v>
      </c>
      <c r="G3196" s="24">
        <v>53.522378721980594</v>
      </c>
      <c r="I3196" s="28"/>
    </row>
    <row r="3197" spans="2:9" x14ac:dyDescent="0.35">
      <c r="B3197" s="16">
        <v>45924</v>
      </c>
      <c r="C3197" s="17" t="s">
        <v>4</v>
      </c>
      <c r="D319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97" s="7">
        <v>74.67</v>
      </c>
      <c r="F3197" s="24">
        <v>3</v>
      </c>
      <c r="G3197" s="24">
        <v>52.4</v>
      </c>
      <c r="I3197" s="28"/>
    </row>
    <row r="3198" spans="2:9" x14ac:dyDescent="0.35">
      <c r="B3198" s="16">
        <v>45925</v>
      </c>
      <c r="C3198" s="17" t="s">
        <v>4</v>
      </c>
      <c r="D319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198" s="7">
        <v>151.76</v>
      </c>
      <c r="F3198" s="24">
        <v>2.4</v>
      </c>
      <c r="G3198" s="24">
        <v>52.5</v>
      </c>
      <c r="I3198" s="28"/>
    </row>
    <row r="3199" spans="2:9" x14ac:dyDescent="0.35">
      <c r="B3199" s="4">
        <v>45925</v>
      </c>
      <c r="C3199" s="17" t="s">
        <v>8</v>
      </c>
      <c r="D319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199" s="7">
        <v>531.46100000000001</v>
      </c>
      <c r="F3199" s="21">
        <v>4.54</v>
      </c>
      <c r="G3199" s="22">
        <v>51.700071099958173</v>
      </c>
      <c r="I3199" s="28"/>
    </row>
    <row r="3200" spans="2:9" x14ac:dyDescent="0.35">
      <c r="B3200" s="4">
        <v>45923</v>
      </c>
      <c r="C3200" s="17" t="s">
        <v>8</v>
      </c>
      <c r="D320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00" s="7">
        <v>496.51</v>
      </c>
      <c r="F3200" s="21">
        <v>2.97</v>
      </c>
      <c r="G3200" s="22">
        <v>52.611787758696607</v>
      </c>
      <c r="I3200" s="28"/>
    </row>
    <row r="3201" spans="2:9" x14ac:dyDescent="0.35">
      <c r="B3201" s="4">
        <v>45924</v>
      </c>
      <c r="C3201" s="17" t="s">
        <v>8</v>
      </c>
      <c r="D320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01" s="7">
        <v>488.75400000000002</v>
      </c>
      <c r="F3201" s="6">
        <v>3.351</v>
      </c>
      <c r="G3201" s="6">
        <v>52.9</v>
      </c>
      <c r="I3201" s="28"/>
    </row>
    <row r="3202" spans="2:9" x14ac:dyDescent="0.35">
      <c r="B3202" s="4">
        <v>45926</v>
      </c>
      <c r="C3202" s="17" t="s">
        <v>8</v>
      </c>
      <c r="D320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02" s="7">
        <v>1066.7439999999999</v>
      </c>
      <c r="F3202" s="6">
        <v>2.34</v>
      </c>
      <c r="G3202" s="6">
        <v>52.4</v>
      </c>
      <c r="I3202" s="28"/>
    </row>
    <row r="3203" spans="2:9" x14ac:dyDescent="0.35">
      <c r="B3203" s="16">
        <v>45927</v>
      </c>
      <c r="C3203" s="17" t="s">
        <v>5</v>
      </c>
      <c r="D320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03" s="7">
        <v>130.01</v>
      </c>
      <c r="F3203" s="21">
        <v>0.42</v>
      </c>
      <c r="G3203" s="22">
        <v>54.965111352072725</v>
      </c>
      <c r="I3203" s="28"/>
    </row>
    <row r="3204" spans="2:9" x14ac:dyDescent="0.35">
      <c r="B3204" s="16">
        <v>45926</v>
      </c>
      <c r="C3204" s="17" t="s">
        <v>3</v>
      </c>
      <c r="D320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04" s="7">
        <v>97.18</v>
      </c>
      <c r="F3204" s="24">
        <v>5.7</v>
      </c>
      <c r="G3204" s="24">
        <v>47.694395811175653</v>
      </c>
      <c r="I3204" s="28"/>
    </row>
    <row r="3205" spans="2:9" x14ac:dyDescent="0.35">
      <c r="B3205" s="16">
        <v>45927</v>
      </c>
      <c r="C3205" s="17" t="s">
        <v>3</v>
      </c>
      <c r="D320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05" s="7">
        <v>65.06</v>
      </c>
      <c r="F3205" s="24">
        <v>2.02</v>
      </c>
      <c r="G3205" s="24">
        <v>53.656573904349266</v>
      </c>
      <c r="I3205" s="28"/>
    </row>
    <row r="3206" spans="2:9" x14ac:dyDescent="0.35">
      <c r="B3206" s="4">
        <v>45926</v>
      </c>
      <c r="C3206" s="17" t="s">
        <v>2</v>
      </c>
      <c r="D320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06" s="7">
        <v>454.67</v>
      </c>
      <c r="F3206" s="21">
        <v>0.69</v>
      </c>
      <c r="G3206" s="24">
        <v>52.94983896940419</v>
      </c>
      <c r="I3206" s="28"/>
    </row>
    <row r="3207" spans="2:9" x14ac:dyDescent="0.35">
      <c r="B3207" s="16">
        <v>45927</v>
      </c>
      <c r="C3207" s="17" t="s">
        <v>7</v>
      </c>
      <c r="D320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07" s="7">
        <v>48.78</v>
      </c>
      <c r="F3207" s="21">
        <v>1.82</v>
      </c>
      <c r="G3207" s="24">
        <v>52.478972477064218</v>
      </c>
      <c r="I3207" s="28"/>
    </row>
    <row r="3208" spans="2:9" x14ac:dyDescent="0.35">
      <c r="B3208" s="16">
        <v>45926</v>
      </c>
      <c r="C3208" s="17" t="s">
        <v>4</v>
      </c>
      <c r="D320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08" s="7">
        <v>102.34</v>
      </c>
      <c r="F3208" s="24">
        <v>4.0599999999999996</v>
      </c>
      <c r="G3208" s="24">
        <v>52.012539109506619</v>
      </c>
      <c r="I3208" s="28"/>
    </row>
    <row r="3209" spans="2:9" x14ac:dyDescent="0.35">
      <c r="B3209" s="16">
        <v>45927</v>
      </c>
      <c r="C3209" s="17" t="s">
        <v>4</v>
      </c>
      <c r="D320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09" s="7">
        <v>48.78</v>
      </c>
      <c r="F3209" s="24">
        <v>3.25</v>
      </c>
      <c r="G3209" s="24">
        <v>52.970746953763971</v>
      </c>
      <c r="I3209" s="28"/>
    </row>
    <row r="3210" spans="2:9" x14ac:dyDescent="0.35">
      <c r="B3210" s="4">
        <v>45927</v>
      </c>
      <c r="C3210" s="17" t="s">
        <v>8</v>
      </c>
      <c r="D321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10" s="7">
        <v>730.15300000000002</v>
      </c>
      <c r="F3210" s="6">
        <v>8.77</v>
      </c>
      <c r="G3210" s="6">
        <v>48.2</v>
      </c>
      <c r="I3210" s="28"/>
    </row>
    <row r="3211" spans="2:9" x14ac:dyDescent="0.35">
      <c r="B3211" s="4">
        <v>45929</v>
      </c>
      <c r="C3211" s="17" t="s">
        <v>8</v>
      </c>
      <c r="D321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11" s="7">
        <v>1259.973</v>
      </c>
      <c r="F3211" s="21">
        <v>1.1200000000000001</v>
      </c>
      <c r="G3211" s="25">
        <v>54.180475237618801</v>
      </c>
      <c r="I3211" s="28"/>
    </row>
    <row r="3212" spans="2:9" x14ac:dyDescent="0.35">
      <c r="B3212" s="4">
        <v>45929</v>
      </c>
      <c r="C3212" s="17" t="s">
        <v>3</v>
      </c>
      <c r="D321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12" s="7">
        <v>45.78</v>
      </c>
      <c r="F3212" s="24">
        <v>1.93</v>
      </c>
      <c r="G3212" s="24">
        <v>53.737875877046434</v>
      </c>
      <c r="I3212" s="28"/>
    </row>
    <row r="3213" spans="2:9" x14ac:dyDescent="0.35">
      <c r="B3213" s="16">
        <v>45929</v>
      </c>
      <c r="C3213" s="17" t="s">
        <v>2</v>
      </c>
      <c r="D321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13" s="7">
        <v>327.06</v>
      </c>
      <c r="F3213" s="21">
        <v>0.56000000000000005</v>
      </c>
      <c r="G3213" s="24">
        <v>53.037119053569945</v>
      </c>
      <c r="I3213" s="28"/>
    </row>
    <row r="3214" spans="2:9" x14ac:dyDescent="0.35">
      <c r="B3214" s="4">
        <v>45930</v>
      </c>
      <c r="C3214" s="17" t="s">
        <v>8</v>
      </c>
      <c r="D321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14" s="7">
        <v>906.2</v>
      </c>
      <c r="F3214" s="6">
        <v>1.1200000000000001</v>
      </c>
      <c r="G3214" s="6">
        <v>54.2</v>
      </c>
      <c r="I3214" s="28"/>
    </row>
    <row r="3215" spans="2:9" x14ac:dyDescent="0.35">
      <c r="B3215" s="4">
        <v>45930</v>
      </c>
      <c r="C3215" s="17" t="s">
        <v>5</v>
      </c>
      <c r="D321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15" s="7">
        <v>138.87</v>
      </c>
      <c r="F3215" s="6">
        <v>0.28999999999999998</v>
      </c>
      <c r="G3215" s="6">
        <v>55.2</v>
      </c>
      <c r="I3215" s="28"/>
    </row>
    <row r="3216" spans="2:9" x14ac:dyDescent="0.35">
      <c r="B3216" s="4">
        <v>45930</v>
      </c>
      <c r="C3216" s="17" t="s">
        <v>3</v>
      </c>
      <c r="D321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16" s="7">
        <v>90.98</v>
      </c>
      <c r="F3216" s="6">
        <v>2.5</v>
      </c>
      <c r="G3216" s="6">
        <v>52.3</v>
      </c>
      <c r="I3216" s="28"/>
    </row>
    <row r="3217" spans="2:9" x14ac:dyDescent="0.35">
      <c r="B3217" s="4">
        <v>45930</v>
      </c>
      <c r="C3217" s="17" t="s">
        <v>2</v>
      </c>
      <c r="D321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17" s="7">
        <v>397.1</v>
      </c>
      <c r="F3217" s="6">
        <v>0.01</v>
      </c>
      <c r="G3217" s="6">
        <v>54.1</v>
      </c>
      <c r="I3217" s="28"/>
    </row>
    <row r="3218" spans="2:9" x14ac:dyDescent="0.35">
      <c r="B3218" s="4">
        <v>45937</v>
      </c>
      <c r="C3218" s="17" t="s">
        <v>16</v>
      </c>
      <c r="D321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18" s="7">
        <v>169.66</v>
      </c>
      <c r="F3218" s="21">
        <v>3.3</v>
      </c>
      <c r="G3218" s="25">
        <v>52.209841468502297</v>
      </c>
      <c r="I3218" s="28"/>
    </row>
    <row r="3219" spans="2:9" x14ac:dyDescent="0.35">
      <c r="B3219" s="4">
        <v>45932</v>
      </c>
      <c r="C3219" s="17" t="s">
        <v>5</v>
      </c>
      <c r="D321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19" s="7">
        <v>145.44</v>
      </c>
      <c r="F3219" s="21">
        <v>0.7</v>
      </c>
      <c r="G3219" s="25">
        <v>54.65727908455181</v>
      </c>
      <c r="I3219" s="28"/>
    </row>
    <row r="3220" spans="2:9" x14ac:dyDescent="0.35">
      <c r="B3220" s="4">
        <v>45934</v>
      </c>
      <c r="C3220" s="17" t="s">
        <v>5</v>
      </c>
      <c r="D322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0" s="7">
        <v>102.37</v>
      </c>
      <c r="F3220" s="21">
        <v>0.7</v>
      </c>
      <c r="G3220" s="25">
        <v>54.65727908455181</v>
      </c>
      <c r="I3220" s="28"/>
    </row>
    <row r="3221" spans="2:9" x14ac:dyDescent="0.35">
      <c r="B3221" s="4">
        <v>45933</v>
      </c>
      <c r="C3221" s="17" t="s">
        <v>3</v>
      </c>
      <c r="D322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1" s="7">
        <v>46.3</v>
      </c>
      <c r="F3221" s="24">
        <v>0.33</v>
      </c>
      <c r="G3221" s="25">
        <v>52.620268456375832</v>
      </c>
      <c r="I3221" s="28"/>
    </row>
    <row r="3222" spans="2:9" x14ac:dyDescent="0.35">
      <c r="B3222" s="4">
        <v>45934</v>
      </c>
      <c r="C3222" s="17" t="s">
        <v>3</v>
      </c>
      <c r="D322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2" s="7">
        <v>22.06</v>
      </c>
      <c r="F3222" s="24">
        <v>1.97</v>
      </c>
      <c r="G3222" s="25">
        <v>53.409022360045704</v>
      </c>
      <c r="I3222" s="28"/>
    </row>
    <row r="3223" spans="2:9" x14ac:dyDescent="0.35">
      <c r="B3223" s="16">
        <v>45931</v>
      </c>
      <c r="C3223" s="17" t="s">
        <v>2</v>
      </c>
      <c r="D322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3" s="7">
        <v>63.13</v>
      </c>
      <c r="F3223" s="21">
        <v>0.35</v>
      </c>
      <c r="G3223" s="24">
        <v>53.45</v>
      </c>
      <c r="I3223" s="28"/>
    </row>
    <row r="3224" spans="2:9" x14ac:dyDescent="0.35">
      <c r="B3224" s="16">
        <v>45932</v>
      </c>
      <c r="C3224" s="17" t="s">
        <v>2</v>
      </c>
      <c r="D322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4" s="7">
        <v>202</v>
      </c>
      <c r="F3224" s="21">
        <v>0.72</v>
      </c>
      <c r="G3224" s="24">
        <v>54</v>
      </c>
      <c r="I3224" s="28"/>
    </row>
    <row r="3225" spans="2:9" x14ac:dyDescent="0.35">
      <c r="B3225" s="16">
        <v>45933</v>
      </c>
      <c r="C3225" s="17" t="s">
        <v>2</v>
      </c>
      <c r="D322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5" s="7">
        <v>191.29</v>
      </c>
      <c r="F3225" s="21">
        <v>2.46</v>
      </c>
      <c r="G3225" s="24">
        <v>50.518567745155117</v>
      </c>
      <c r="I3225" s="28"/>
    </row>
    <row r="3226" spans="2:9" x14ac:dyDescent="0.35">
      <c r="B3226" s="4">
        <v>45931</v>
      </c>
      <c r="C3226" s="17" t="s">
        <v>7</v>
      </c>
      <c r="D322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6" s="7">
        <v>98.38</v>
      </c>
      <c r="F3226" s="21">
        <v>1.03</v>
      </c>
      <c r="G3226" s="25">
        <v>53.053905364878375</v>
      </c>
      <c r="I3226" s="28"/>
    </row>
    <row r="3227" spans="2:9" x14ac:dyDescent="0.35">
      <c r="B3227" s="16">
        <v>45936</v>
      </c>
      <c r="C3227" s="17" t="s">
        <v>3</v>
      </c>
      <c r="D322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7" s="7">
        <v>92.74</v>
      </c>
      <c r="F3227" s="24">
        <v>7.46</v>
      </c>
      <c r="G3227" s="24">
        <v>48.287742586554884</v>
      </c>
      <c r="I3227" s="28"/>
    </row>
    <row r="3228" spans="2:9" x14ac:dyDescent="0.35">
      <c r="B3228" s="4">
        <v>45936</v>
      </c>
      <c r="C3228" s="17" t="s">
        <v>2</v>
      </c>
      <c r="D322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8" s="7">
        <v>180.86</v>
      </c>
      <c r="F3228" s="6">
        <v>1.57</v>
      </c>
      <c r="G3228" s="6">
        <v>52.1</v>
      </c>
      <c r="I3228" s="28"/>
    </row>
    <row r="3229" spans="2:9" x14ac:dyDescent="0.35">
      <c r="B3229" s="16">
        <v>45936</v>
      </c>
      <c r="C3229" s="17" t="s">
        <v>7</v>
      </c>
      <c r="D322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29" s="7">
        <v>76.36</v>
      </c>
      <c r="F3229" s="21">
        <v>2.41</v>
      </c>
      <c r="G3229" s="24">
        <v>53.414987971130707</v>
      </c>
      <c r="I3229" s="28"/>
    </row>
    <row r="3230" spans="2:9" x14ac:dyDescent="0.35">
      <c r="B3230" s="16">
        <v>45937</v>
      </c>
      <c r="C3230" s="17" t="s">
        <v>5</v>
      </c>
      <c r="D323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30" s="7">
        <v>175.65</v>
      </c>
      <c r="F3230" s="21">
        <v>0.05</v>
      </c>
      <c r="G3230" s="22">
        <v>54.945697131420943</v>
      </c>
      <c r="I3230" s="28"/>
    </row>
    <row r="3231" spans="2:9" x14ac:dyDescent="0.35">
      <c r="B3231" s="16">
        <v>45937</v>
      </c>
      <c r="C3231" s="17" t="s">
        <v>3</v>
      </c>
      <c r="D323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31" s="7">
        <v>91.1</v>
      </c>
      <c r="F3231" s="24">
        <v>3.97</v>
      </c>
      <c r="G3231" s="24">
        <v>52.326912595546702</v>
      </c>
      <c r="I3231" s="28"/>
    </row>
    <row r="3232" spans="2:9" x14ac:dyDescent="0.35">
      <c r="B3232" s="16">
        <v>45937</v>
      </c>
      <c r="C3232" s="17" t="s">
        <v>2</v>
      </c>
      <c r="D323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32" s="7">
        <v>256.14999999999998</v>
      </c>
      <c r="F3232" s="6">
        <v>1.41</v>
      </c>
      <c r="G3232" s="6">
        <v>53.7</v>
      </c>
      <c r="I3232" s="28"/>
    </row>
    <row r="3233" spans="2:9" x14ac:dyDescent="0.35">
      <c r="B3233" s="16">
        <v>45937</v>
      </c>
      <c r="C3233" s="17" t="s">
        <v>4</v>
      </c>
      <c r="D323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33" s="7">
        <v>174.96</v>
      </c>
      <c r="F3233" s="24">
        <v>3.04</v>
      </c>
      <c r="G3233" s="24">
        <v>52.998327926129271</v>
      </c>
      <c r="I3233" s="28"/>
    </row>
    <row r="3234" spans="2:9" x14ac:dyDescent="0.35">
      <c r="B3234" s="4">
        <v>45938</v>
      </c>
      <c r="C3234" s="17" t="s">
        <v>16</v>
      </c>
      <c r="D323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34" s="7">
        <v>385.08</v>
      </c>
      <c r="F3234" s="21">
        <v>3.59</v>
      </c>
      <c r="G3234" s="22">
        <v>51.362233820459288</v>
      </c>
      <c r="I3234" s="28"/>
    </row>
    <row r="3235" spans="2:9" x14ac:dyDescent="0.35">
      <c r="B3235" s="4">
        <v>45938</v>
      </c>
      <c r="C3235" s="17" t="s">
        <v>5</v>
      </c>
      <c r="D323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35" s="7">
        <v>111.73</v>
      </c>
      <c r="F3235" s="21">
        <v>4.5999999999999996</v>
      </c>
      <c r="G3235" s="22">
        <v>48.303670256835126</v>
      </c>
      <c r="I3235" s="28"/>
    </row>
    <row r="3236" spans="2:9" x14ac:dyDescent="0.35">
      <c r="B3236" s="4">
        <v>45938</v>
      </c>
      <c r="C3236" s="17" t="s">
        <v>3</v>
      </c>
      <c r="D323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36" s="7">
        <v>70.900000000000006</v>
      </c>
      <c r="F3236" s="24">
        <v>4.5</v>
      </c>
      <c r="G3236" s="24">
        <v>51.11533155614795</v>
      </c>
      <c r="I3236" s="28"/>
    </row>
    <row r="3237" spans="2:9" x14ac:dyDescent="0.35">
      <c r="B3237" s="4">
        <v>45938</v>
      </c>
      <c r="C3237" s="17" t="s">
        <v>2</v>
      </c>
      <c r="D323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37" s="7">
        <v>482.74</v>
      </c>
      <c r="F3237" s="6">
        <f>(1.48+2.48)/2</f>
        <v>1.98</v>
      </c>
      <c r="G3237" s="6">
        <f>AVERAGE(52.7,51)</f>
        <v>51.85</v>
      </c>
      <c r="I3237" s="28"/>
    </row>
    <row r="3238" spans="2:9" x14ac:dyDescent="0.35">
      <c r="B3238" s="4">
        <v>45938</v>
      </c>
      <c r="C3238" s="17" t="s">
        <v>4</v>
      </c>
      <c r="D323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38" s="7">
        <v>205.8</v>
      </c>
      <c r="F3238" s="24">
        <v>6.27</v>
      </c>
      <c r="G3238" s="24">
        <v>49.268030836266135</v>
      </c>
      <c r="I3238" s="28"/>
    </row>
    <row r="3239" spans="2:9" x14ac:dyDescent="0.35">
      <c r="B3239" s="4">
        <v>45939</v>
      </c>
      <c r="C3239" s="17" t="s">
        <v>16</v>
      </c>
      <c r="D323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39" s="7">
        <v>347.38</v>
      </c>
      <c r="F3239" s="21">
        <v>3.59</v>
      </c>
      <c r="G3239" s="22">
        <v>51.362233820459288</v>
      </c>
      <c r="I3239" s="28"/>
    </row>
    <row r="3240" spans="2:9" x14ac:dyDescent="0.35">
      <c r="B3240" s="4">
        <v>45939</v>
      </c>
      <c r="C3240" s="17" t="s">
        <v>5</v>
      </c>
      <c r="D324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0" s="7">
        <v>31.15</v>
      </c>
      <c r="F3240" s="21">
        <v>9.2200000000000006</v>
      </c>
      <c r="G3240" s="22">
        <v>48.504209213371027</v>
      </c>
      <c r="I3240" s="28"/>
    </row>
    <row r="3241" spans="2:9" x14ac:dyDescent="0.35">
      <c r="B3241" s="4">
        <v>45939</v>
      </c>
      <c r="C3241" s="17" t="s">
        <v>3</v>
      </c>
      <c r="D324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1" s="7">
        <v>71.92</v>
      </c>
      <c r="F3241" s="6">
        <v>3</v>
      </c>
      <c r="G3241" s="6">
        <v>50.9</v>
      </c>
      <c r="I3241" s="28"/>
    </row>
    <row r="3242" spans="2:9" x14ac:dyDescent="0.35">
      <c r="B3242" s="4">
        <v>45939</v>
      </c>
      <c r="C3242" s="17" t="s">
        <v>2</v>
      </c>
      <c r="D324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2" s="7">
        <v>248.08</v>
      </c>
      <c r="F3242" s="6">
        <v>0.45</v>
      </c>
      <c r="G3242" s="6">
        <v>53.1</v>
      </c>
      <c r="I3242" s="28"/>
    </row>
    <row r="3243" spans="2:9" x14ac:dyDescent="0.35">
      <c r="B3243" s="4">
        <v>45939</v>
      </c>
      <c r="C3243" s="17" t="s">
        <v>7</v>
      </c>
      <c r="D324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3" s="7">
        <v>49.13</v>
      </c>
      <c r="F3243" s="21">
        <v>7.38</v>
      </c>
      <c r="G3243" s="24">
        <v>48.35857047595232</v>
      </c>
      <c r="I3243" s="28"/>
    </row>
    <row r="3244" spans="2:9" x14ac:dyDescent="0.35">
      <c r="B3244" s="4">
        <v>45939</v>
      </c>
      <c r="C3244" s="17" t="s">
        <v>4</v>
      </c>
      <c r="D324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4" s="7">
        <v>207.68</v>
      </c>
      <c r="F3244" s="24">
        <v>3.21</v>
      </c>
      <c r="G3244" s="24">
        <v>51.724508100885252</v>
      </c>
      <c r="I3244" s="28"/>
    </row>
    <row r="3245" spans="2:9" x14ac:dyDescent="0.35">
      <c r="B3245" s="4">
        <v>45940</v>
      </c>
      <c r="C3245" s="17" t="s">
        <v>5</v>
      </c>
      <c r="D324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5" s="7">
        <v>105.65</v>
      </c>
      <c r="F3245" s="21">
        <v>1.48</v>
      </c>
      <c r="G3245" s="22">
        <v>53.187218993856881</v>
      </c>
      <c r="I3245" s="28"/>
    </row>
    <row r="3246" spans="2:9" x14ac:dyDescent="0.35">
      <c r="B3246" s="4">
        <v>45941</v>
      </c>
      <c r="C3246" s="17" t="s">
        <v>5</v>
      </c>
      <c r="D324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6" s="7">
        <v>33.130000000000003</v>
      </c>
      <c r="F3246" s="21">
        <v>0.01</v>
      </c>
      <c r="G3246" s="22">
        <v>55.142962687184578</v>
      </c>
      <c r="I3246" s="28"/>
    </row>
    <row r="3247" spans="2:9" x14ac:dyDescent="0.35">
      <c r="B3247" s="4">
        <v>45940</v>
      </c>
      <c r="C3247" s="17" t="s">
        <v>3</v>
      </c>
      <c r="D324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7" s="7">
        <v>71.12</v>
      </c>
      <c r="F3247" s="24">
        <v>2.86</v>
      </c>
      <c r="G3247" s="24">
        <v>51.88333588370314</v>
      </c>
      <c r="I3247" s="28"/>
    </row>
    <row r="3248" spans="2:9" x14ac:dyDescent="0.35">
      <c r="B3248" s="4">
        <v>45941</v>
      </c>
      <c r="C3248" s="17" t="s">
        <v>3</v>
      </c>
      <c r="D324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8" s="7">
        <v>46</v>
      </c>
      <c r="F3248" s="24">
        <v>2.87</v>
      </c>
      <c r="G3248" s="24">
        <v>52.30056207844116</v>
      </c>
      <c r="I3248" s="28"/>
    </row>
    <row r="3249" spans="2:9" x14ac:dyDescent="0.35">
      <c r="B3249" s="4">
        <v>45940</v>
      </c>
      <c r="C3249" s="17" t="s">
        <v>2</v>
      </c>
      <c r="D324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49" s="7">
        <v>397.67</v>
      </c>
      <c r="F3249" s="6">
        <v>0.75</v>
      </c>
      <c r="G3249" s="6">
        <v>52.3</v>
      </c>
      <c r="I3249" s="28"/>
    </row>
    <row r="3250" spans="2:9" x14ac:dyDescent="0.35">
      <c r="B3250" s="4">
        <v>45940</v>
      </c>
      <c r="C3250" s="17" t="s">
        <v>7</v>
      </c>
      <c r="D325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50" s="7">
        <v>98.75</v>
      </c>
      <c r="F3250" s="21">
        <v>15.5</v>
      </c>
      <c r="G3250" s="24">
        <v>44.173759788970401</v>
      </c>
      <c r="I3250" s="28"/>
    </row>
    <row r="3251" spans="2:9" x14ac:dyDescent="0.35">
      <c r="B3251" s="4">
        <v>45931</v>
      </c>
      <c r="C3251" s="17" t="s">
        <v>6</v>
      </c>
      <c r="D325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51" s="7">
        <v>813</v>
      </c>
      <c r="F3251" s="6">
        <v>2.1</v>
      </c>
      <c r="G3251" s="6">
        <v>53.6</v>
      </c>
      <c r="I3251" s="28"/>
    </row>
    <row r="3252" spans="2:9" x14ac:dyDescent="0.35">
      <c r="B3252" s="4">
        <v>45940</v>
      </c>
      <c r="C3252" s="17" t="s">
        <v>16</v>
      </c>
      <c r="D325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52" s="7">
        <v>143.74</v>
      </c>
      <c r="F3252" s="21">
        <v>2.23</v>
      </c>
      <c r="G3252" s="22">
        <v>53.207333214888514</v>
      </c>
      <c r="I3252" s="28"/>
    </row>
    <row r="3253" spans="2:9" x14ac:dyDescent="0.35">
      <c r="B3253" s="4">
        <v>45941</v>
      </c>
      <c r="C3253" s="17" t="s">
        <v>16</v>
      </c>
      <c r="D325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53" s="7">
        <v>159.41999999999999</v>
      </c>
      <c r="F3253" s="6">
        <v>1.63</v>
      </c>
      <c r="G3253" s="6">
        <v>53.4</v>
      </c>
      <c r="I3253" s="28"/>
    </row>
    <row r="3254" spans="2:9" x14ac:dyDescent="0.35">
      <c r="B3254" s="4">
        <v>45938</v>
      </c>
      <c r="C3254" s="17" t="s">
        <v>17</v>
      </c>
      <c r="D325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54" s="7">
        <v>345.32</v>
      </c>
      <c r="F3254" s="6">
        <v>5.5</v>
      </c>
      <c r="G3254" s="6">
        <v>50.4</v>
      </c>
      <c r="I3254" s="28"/>
    </row>
    <row r="3255" spans="2:9" x14ac:dyDescent="0.35">
      <c r="B3255" s="4">
        <v>45940</v>
      </c>
      <c r="C3255" s="17" t="s">
        <v>17</v>
      </c>
      <c r="D325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55" s="7">
        <v>110.88</v>
      </c>
      <c r="F3255" s="6">
        <v>3.8</v>
      </c>
      <c r="G3255" s="6">
        <v>50</v>
      </c>
      <c r="I3255" s="28"/>
    </row>
    <row r="3256" spans="2:9" x14ac:dyDescent="0.35">
      <c r="B3256" s="4">
        <v>45941</v>
      </c>
      <c r="C3256" s="17" t="s">
        <v>17</v>
      </c>
      <c r="D3256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56" s="7">
        <v>159.24</v>
      </c>
      <c r="F3256" s="6">
        <v>2.6</v>
      </c>
      <c r="G3256" s="6">
        <v>52.6</v>
      </c>
      <c r="I3256" s="28"/>
    </row>
    <row r="3257" spans="2:9" x14ac:dyDescent="0.35">
      <c r="B3257" s="4">
        <v>45944</v>
      </c>
      <c r="C3257" s="17" t="s">
        <v>5</v>
      </c>
      <c r="D325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57" s="7">
        <v>34.15</v>
      </c>
      <c r="F3257" s="21">
        <v>0.01</v>
      </c>
      <c r="G3257" s="22">
        <v>55.142962687184578</v>
      </c>
      <c r="I3257" s="28"/>
    </row>
    <row r="3258" spans="2:9" x14ac:dyDescent="0.35">
      <c r="B3258" s="4">
        <v>45944</v>
      </c>
      <c r="C3258" s="17" t="s">
        <v>3</v>
      </c>
      <c r="D325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58" s="7">
        <v>70.680000000000007</v>
      </c>
      <c r="F3258" s="6">
        <v>7</v>
      </c>
      <c r="G3258" s="6">
        <v>48.9</v>
      </c>
      <c r="I3258" s="28"/>
    </row>
    <row r="3259" spans="2:9" x14ac:dyDescent="0.35">
      <c r="B3259" s="4">
        <v>45944</v>
      </c>
      <c r="C3259" s="17" t="s">
        <v>2</v>
      </c>
      <c r="D325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59" s="7">
        <v>218.69</v>
      </c>
      <c r="F3259" s="6">
        <v>0.55000000000000004</v>
      </c>
      <c r="G3259" s="6">
        <v>53.5</v>
      </c>
      <c r="I3259" s="28"/>
    </row>
    <row r="3260" spans="2:9" x14ac:dyDescent="0.35">
      <c r="B3260" s="4">
        <v>45944</v>
      </c>
      <c r="C3260" s="17" t="s">
        <v>7</v>
      </c>
      <c r="D326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60" s="7">
        <v>24.96</v>
      </c>
      <c r="F3260" s="21">
        <v>2.0099999999999998</v>
      </c>
      <c r="G3260" s="24">
        <v>49.801768604748723</v>
      </c>
      <c r="I3260" s="28"/>
    </row>
    <row r="3261" spans="2:9" x14ac:dyDescent="0.35">
      <c r="B3261" s="4">
        <v>45944</v>
      </c>
      <c r="C3261" s="17" t="s">
        <v>4</v>
      </c>
      <c r="D326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61" s="7">
        <v>77.75</v>
      </c>
      <c r="F3261" s="24">
        <v>4.3099999999999996</v>
      </c>
      <c r="G3261" s="24">
        <v>51.695023596419851</v>
      </c>
      <c r="I3261" s="28"/>
    </row>
    <row r="3262" spans="2:9" x14ac:dyDescent="0.35">
      <c r="B3262" s="4">
        <v>45945</v>
      </c>
      <c r="C3262" s="17" t="s">
        <v>5</v>
      </c>
      <c r="D326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62" s="7">
        <v>217.71</v>
      </c>
      <c r="F3262" s="21">
        <v>5.22</v>
      </c>
      <c r="G3262" s="22">
        <v>47.704382302405499</v>
      </c>
      <c r="I3262" s="28"/>
    </row>
    <row r="3263" spans="2:9" x14ac:dyDescent="0.35">
      <c r="B3263" s="4">
        <v>45945</v>
      </c>
      <c r="C3263" s="17" t="s">
        <v>3</v>
      </c>
      <c r="D326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63" s="7">
        <v>46.06</v>
      </c>
      <c r="F3263" s="24">
        <v>2.1</v>
      </c>
      <c r="G3263" s="24">
        <v>53.474789915966383</v>
      </c>
      <c r="I3263" s="28"/>
    </row>
    <row r="3264" spans="2:9" x14ac:dyDescent="0.35">
      <c r="B3264" s="4">
        <v>45945</v>
      </c>
      <c r="C3264" s="17" t="s">
        <v>2</v>
      </c>
      <c r="D326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64" s="7">
        <v>433.54</v>
      </c>
      <c r="F3264" s="21">
        <v>0.73</v>
      </c>
      <c r="G3264" s="24">
        <v>53.461155388069265</v>
      </c>
      <c r="I3264" s="28"/>
    </row>
    <row r="3265" spans="2:9" x14ac:dyDescent="0.35">
      <c r="B3265" s="4">
        <v>45945</v>
      </c>
      <c r="C3265" s="17" t="s">
        <v>16</v>
      </c>
      <c r="D326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65" s="7">
        <v>340.56</v>
      </c>
      <c r="F3265" s="6">
        <v>1.32</v>
      </c>
      <c r="G3265" s="6">
        <v>54</v>
      </c>
      <c r="I3265" s="28"/>
    </row>
    <row r="3266" spans="2:9" x14ac:dyDescent="0.35">
      <c r="B3266" s="4">
        <v>45945</v>
      </c>
      <c r="C3266" s="17" t="s">
        <v>17</v>
      </c>
      <c r="D3266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66" s="7">
        <v>24.72</v>
      </c>
      <c r="F3266" s="6">
        <v>3.48</v>
      </c>
      <c r="G3266" s="6">
        <v>52.3</v>
      </c>
      <c r="I3266" s="28"/>
    </row>
    <row r="3267" spans="2:9" x14ac:dyDescent="0.35">
      <c r="B3267" s="4">
        <v>45946</v>
      </c>
      <c r="C3267" s="17" t="s">
        <v>3</v>
      </c>
      <c r="D326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67" s="7">
        <v>69.040000000000006</v>
      </c>
      <c r="F3267" s="24">
        <v>1.44</v>
      </c>
      <c r="G3267" s="24">
        <v>52.505081274382313</v>
      </c>
      <c r="I3267" s="28"/>
    </row>
    <row r="3268" spans="2:9" x14ac:dyDescent="0.35">
      <c r="B3268" s="4">
        <v>45946</v>
      </c>
      <c r="C3268" s="17" t="s">
        <v>2</v>
      </c>
      <c r="D326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68" s="7">
        <v>233.13</v>
      </c>
      <c r="F3268" s="6">
        <f>(0.89+0.37)/2</f>
        <v>0.63</v>
      </c>
      <c r="G3268" s="6">
        <f>(53.8+53.3)/2</f>
        <v>53.55</v>
      </c>
      <c r="I3268" s="28"/>
    </row>
    <row r="3269" spans="2:9" x14ac:dyDescent="0.35">
      <c r="B3269" s="4">
        <v>45946</v>
      </c>
      <c r="C3269" s="17" t="s">
        <v>7</v>
      </c>
      <c r="D326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69" s="7">
        <v>25.87</v>
      </c>
      <c r="F3269" s="21">
        <v>2.63</v>
      </c>
      <c r="G3269" s="24">
        <v>52.66449860390906</v>
      </c>
      <c r="I3269" s="28"/>
    </row>
    <row r="3270" spans="2:9" x14ac:dyDescent="0.35">
      <c r="B3270" s="4">
        <v>45946</v>
      </c>
      <c r="C3270" s="17" t="s">
        <v>16</v>
      </c>
      <c r="D327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70" s="7">
        <v>608.9</v>
      </c>
      <c r="F3270" s="21">
        <v>1.41</v>
      </c>
      <c r="G3270" s="22">
        <v>53.917905822175413</v>
      </c>
      <c r="I3270" s="28"/>
    </row>
    <row r="3271" spans="2:9" x14ac:dyDescent="0.35">
      <c r="B3271" s="4">
        <v>45947</v>
      </c>
      <c r="C3271" s="17" t="s">
        <v>3</v>
      </c>
      <c r="D327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71" s="7">
        <v>94.24</v>
      </c>
      <c r="F3271" s="6">
        <v>2.6</v>
      </c>
      <c r="G3271" s="6">
        <v>52.8</v>
      </c>
      <c r="I3271" s="28"/>
    </row>
    <row r="3272" spans="2:9" x14ac:dyDescent="0.35">
      <c r="B3272" s="4">
        <v>45948</v>
      </c>
      <c r="C3272" s="17" t="s">
        <v>3</v>
      </c>
      <c r="D327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72" s="7">
        <v>44.69</v>
      </c>
      <c r="F3272" s="6">
        <v>1.2</v>
      </c>
      <c r="G3272" s="6">
        <v>54.2</v>
      </c>
      <c r="I3272" s="28"/>
    </row>
    <row r="3273" spans="2:9" x14ac:dyDescent="0.35">
      <c r="B3273" s="4">
        <v>45950</v>
      </c>
      <c r="C3273" s="17" t="s">
        <v>3</v>
      </c>
      <c r="D327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73" s="7">
        <v>71.260000000000005</v>
      </c>
      <c r="F3273" s="6">
        <v>2.6</v>
      </c>
      <c r="G3273" s="6">
        <v>53.3</v>
      </c>
      <c r="I3273" s="28"/>
    </row>
    <row r="3274" spans="2:9" x14ac:dyDescent="0.35">
      <c r="B3274" s="4">
        <v>45947</v>
      </c>
      <c r="C3274" s="17" t="s">
        <v>2</v>
      </c>
      <c r="D327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74" s="7">
        <v>428.63</v>
      </c>
      <c r="F3274" s="6">
        <v>0.05</v>
      </c>
      <c r="G3274" s="6">
        <v>54.9</v>
      </c>
      <c r="I3274" s="28"/>
    </row>
    <row r="3275" spans="2:9" x14ac:dyDescent="0.35">
      <c r="B3275" s="4">
        <v>45948</v>
      </c>
      <c r="C3275" s="17" t="s">
        <v>2</v>
      </c>
      <c r="D327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75" s="7">
        <v>79.39</v>
      </c>
      <c r="F3275" s="6">
        <v>0.97499999999999998</v>
      </c>
      <c r="G3275" s="6">
        <v>53.3</v>
      </c>
      <c r="I3275" s="28"/>
    </row>
    <row r="3276" spans="2:9" x14ac:dyDescent="0.35">
      <c r="B3276" s="4">
        <v>45950</v>
      </c>
      <c r="C3276" s="17" t="s">
        <v>2</v>
      </c>
      <c r="D327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76" s="7">
        <v>386.41</v>
      </c>
      <c r="F3276" s="6">
        <v>0.41</v>
      </c>
      <c r="G3276" s="6">
        <v>54.2</v>
      </c>
      <c r="I3276" s="28"/>
    </row>
    <row r="3277" spans="2:9" x14ac:dyDescent="0.35">
      <c r="B3277" s="16">
        <v>45947</v>
      </c>
      <c r="C3277" s="17" t="s">
        <v>4</v>
      </c>
      <c r="D327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77" s="7">
        <v>227.75</v>
      </c>
      <c r="F3277" s="24">
        <v>1.64</v>
      </c>
      <c r="G3277" s="24">
        <v>54.447848499917114</v>
      </c>
      <c r="I3277" s="28"/>
    </row>
    <row r="3278" spans="2:9" x14ac:dyDescent="0.35">
      <c r="B3278" s="4">
        <v>45947</v>
      </c>
      <c r="C3278" s="17" t="s">
        <v>16</v>
      </c>
      <c r="D327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78" s="7">
        <v>429.56</v>
      </c>
      <c r="F3278" s="6">
        <v>1.42</v>
      </c>
      <c r="G3278" s="6">
        <v>53.8</v>
      </c>
      <c r="I3278" s="28"/>
    </row>
    <row r="3279" spans="2:9" x14ac:dyDescent="0.35">
      <c r="B3279" s="4">
        <v>45947</v>
      </c>
      <c r="C3279" s="17" t="s">
        <v>17</v>
      </c>
      <c r="D327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79" s="7">
        <v>88.58</v>
      </c>
      <c r="F3279" s="6">
        <v>1.93</v>
      </c>
      <c r="G3279" s="6">
        <v>53.2</v>
      </c>
      <c r="I3279" s="28"/>
    </row>
    <row r="3280" spans="2:9" x14ac:dyDescent="0.35">
      <c r="B3280" s="4">
        <v>45948</v>
      </c>
      <c r="C3280" s="17" t="s">
        <v>16</v>
      </c>
      <c r="D328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80" s="7">
        <v>463.92</v>
      </c>
      <c r="F3280" s="6">
        <v>1.79</v>
      </c>
      <c r="G3280" s="6">
        <v>52.7</v>
      </c>
      <c r="I3280" s="28"/>
    </row>
    <row r="3281" spans="2:9" x14ac:dyDescent="0.35">
      <c r="B3281" s="4">
        <v>45948</v>
      </c>
      <c r="C3281" s="17" t="s">
        <v>17</v>
      </c>
      <c r="D328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81" s="7">
        <v>74.22</v>
      </c>
      <c r="F3281" s="6">
        <v>1.53</v>
      </c>
      <c r="G3281" s="6">
        <v>51.3</v>
      </c>
      <c r="I3281" s="28"/>
    </row>
    <row r="3282" spans="2:9" x14ac:dyDescent="0.35">
      <c r="B3282" s="4">
        <v>45950</v>
      </c>
      <c r="C3282" s="17" t="s">
        <v>16</v>
      </c>
      <c r="D328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82" s="7">
        <v>291.7</v>
      </c>
      <c r="F3282" s="6">
        <v>0.98</v>
      </c>
      <c r="G3282" s="6">
        <v>54.4</v>
      </c>
      <c r="I3282" s="28"/>
    </row>
    <row r="3283" spans="2:9" x14ac:dyDescent="0.35">
      <c r="B3283" s="4">
        <v>45950</v>
      </c>
      <c r="C3283" s="17" t="s">
        <v>17</v>
      </c>
      <c r="D328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83" s="7">
        <v>154.66</v>
      </c>
      <c r="F3283" s="6">
        <v>1.33</v>
      </c>
      <c r="G3283" s="6">
        <v>53.4</v>
      </c>
      <c r="I3283" s="28"/>
    </row>
    <row r="3284" spans="2:9" x14ac:dyDescent="0.35">
      <c r="B3284" s="4">
        <v>45944</v>
      </c>
      <c r="C3284" s="17" t="s">
        <v>16</v>
      </c>
      <c r="D328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84" s="7">
        <v>659</v>
      </c>
      <c r="F3284" s="6">
        <v>1.63</v>
      </c>
      <c r="G3284" s="6">
        <v>53.4</v>
      </c>
      <c r="I3284" s="28"/>
    </row>
    <row r="3285" spans="2:9" x14ac:dyDescent="0.35">
      <c r="B3285" s="4">
        <v>45951</v>
      </c>
      <c r="C3285" s="17" t="s">
        <v>2</v>
      </c>
      <c r="D328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85" s="7">
        <v>396.68</v>
      </c>
      <c r="F3285" s="6">
        <v>1.27</v>
      </c>
      <c r="G3285" s="6">
        <v>51.7</v>
      </c>
      <c r="I3285" s="28"/>
    </row>
    <row r="3286" spans="2:9" x14ac:dyDescent="0.35">
      <c r="B3286" s="4">
        <v>45951</v>
      </c>
      <c r="C3286" s="17" t="s">
        <v>3</v>
      </c>
      <c r="D328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86" s="7">
        <v>69.02</v>
      </c>
      <c r="F3286" s="6">
        <v>1.1000000000000001</v>
      </c>
      <c r="G3286" s="6">
        <v>54.1</v>
      </c>
      <c r="I3286" s="28"/>
    </row>
    <row r="3287" spans="2:9" x14ac:dyDescent="0.35">
      <c r="B3287" s="4">
        <v>45951</v>
      </c>
      <c r="C3287" s="17" t="s">
        <v>16</v>
      </c>
      <c r="D328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87" s="7">
        <v>436.72</v>
      </c>
      <c r="F3287" s="6">
        <v>1.03</v>
      </c>
      <c r="G3287" s="6">
        <v>54.1</v>
      </c>
      <c r="I3287" s="28"/>
    </row>
    <row r="3288" spans="2:9" x14ac:dyDescent="0.35">
      <c r="B3288" s="4">
        <v>45951</v>
      </c>
      <c r="C3288" s="17" t="s">
        <v>5</v>
      </c>
      <c r="D328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88" s="7">
        <v>96.35</v>
      </c>
      <c r="F3288" s="6">
        <v>0.15</v>
      </c>
      <c r="G3288" s="6">
        <v>54.6</v>
      </c>
      <c r="I3288" s="28"/>
    </row>
    <row r="3289" spans="2:9" x14ac:dyDescent="0.35">
      <c r="B3289" s="4">
        <v>45952</v>
      </c>
      <c r="C3289" s="17" t="s">
        <v>2</v>
      </c>
      <c r="D328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89" s="7">
        <v>319.16000000000003</v>
      </c>
      <c r="F3289" s="6">
        <v>0.44</v>
      </c>
      <c r="G3289" s="6">
        <v>54.4</v>
      </c>
      <c r="I3289" s="28"/>
    </row>
    <row r="3290" spans="2:9" x14ac:dyDescent="0.35">
      <c r="B3290" s="4">
        <v>45952</v>
      </c>
      <c r="C3290" s="17" t="s">
        <v>3</v>
      </c>
      <c r="D329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90" s="7">
        <v>24.32</v>
      </c>
      <c r="F3290" s="6">
        <v>1.44</v>
      </c>
      <c r="G3290" s="6">
        <v>53.8</v>
      </c>
      <c r="I3290" s="28"/>
    </row>
    <row r="3291" spans="2:9" x14ac:dyDescent="0.35">
      <c r="B3291" s="4">
        <v>45952</v>
      </c>
      <c r="C3291" s="17" t="s">
        <v>7</v>
      </c>
      <c r="D329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91" s="7">
        <v>52.63</v>
      </c>
      <c r="F3291" s="6">
        <v>0.55000000000000004</v>
      </c>
      <c r="G3291" s="6">
        <v>54.6</v>
      </c>
      <c r="I3291" s="28"/>
    </row>
    <row r="3292" spans="2:9" x14ac:dyDescent="0.35">
      <c r="B3292" s="4">
        <v>45952</v>
      </c>
      <c r="C3292" s="17" t="s">
        <v>4</v>
      </c>
      <c r="D329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92" s="7">
        <v>156.74</v>
      </c>
      <c r="F3292" s="6">
        <v>1.43</v>
      </c>
      <c r="G3292" s="6">
        <v>54.4</v>
      </c>
      <c r="I3292" s="28"/>
    </row>
    <row r="3293" spans="2:9" x14ac:dyDescent="0.35">
      <c r="B3293" s="4">
        <v>45952</v>
      </c>
      <c r="C3293" s="17" t="s">
        <v>5</v>
      </c>
      <c r="D329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93" s="7">
        <v>95.35</v>
      </c>
      <c r="F3293" s="6">
        <v>0.11</v>
      </c>
      <c r="G3293" s="6">
        <v>55.1</v>
      </c>
      <c r="I3293" s="28"/>
    </row>
    <row r="3294" spans="2:9" x14ac:dyDescent="0.35">
      <c r="B3294" s="4">
        <v>45952</v>
      </c>
      <c r="C3294" s="17" t="s">
        <v>16</v>
      </c>
      <c r="D329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294" s="7">
        <v>193.94</v>
      </c>
      <c r="F3294" s="6">
        <v>3.37</v>
      </c>
      <c r="G3294" s="6">
        <v>52.4</v>
      </c>
      <c r="I3294" s="28"/>
    </row>
    <row r="3295" spans="2:9" x14ac:dyDescent="0.35">
      <c r="B3295" s="4">
        <v>45953</v>
      </c>
      <c r="C3295" s="17" t="s">
        <v>2</v>
      </c>
      <c r="D329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95" s="7">
        <v>422.12</v>
      </c>
      <c r="F3295" s="6">
        <v>5.97</v>
      </c>
      <c r="G3295" s="6">
        <v>49.1</v>
      </c>
      <c r="I3295" s="28"/>
    </row>
    <row r="3296" spans="2:9" x14ac:dyDescent="0.35">
      <c r="B3296" s="4">
        <v>45953</v>
      </c>
      <c r="C3296" s="17" t="s">
        <v>3</v>
      </c>
      <c r="D329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96" s="7">
        <v>69.28</v>
      </c>
      <c r="F3296" s="6">
        <v>2.2000000000000002</v>
      </c>
      <c r="G3296" s="6">
        <v>53.7</v>
      </c>
      <c r="I3296" s="28"/>
    </row>
    <row r="3297" spans="2:9" x14ac:dyDescent="0.35">
      <c r="B3297" s="4">
        <v>45953</v>
      </c>
      <c r="C3297" s="17" t="s">
        <v>7</v>
      </c>
      <c r="D329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97" s="7">
        <v>26.12</v>
      </c>
      <c r="F3297" s="6">
        <v>1.65</v>
      </c>
      <c r="G3297" s="6">
        <v>47.9</v>
      </c>
      <c r="I3297" s="28"/>
    </row>
    <row r="3298" spans="2:9" x14ac:dyDescent="0.35">
      <c r="B3298" s="4">
        <v>45953</v>
      </c>
      <c r="C3298" s="17" t="s">
        <v>4</v>
      </c>
      <c r="D329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98" s="7">
        <v>153.31</v>
      </c>
      <c r="F3298" s="6">
        <v>2.5</v>
      </c>
      <c r="G3298" s="6">
        <v>53.2</v>
      </c>
      <c r="I3298" s="28"/>
    </row>
    <row r="3299" spans="2:9" x14ac:dyDescent="0.35">
      <c r="B3299" s="4">
        <v>45953</v>
      </c>
      <c r="C3299" s="17" t="s">
        <v>5</v>
      </c>
      <c r="D329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299" s="7">
        <v>70.239999999999995</v>
      </c>
      <c r="F3299" s="6">
        <v>1.1499999999999999</v>
      </c>
      <c r="G3299" s="6">
        <v>53.4</v>
      </c>
      <c r="I3299" s="28"/>
    </row>
    <row r="3300" spans="2:9" x14ac:dyDescent="0.35">
      <c r="B3300" s="4">
        <v>45953</v>
      </c>
      <c r="C3300" s="17" t="s">
        <v>16</v>
      </c>
      <c r="D330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00" s="7">
        <v>139.13999999999999</v>
      </c>
      <c r="F3300" s="6">
        <v>5.72</v>
      </c>
      <c r="G3300" s="6">
        <v>51.1</v>
      </c>
      <c r="I3300" s="28"/>
    </row>
    <row r="3301" spans="2:9" x14ac:dyDescent="0.35">
      <c r="B3301" s="4">
        <v>45954</v>
      </c>
      <c r="C3301" s="17" t="s">
        <v>2</v>
      </c>
      <c r="D330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01" s="7">
        <v>562.28</v>
      </c>
      <c r="F3301" s="6">
        <v>0.98</v>
      </c>
      <c r="G3301" s="6">
        <v>54.3</v>
      </c>
      <c r="I3301" s="28"/>
    </row>
    <row r="3302" spans="2:9" x14ac:dyDescent="0.35">
      <c r="B3302" s="4">
        <v>45954</v>
      </c>
      <c r="C3302" s="17" t="s">
        <v>4</v>
      </c>
      <c r="D330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02" s="7">
        <v>102.999</v>
      </c>
      <c r="F3302" s="6">
        <v>1.67</v>
      </c>
      <c r="G3302" s="6">
        <v>54.3</v>
      </c>
      <c r="I3302" s="28"/>
    </row>
    <row r="3303" spans="2:9" x14ac:dyDescent="0.35">
      <c r="B3303" s="4">
        <v>45954</v>
      </c>
      <c r="C3303" s="17" t="s">
        <v>5</v>
      </c>
      <c r="D330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03" s="7">
        <v>177.09</v>
      </c>
      <c r="F3303" s="6">
        <v>5.98</v>
      </c>
      <c r="G3303" s="6">
        <v>54.3</v>
      </c>
      <c r="I3303" s="28"/>
    </row>
    <row r="3304" spans="2:9" x14ac:dyDescent="0.35">
      <c r="B3304" s="4">
        <v>45954</v>
      </c>
      <c r="C3304" s="17" t="s">
        <v>16</v>
      </c>
      <c r="D330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04" s="7">
        <v>44.78</v>
      </c>
      <c r="F3304" s="6">
        <v>0.11</v>
      </c>
      <c r="G3304" s="6">
        <v>54.8</v>
      </c>
      <c r="I3304" s="28"/>
    </row>
    <row r="3305" spans="2:9" x14ac:dyDescent="0.35">
      <c r="B3305" s="4">
        <v>45955</v>
      </c>
      <c r="C3305" s="17" t="s">
        <v>5</v>
      </c>
      <c r="D330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05" s="7">
        <v>66</v>
      </c>
      <c r="F3305" s="6">
        <v>0.56999999999999995</v>
      </c>
      <c r="G3305" s="6">
        <v>54.4</v>
      </c>
      <c r="I3305" s="28"/>
    </row>
    <row r="3306" spans="2:9" x14ac:dyDescent="0.35">
      <c r="B3306" s="4">
        <v>45955</v>
      </c>
      <c r="C3306" s="17" t="s">
        <v>4</v>
      </c>
      <c r="D330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06" s="7">
        <v>106</v>
      </c>
      <c r="F3306" s="6">
        <v>4.2</v>
      </c>
      <c r="G3306" s="6">
        <v>51.6</v>
      </c>
      <c r="I3306" s="28"/>
    </row>
    <row r="3307" spans="2:9" x14ac:dyDescent="0.35">
      <c r="B3307" s="4">
        <v>45957</v>
      </c>
      <c r="C3307" s="17" t="s">
        <v>4</v>
      </c>
      <c r="D330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07" s="7">
        <v>210.74</v>
      </c>
      <c r="F3307" s="24">
        <v>2.15</v>
      </c>
      <c r="G3307" s="24">
        <v>53.932279620063319</v>
      </c>
      <c r="I3307" s="28"/>
    </row>
    <row r="3308" spans="2:9" x14ac:dyDescent="0.35">
      <c r="B3308" s="4">
        <v>45957</v>
      </c>
      <c r="C3308" s="17" t="s">
        <v>16</v>
      </c>
      <c r="D330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08" s="7">
        <v>210.74</v>
      </c>
      <c r="F3308" s="24">
        <v>1.96</v>
      </c>
      <c r="G3308" s="25">
        <v>54</v>
      </c>
      <c r="I3308" s="28"/>
    </row>
    <row r="3309" spans="2:9" x14ac:dyDescent="0.35">
      <c r="B3309" s="4">
        <v>45957</v>
      </c>
      <c r="C3309" s="17" t="s">
        <v>16</v>
      </c>
      <c r="D330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09" s="7">
        <v>210.74</v>
      </c>
      <c r="F3309" s="24">
        <v>4.18</v>
      </c>
      <c r="G3309" s="25">
        <v>52.1</v>
      </c>
      <c r="I3309" s="28"/>
    </row>
    <row r="3310" spans="2:9" x14ac:dyDescent="0.35">
      <c r="B3310" s="4">
        <v>45958</v>
      </c>
      <c r="C3310" s="17" t="s">
        <v>4</v>
      </c>
      <c r="D331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10" s="7">
        <v>78.14</v>
      </c>
      <c r="F3310" s="6">
        <v>2</v>
      </c>
      <c r="G3310" s="6">
        <v>53.4</v>
      </c>
      <c r="I3310" s="28"/>
    </row>
    <row r="3311" spans="2:9" x14ac:dyDescent="0.35">
      <c r="B3311" s="4">
        <v>45958</v>
      </c>
      <c r="C3311" s="17" t="s">
        <v>5</v>
      </c>
      <c r="D331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11" s="7">
        <v>66.92</v>
      </c>
      <c r="F3311" s="6">
        <v>0.36</v>
      </c>
      <c r="G3311" s="6">
        <v>54.8</v>
      </c>
      <c r="I3311" s="28"/>
    </row>
    <row r="3312" spans="2:9" x14ac:dyDescent="0.35">
      <c r="B3312" s="4">
        <v>45958</v>
      </c>
      <c r="C3312" s="17" t="s">
        <v>16</v>
      </c>
      <c r="D331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12" s="7">
        <v>567.66600000000005</v>
      </c>
      <c r="F3312" s="6">
        <v>1.1599999999999999</v>
      </c>
      <c r="G3312" s="6">
        <v>53.1</v>
      </c>
      <c r="I3312" s="28"/>
    </row>
    <row r="3313" spans="2:9" x14ac:dyDescent="0.35">
      <c r="B3313" s="4">
        <v>45958</v>
      </c>
      <c r="C3313" s="17" t="s">
        <v>17</v>
      </c>
      <c r="D331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13" s="7">
        <v>199.3</v>
      </c>
      <c r="F3313" s="6">
        <v>1.32</v>
      </c>
      <c r="G3313" s="6">
        <v>53.9</v>
      </c>
      <c r="I3313" s="28"/>
    </row>
    <row r="3314" spans="2:9" x14ac:dyDescent="0.35">
      <c r="B3314" s="4">
        <v>45958</v>
      </c>
      <c r="C3314" s="17" t="s">
        <v>18</v>
      </c>
      <c r="D331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14" s="7">
        <v>53</v>
      </c>
      <c r="F3314" s="6">
        <v>5.34</v>
      </c>
      <c r="G3314" s="6">
        <v>50.6</v>
      </c>
      <c r="I3314" s="28"/>
    </row>
    <row r="3315" spans="2:9" x14ac:dyDescent="0.35">
      <c r="B3315" s="4">
        <v>45959</v>
      </c>
      <c r="C3315" s="17" t="s">
        <v>3</v>
      </c>
      <c r="D331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15" s="7">
        <v>68.459999999999994</v>
      </c>
      <c r="F3315" s="6">
        <v>3.34</v>
      </c>
      <c r="G3315" s="6">
        <v>51.4</v>
      </c>
      <c r="I3315" s="28"/>
    </row>
    <row r="3316" spans="2:9" x14ac:dyDescent="0.35">
      <c r="B3316" s="4">
        <v>45959</v>
      </c>
      <c r="C3316" s="17" t="s">
        <v>17</v>
      </c>
      <c r="D3316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16" s="7">
        <v>170.66</v>
      </c>
      <c r="F3316" s="6">
        <v>1.93</v>
      </c>
      <c r="G3316" s="6">
        <v>52.1</v>
      </c>
      <c r="I3316" s="28"/>
    </row>
    <row r="3317" spans="2:9" x14ac:dyDescent="0.35">
      <c r="B3317" s="4">
        <v>45959</v>
      </c>
      <c r="C3317" s="17" t="s">
        <v>4</v>
      </c>
      <c r="D331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17" s="7">
        <v>157.71</v>
      </c>
      <c r="F3317" s="6">
        <v>3.06</v>
      </c>
      <c r="G3317" s="6">
        <v>51.4</v>
      </c>
      <c r="I3317" s="28"/>
    </row>
    <row r="3318" spans="2:9" x14ac:dyDescent="0.35">
      <c r="B3318" s="4">
        <v>45959</v>
      </c>
      <c r="C3318" s="17" t="s">
        <v>18</v>
      </c>
      <c r="D331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18" s="7">
        <v>304.83999999999997</v>
      </c>
      <c r="F3318" s="6">
        <v>2.2200000000000002</v>
      </c>
      <c r="G3318" s="6">
        <v>51.9</v>
      </c>
      <c r="I3318" s="28"/>
    </row>
    <row r="3319" spans="2:9" x14ac:dyDescent="0.35">
      <c r="B3319" s="4">
        <v>45960</v>
      </c>
      <c r="C3319" s="17" t="s">
        <v>3</v>
      </c>
      <c r="D331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19" s="7">
        <v>91.62</v>
      </c>
      <c r="F3319" s="6">
        <v>2.62</v>
      </c>
      <c r="G3319" s="6">
        <v>52.7</v>
      </c>
      <c r="I3319" s="28"/>
    </row>
    <row r="3320" spans="2:9" x14ac:dyDescent="0.35">
      <c r="B3320" s="4">
        <v>45960</v>
      </c>
      <c r="C3320" s="17" t="s">
        <v>17</v>
      </c>
      <c r="D332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20" s="7">
        <v>170.32</v>
      </c>
      <c r="F3320" s="6">
        <v>0.92</v>
      </c>
      <c r="G3320" s="6">
        <v>54.5</v>
      </c>
      <c r="I3320" s="28"/>
    </row>
    <row r="3321" spans="2:9" x14ac:dyDescent="0.35">
      <c r="B3321" s="4">
        <v>45960</v>
      </c>
      <c r="C3321" s="17" t="s">
        <v>18</v>
      </c>
      <c r="D332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21" s="7">
        <v>227.6</v>
      </c>
      <c r="F3321" s="6">
        <v>3.29</v>
      </c>
      <c r="G3321" s="6">
        <v>53.2</v>
      </c>
      <c r="I3321" s="28"/>
    </row>
    <row r="3322" spans="2:9" x14ac:dyDescent="0.35">
      <c r="B3322" s="4">
        <v>45961</v>
      </c>
      <c r="C3322" s="17" t="s">
        <v>3</v>
      </c>
      <c r="D332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22" s="7">
        <v>92.62</v>
      </c>
      <c r="F3322" s="6">
        <v>4.95</v>
      </c>
      <c r="G3322" s="6">
        <v>49.52</v>
      </c>
      <c r="I3322" s="28"/>
    </row>
    <row r="3323" spans="2:9" x14ac:dyDescent="0.35">
      <c r="B3323" s="4">
        <v>45961</v>
      </c>
      <c r="C3323" s="17" t="s">
        <v>16</v>
      </c>
      <c r="D332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23" s="7">
        <v>314.22000000000003</v>
      </c>
      <c r="F3323" s="6">
        <v>1.25</v>
      </c>
      <c r="G3323" s="6">
        <v>53.28</v>
      </c>
      <c r="I3323" s="28"/>
    </row>
    <row r="3324" spans="2:9" x14ac:dyDescent="0.35">
      <c r="B3324" s="4">
        <v>45961</v>
      </c>
      <c r="C3324" s="17" t="s">
        <v>18</v>
      </c>
      <c r="D332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24" s="7">
        <v>291.62</v>
      </c>
      <c r="F3324" s="6">
        <v>3.55</v>
      </c>
      <c r="G3324" s="6">
        <v>51.5</v>
      </c>
      <c r="I3324" s="28"/>
    </row>
    <row r="3325" spans="2:9" x14ac:dyDescent="0.35">
      <c r="B3325" s="4">
        <v>45966</v>
      </c>
      <c r="C3325" s="17" t="s">
        <v>5</v>
      </c>
      <c r="D332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25" s="7">
        <v>192.46</v>
      </c>
      <c r="F3325" s="21">
        <v>0.04</v>
      </c>
      <c r="G3325" s="22">
        <v>54.878670886075945</v>
      </c>
      <c r="I3325" s="28"/>
    </row>
    <row r="3326" spans="2:9" x14ac:dyDescent="0.35">
      <c r="B3326" s="4">
        <v>45965</v>
      </c>
      <c r="C3326" s="17" t="s">
        <v>3</v>
      </c>
      <c r="D332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26" s="7">
        <v>277.72000000000003</v>
      </c>
      <c r="F3326" s="24">
        <v>1.58</v>
      </c>
      <c r="G3326" s="25">
        <v>53.938698776864072</v>
      </c>
      <c r="I3326" s="28"/>
    </row>
    <row r="3327" spans="2:9" x14ac:dyDescent="0.35">
      <c r="B3327" s="4">
        <v>45965</v>
      </c>
      <c r="C3327" s="17" t="s">
        <v>2</v>
      </c>
      <c r="D332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27" s="7">
        <v>103.36</v>
      </c>
      <c r="F3327" s="21">
        <v>1.06</v>
      </c>
      <c r="G3327" s="24">
        <v>53.674339985573461</v>
      </c>
      <c r="I3327" s="28"/>
    </row>
    <row r="3328" spans="2:9" x14ac:dyDescent="0.35">
      <c r="B3328" s="4">
        <v>45966</v>
      </c>
      <c r="C3328" s="17" t="s">
        <v>2</v>
      </c>
      <c r="D332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28" s="7">
        <v>1120.46</v>
      </c>
      <c r="F3328" s="6">
        <v>0.8</v>
      </c>
      <c r="G3328" s="6">
        <v>53</v>
      </c>
      <c r="I3328" s="28"/>
    </row>
    <row r="3329" spans="2:9" x14ac:dyDescent="0.35">
      <c r="B3329" s="4">
        <v>45967</v>
      </c>
      <c r="C3329" s="17" t="s">
        <v>2</v>
      </c>
      <c r="D332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29" s="7">
        <v>135.66999999999999</v>
      </c>
      <c r="F3329" s="6">
        <v>1.19</v>
      </c>
      <c r="G3329" s="6">
        <v>52.4</v>
      </c>
      <c r="I3329" s="28"/>
    </row>
    <row r="3330" spans="2:9" x14ac:dyDescent="0.35">
      <c r="B3330" s="4">
        <v>45966</v>
      </c>
      <c r="C3330" s="17" t="s">
        <v>4</v>
      </c>
      <c r="D333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30" s="7">
        <v>43.56</v>
      </c>
      <c r="F3330" s="24">
        <v>3.08</v>
      </c>
      <c r="G3330" s="24">
        <v>52.77380057212914</v>
      </c>
      <c r="I3330" s="28"/>
    </row>
    <row r="3331" spans="2:9" x14ac:dyDescent="0.35">
      <c r="B3331" s="4">
        <v>45967</v>
      </c>
      <c r="C3331" s="17" t="s">
        <v>4</v>
      </c>
      <c r="D333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31" s="7">
        <v>72.58</v>
      </c>
      <c r="F3331" s="24">
        <v>4.9139750000000006</v>
      </c>
      <c r="G3331" s="24">
        <v>50.007290491240298</v>
      </c>
      <c r="I3331" s="28"/>
    </row>
    <row r="3332" spans="2:9" x14ac:dyDescent="0.35">
      <c r="B3332" s="4">
        <v>45968</v>
      </c>
      <c r="C3332" s="17" t="s">
        <v>5</v>
      </c>
      <c r="D333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32" s="7">
        <v>101.6</v>
      </c>
      <c r="F3332" s="21">
        <v>0.37</v>
      </c>
      <c r="G3332" s="25">
        <v>54.328391113844262</v>
      </c>
      <c r="I3332" s="28"/>
    </row>
    <row r="3333" spans="2:9" x14ac:dyDescent="0.35">
      <c r="B3333" s="4">
        <v>45969</v>
      </c>
      <c r="C3333" s="17" t="s">
        <v>5</v>
      </c>
      <c r="D333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33" s="7">
        <v>32.06</v>
      </c>
      <c r="F3333" s="21">
        <v>1.01</v>
      </c>
      <c r="G3333" s="25">
        <v>54.116678784128702</v>
      </c>
      <c r="I3333" s="28"/>
    </row>
    <row r="3334" spans="2:9" x14ac:dyDescent="0.35">
      <c r="B3334" s="16">
        <v>45968</v>
      </c>
      <c r="C3334" s="17" t="s">
        <v>3</v>
      </c>
      <c r="D333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34" s="7">
        <v>95.28</v>
      </c>
      <c r="F3334" s="24">
        <v>0.73</v>
      </c>
      <c r="G3334" s="24">
        <v>53.779450045829513</v>
      </c>
      <c r="I3334" s="28"/>
    </row>
    <row r="3335" spans="2:9" x14ac:dyDescent="0.35">
      <c r="B3335" s="16">
        <v>45968</v>
      </c>
      <c r="C3335" s="17" t="s">
        <v>2</v>
      </c>
      <c r="D333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35" s="7">
        <v>95.19</v>
      </c>
      <c r="F3335" s="6">
        <v>7.0000000000000007E-2</v>
      </c>
      <c r="G3335" s="6">
        <v>54.8</v>
      </c>
      <c r="I3335" s="28"/>
    </row>
    <row r="3336" spans="2:9" x14ac:dyDescent="0.35">
      <c r="B3336" s="16">
        <v>45969</v>
      </c>
      <c r="C3336" s="17" t="s">
        <v>2</v>
      </c>
      <c r="D333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36" s="7">
        <v>282.42</v>
      </c>
      <c r="F3336" s="21">
        <v>0.35</v>
      </c>
      <c r="G3336" s="24">
        <v>53.93307291666666</v>
      </c>
      <c r="I3336" s="28"/>
    </row>
    <row r="3337" spans="2:9" x14ac:dyDescent="0.35">
      <c r="B3337" s="4">
        <v>45968</v>
      </c>
      <c r="C3337" s="17" t="s">
        <v>4</v>
      </c>
      <c r="D333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37" s="7">
        <v>141.1</v>
      </c>
      <c r="F3337" s="24">
        <v>3.54</v>
      </c>
      <c r="G3337" s="24">
        <v>52.179267343851308</v>
      </c>
      <c r="I3337" s="28"/>
    </row>
    <row r="3338" spans="2:9" x14ac:dyDescent="0.35">
      <c r="B3338" s="4"/>
      <c r="C3338" s="17"/>
      <c r="D3338" s="17"/>
      <c r="E3338" s="7"/>
      <c r="F3338" s="24"/>
      <c r="G3338" s="25"/>
      <c r="I3338" s="28"/>
    </row>
    <row r="3339" spans="2:9" x14ac:dyDescent="0.35">
      <c r="B3339" s="4"/>
      <c r="C3339" s="17"/>
      <c r="D3339" s="17"/>
      <c r="E3339" s="7"/>
      <c r="F3339" s="24"/>
      <c r="G3339" s="25"/>
      <c r="I3339" s="28"/>
    </row>
    <row r="3340" spans="2:9" x14ac:dyDescent="0.35">
      <c r="B3340" s="4"/>
      <c r="C3340" s="17"/>
      <c r="D3340" s="17"/>
      <c r="E3340" s="7"/>
      <c r="F3340" s="24"/>
      <c r="G3340" s="25"/>
      <c r="I3340" s="28"/>
    </row>
    <row r="3341" spans="2:9" x14ac:dyDescent="0.35">
      <c r="B3341" s="4">
        <v>45965</v>
      </c>
      <c r="C3341" s="17" t="s">
        <v>16</v>
      </c>
      <c r="D334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41" s="7">
        <v>351.7</v>
      </c>
      <c r="F3341" s="24">
        <v>4.68</v>
      </c>
      <c r="G3341" s="25">
        <v>49.5</v>
      </c>
      <c r="I3341" s="28"/>
    </row>
    <row r="3342" spans="2:9" x14ac:dyDescent="0.35">
      <c r="B3342" s="4"/>
      <c r="C3342" s="17"/>
      <c r="D3342" s="17"/>
      <c r="E3342" s="7"/>
      <c r="F3342" s="24"/>
      <c r="G3342" s="25"/>
      <c r="I3342" s="28"/>
    </row>
    <row r="3343" spans="2:9" x14ac:dyDescent="0.35">
      <c r="B3343" s="4">
        <v>45966</v>
      </c>
      <c r="C3343" s="17" t="s">
        <v>16</v>
      </c>
      <c r="D334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43" s="7">
        <v>351.56</v>
      </c>
      <c r="F3343" s="24">
        <v>1.69</v>
      </c>
      <c r="G3343" s="25">
        <v>53</v>
      </c>
      <c r="I3343" s="28"/>
    </row>
    <row r="3344" spans="2:9" x14ac:dyDescent="0.35">
      <c r="B3344" s="4">
        <v>45966</v>
      </c>
      <c r="C3344" s="17" t="s">
        <v>17</v>
      </c>
      <c r="D334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44" s="7">
        <v>130.68</v>
      </c>
      <c r="F3344" s="24">
        <v>1.48</v>
      </c>
      <c r="G3344" s="25">
        <v>53.5</v>
      </c>
      <c r="I3344" s="28"/>
    </row>
    <row r="3345" spans="2:9" x14ac:dyDescent="0.35">
      <c r="B3345" s="4">
        <v>45969</v>
      </c>
      <c r="C3345" s="17" t="s">
        <v>3</v>
      </c>
      <c r="D334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45" s="7">
        <v>48.78</v>
      </c>
      <c r="F3345" s="6">
        <v>1.3</v>
      </c>
      <c r="G3345" s="6">
        <v>52.9</v>
      </c>
      <c r="I3345" s="28"/>
    </row>
    <row r="3346" spans="2:9" x14ac:dyDescent="0.35">
      <c r="B3346" s="4">
        <v>45971</v>
      </c>
      <c r="C3346" s="17" t="s">
        <v>2</v>
      </c>
      <c r="D334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46" s="7">
        <v>70.83</v>
      </c>
      <c r="F3346" s="6">
        <v>0.3</v>
      </c>
      <c r="G3346" s="6">
        <v>54.1</v>
      </c>
      <c r="I3346" s="28"/>
    </row>
    <row r="3347" spans="2:9" x14ac:dyDescent="0.35">
      <c r="B3347" s="4">
        <v>45972</v>
      </c>
      <c r="C3347" s="17" t="s">
        <v>2</v>
      </c>
      <c r="D334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47" s="7">
        <v>448.12</v>
      </c>
      <c r="F3347" s="6">
        <v>0.6</v>
      </c>
      <c r="G3347" s="6">
        <v>54.7</v>
      </c>
      <c r="I3347" s="28"/>
    </row>
    <row r="3348" spans="2:9" x14ac:dyDescent="0.35">
      <c r="B3348" s="4">
        <v>45973</v>
      </c>
      <c r="C3348" s="17" t="s">
        <v>2</v>
      </c>
      <c r="D334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48" s="7">
        <v>421.31</v>
      </c>
      <c r="F3348" s="6">
        <v>0.78</v>
      </c>
      <c r="G3348" s="6">
        <v>53.7</v>
      </c>
      <c r="I3348" s="28"/>
    </row>
    <row r="3349" spans="2:9" x14ac:dyDescent="0.35">
      <c r="B3349" s="4">
        <v>45973</v>
      </c>
      <c r="C3349" s="17" t="s">
        <v>5</v>
      </c>
      <c r="D334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49" s="7">
        <v>140.30000000000001</v>
      </c>
      <c r="F3349" s="6">
        <v>8.5000000000000006E-2</v>
      </c>
      <c r="G3349" s="6">
        <v>54.6</v>
      </c>
      <c r="I3349" s="28"/>
    </row>
    <row r="3350" spans="2:9" x14ac:dyDescent="0.35">
      <c r="B3350" s="4">
        <v>45972</v>
      </c>
      <c r="C3350" s="17" t="s">
        <v>3</v>
      </c>
      <c r="D335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50" s="7">
        <v>94.22</v>
      </c>
      <c r="F3350" s="6">
        <v>2.2000000000000002</v>
      </c>
      <c r="G3350" s="6">
        <v>53.7</v>
      </c>
      <c r="I3350" s="28"/>
    </row>
    <row r="3351" spans="2:9" x14ac:dyDescent="0.35">
      <c r="B3351" s="4">
        <v>45973</v>
      </c>
      <c r="C3351" s="17" t="s">
        <v>3</v>
      </c>
      <c r="D335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51" s="7">
        <v>93.76</v>
      </c>
      <c r="F3351" s="6">
        <v>4.5999999999999996</v>
      </c>
      <c r="G3351" s="6">
        <v>52.1</v>
      </c>
      <c r="I3351" s="28"/>
    </row>
    <row r="3352" spans="2:9" x14ac:dyDescent="0.35">
      <c r="B3352" s="4">
        <v>45972</v>
      </c>
      <c r="C3352" s="17" t="s">
        <v>4</v>
      </c>
      <c r="D335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52" s="7">
        <v>45.96</v>
      </c>
      <c r="F3352" s="6">
        <v>3.3</v>
      </c>
      <c r="G3352" s="6">
        <v>52.9</v>
      </c>
      <c r="I3352" s="28"/>
    </row>
    <row r="3353" spans="2:9" x14ac:dyDescent="0.35">
      <c r="B3353" s="4">
        <v>45973</v>
      </c>
      <c r="C3353" s="17" t="s">
        <v>4</v>
      </c>
      <c r="D335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53" s="7">
        <v>74.510000000000005</v>
      </c>
      <c r="F3353" s="6">
        <v>1.3</v>
      </c>
      <c r="G3353" s="6">
        <v>54</v>
      </c>
      <c r="I3353" s="28"/>
    </row>
    <row r="3354" spans="2:9" x14ac:dyDescent="0.35">
      <c r="B3354" s="4">
        <v>45974</v>
      </c>
      <c r="C3354" s="17" t="s">
        <v>18</v>
      </c>
      <c r="D335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54" s="7">
        <v>160.22</v>
      </c>
      <c r="F3354" s="6">
        <v>3.41</v>
      </c>
      <c r="G3354" s="6">
        <v>52.5</v>
      </c>
      <c r="I3354" s="28"/>
    </row>
    <row r="3355" spans="2:9" x14ac:dyDescent="0.35">
      <c r="B3355" s="4">
        <v>45974</v>
      </c>
      <c r="C3355" s="17" t="s">
        <v>17</v>
      </c>
      <c r="D335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55" s="7">
        <v>161.84</v>
      </c>
      <c r="F3355" s="6">
        <v>1.84</v>
      </c>
      <c r="G3355" s="6">
        <v>53.6</v>
      </c>
      <c r="I3355" s="28"/>
    </row>
    <row r="3356" spans="2:9" x14ac:dyDescent="0.35">
      <c r="B3356" s="4">
        <v>45976</v>
      </c>
      <c r="C3356" s="17" t="s">
        <v>5</v>
      </c>
      <c r="D335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56" s="7">
        <v>109.13</v>
      </c>
      <c r="F3356" s="6">
        <v>4.34</v>
      </c>
      <c r="G3356" s="6">
        <v>52.1</v>
      </c>
      <c r="I3356" s="28"/>
    </row>
    <row r="3357" spans="2:9" x14ac:dyDescent="0.35">
      <c r="B3357" s="16">
        <v>45974</v>
      </c>
      <c r="C3357" s="17" t="s">
        <v>3</v>
      </c>
      <c r="D335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57" s="7">
        <v>48.72</v>
      </c>
      <c r="F3357" s="6">
        <v>0.9</v>
      </c>
      <c r="G3357" s="6">
        <v>54.3</v>
      </c>
      <c r="I3357" s="28"/>
    </row>
    <row r="3358" spans="2:9" x14ac:dyDescent="0.35">
      <c r="B3358" s="16">
        <v>45975</v>
      </c>
      <c r="C3358" s="17" t="s">
        <v>3</v>
      </c>
      <c r="D335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58" s="7">
        <v>70.180000000000007</v>
      </c>
      <c r="F3358" s="6">
        <v>1.2</v>
      </c>
      <c r="G3358" s="6">
        <v>54.6</v>
      </c>
      <c r="I3358" s="28"/>
    </row>
    <row r="3359" spans="2:9" x14ac:dyDescent="0.35">
      <c r="B3359" s="16">
        <v>45974</v>
      </c>
      <c r="C3359" s="17" t="s">
        <v>2</v>
      </c>
      <c r="D335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59" s="7">
        <v>551.39</v>
      </c>
      <c r="F3359" s="21">
        <v>0.21</v>
      </c>
      <c r="G3359" s="24">
        <v>54.192387096774191</v>
      </c>
      <c r="I3359" s="28"/>
    </row>
    <row r="3360" spans="2:9" x14ac:dyDescent="0.35">
      <c r="B3360" s="16">
        <v>45975</v>
      </c>
      <c r="C3360" s="17" t="s">
        <v>2</v>
      </c>
      <c r="D336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60" s="7">
        <v>390.41</v>
      </c>
      <c r="F3360" s="21">
        <v>0.03</v>
      </c>
      <c r="G3360" s="24">
        <v>54.090764265221544</v>
      </c>
      <c r="I3360" s="28"/>
    </row>
    <row r="3361" spans="2:9" x14ac:dyDescent="0.35">
      <c r="B3361" s="16">
        <v>45976</v>
      </c>
      <c r="C3361" s="17" t="s">
        <v>4</v>
      </c>
      <c r="D336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61" s="7">
        <v>95.34</v>
      </c>
      <c r="F3361" s="24">
        <v>5.83</v>
      </c>
      <c r="G3361" s="24">
        <v>50.642238979118332</v>
      </c>
      <c r="I3361" s="28"/>
    </row>
    <row r="3362" spans="2:9" x14ac:dyDescent="0.35">
      <c r="B3362" s="16">
        <v>45976</v>
      </c>
      <c r="C3362" s="17" t="s">
        <v>2</v>
      </c>
      <c r="D336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62" s="7">
        <v>460.78</v>
      </c>
      <c r="F3362" s="21">
        <v>0.15</v>
      </c>
      <c r="G3362" s="24">
        <v>55.225545047287213</v>
      </c>
      <c r="I3362" s="28"/>
    </row>
    <row r="3363" spans="2:9" x14ac:dyDescent="0.35">
      <c r="B3363" s="4">
        <v>45975</v>
      </c>
      <c r="C3363" s="17" t="s">
        <v>17</v>
      </c>
      <c r="D336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63" s="7">
        <v>163.56</v>
      </c>
      <c r="F3363" s="6">
        <v>1.18</v>
      </c>
      <c r="G3363" s="6">
        <v>54.4</v>
      </c>
      <c r="I3363" s="28"/>
    </row>
    <row r="3364" spans="2:9" x14ac:dyDescent="0.35">
      <c r="B3364" s="4">
        <v>45976</v>
      </c>
      <c r="C3364" s="17" t="s">
        <v>19</v>
      </c>
      <c r="D3364" s="17" t="str">
        <f>IF(ISNUMBER(MATCH(ING_PRV[[#This Row],[Proveedor]],PARAMETROS!$A$2:$A$8,0)),"COMPRADA",
                    IF(ISNUMBER(MATCH(ING_PRV[[#This Row],[Proveedor]],PARAMETROS!$B$2:$B$8,0)),"PROPIA","NA")
)</f>
        <v>NA</v>
      </c>
      <c r="E3364" s="7">
        <v>443.96</v>
      </c>
      <c r="F3364" s="6">
        <v>1.48</v>
      </c>
      <c r="G3364" s="6">
        <v>51.6</v>
      </c>
      <c r="I3364" s="28"/>
    </row>
    <row r="3365" spans="2:9" x14ac:dyDescent="0.35">
      <c r="B3365" s="4">
        <v>45976</v>
      </c>
      <c r="C3365" s="17" t="s">
        <v>18</v>
      </c>
      <c r="D336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65" s="7">
        <v>138.66</v>
      </c>
      <c r="F3365" s="6">
        <v>4.37</v>
      </c>
      <c r="G3365" s="6">
        <v>49.5</v>
      </c>
      <c r="I3365" s="28"/>
    </row>
    <row r="3366" spans="2:9" x14ac:dyDescent="0.35">
      <c r="B3366" s="4">
        <v>45979</v>
      </c>
      <c r="C3366" s="17" t="s">
        <v>2</v>
      </c>
      <c r="D336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66" s="7">
        <v>169.67</v>
      </c>
      <c r="F3366" s="6">
        <v>0.72</v>
      </c>
      <c r="G3366" s="6">
        <v>53.9</v>
      </c>
      <c r="I3366" s="28"/>
    </row>
    <row r="3367" spans="2:9" x14ac:dyDescent="0.35">
      <c r="B3367" s="4">
        <v>45979</v>
      </c>
      <c r="C3367" s="17" t="s">
        <v>3</v>
      </c>
      <c r="D336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67" s="7">
        <v>69.680000000000007</v>
      </c>
      <c r="F3367" s="6">
        <v>1.9</v>
      </c>
      <c r="G3367" s="6">
        <v>53.4</v>
      </c>
      <c r="I3367" s="28"/>
    </row>
    <row r="3368" spans="2:9" x14ac:dyDescent="0.35">
      <c r="B3368" s="4">
        <v>45976</v>
      </c>
      <c r="C3368" s="17" t="s">
        <v>17</v>
      </c>
      <c r="D336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68" s="7">
        <v>206.22</v>
      </c>
      <c r="F3368" s="6">
        <v>1.1000000000000001</v>
      </c>
      <c r="G3368" s="6">
        <v>54</v>
      </c>
      <c r="I3368" s="28"/>
    </row>
    <row r="3369" spans="2:9" x14ac:dyDescent="0.35">
      <c r="B3369" s="4"/>
      <c r="C3369" s="17"/>
      <c r="D3369" s="17"/>
      <c r="E3369" s="7"/>
      <c r="F3369" s="6"/>
      <c r="G3369" s="6"/>
      <c r="I3369" s="28"/>
    </row>
    <row r="3370" spans="2:9" x14ac:dyDescent="0.35">
      <c r="B3370" s="4"/>
      <c r="C3370" s="17"/>
      <c r="D3370" s="17"/>
      <c r="E3370" s="7"/>
      <c r="F3370" s="6"/>
      <c r="G3370" s="6"/>
      <c r="I3370" s="28"/>
    </row>
    <row r="3371" spans="2:9" x14ac:dyDescent="0.35">
      <c r="B3371" s="4"/>
      <c r="C3371" s="17"/>
      <c r="D3371" s="17"/>
      <c r="E3371" s="7"/>
      <c r="F3371" s="6"/>
      <c r="G3371" s="6"/>
      <c r="I3371" s="28"/>
    </row>
    <row r="3372" spans="2:9" x14ac:dyDescent="0.35">
      <c r="B3372" s="4">
        <v>45979</v>
      </c>
      <c r="C3372" s="17" t="s">
        <v>19</v>
      </c>
      <c r="D3372" s="17" t="str">
        <f>IF(ISNUMBER(MATCH(ING_PRV[[#This Row],[Proveedor]],PARAMETROS!$A$2:$A$8,0)),"COMPRADA",
                    IF(ISNUMBER(MATCH(ING_PRV[[#This Row],[Proveedor]],PARAMETROS!$B$2:$B$8,0)),"PROPIA","NA")
)</f>
        <v>NA</v>
      </c>
      <c r="E3372" s="7">
        <v>216.26</v>
      </c>
      <c r="F3372" s="6">
        <v>1.48</v>
      </c>
      <c r="G3372" s="6">
        <v>51.6</v>
      </c>
      <c r="I3372" s="28"/>
    </row>
    <row r="3373" spans="2:9" x14ac:dyDescent="0.35">
      <c r="B3373" s="4">
        <v>45979</v>
      </c>
      <c r="C3373" s="17" t="s">
        <v>20</v>
      </c>
      <c r="D3373" s="17" t="str">
        <f>IF(ISNUMBER(MATCH(ING_PRV[[#This Row],[Proveedor]],PARAMETROS!$A$2:$A$8,0)),"COMPRADA",
                    IF(ISNUMBER(MATCH(ING_PRV[[#This Row],[Proveedor]],PARAMETROS!$B$2:$B$8,0)),"PROPIA","NA")
)</f>
        <v>NA</v>
      </c>
      <c r="E3373" s="7">
        <v>25.9</v>
      </c>
      <c r="F3373" s="6">
        <v>1.1100000000000001</v>
      </c>
      <c r="G3373" s="6">
        <v>54</v>
      </c>
      <c r="I3373" s="28"/>
    </row>
    <row r="3374" spans="2:9" x14ac:dyDescent="0.35">
      <c r="B3374" s="4">
        <v>45980</v>
      </c>
      <c r="C3374" s="17" t="s">
        <v>2</v>
      </c>
      <c r="D337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74" s="7">
        <v>581.28</v>
      </c>
      <c r="F3374" s="6">
        <v>3.94</v>
      </c>
      <c r="G3374" s="6">
        <v>50.7</v>
      </c>
      <c r="I3374" s="28"/>
    </row>
    <row r="3375" spans="2:9" x14ac:dyDescent="0.35">
      <c r="B3375" s="4">
        <v>45980</v>
      </c>
      <c r="C3375" s="17" t="s">
        <v>3</v>
      </c>
      <c r="D337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75" s="7">
        <v>92.1</v>
      </c>
      <c r="F3375" s="6">
        <v>3</v>
      </c>
      <c r="G3375" s="6">
        <v>50</v>
      </c>
      <c r="I3375" s="28"/>
    </row>
    <row r="3376" spans="2:9" x14ac:dyDescent="0.35">
      <c r="B3376" s="4">
        <v>45980</v>
      </c>
      <c r="C3376" s="17" t="s">
        <v>5</v>
      </c>
      <c r="D337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76" s="7">
        <v>108.67</v>
      </c>
      <c r="F3376" s="6">
        <v>7.34</v>
      </c>
      <c r="G3376" s="6">
        <v>48.8</v>
      </c>
      <c r="I3376" s="28"/>
    </row>
    <row r="3377" spans="2:9" x14ac:dyDescent="0.35">
      <c r="B3377" s="4"/>
      <c r="C3377" s="17"/>
      <c r="D3377" s="17"/>
      <c r="E3377" s="7"/>
      <c r="F3377" s="6"/>
      <c r="G3377" s="6"/>
      <c r="I3377" s="28"/>
    </row>
    <row r="3378" spans="2:9" x14ac:dyDescent="0.35">
      <c r="B3378" s="4">
        <v>45980</v>
      </c>
      <c r="C3378" s="17" t="s">
        <v>19</v>
      </c>
      <c r="D3378" s="17" t="str">
        <f>IF(ISNUMBER(MATCH(ING_PRV[[#This Row],[Proveedor]],PARAMETROS!$A$2:$A$8,0)),"COMPRADA",
                    IF(ISNUMBER(MATCH(ING_PRV[[#This Row],[Proveedor]],PARAMETROS!$B$2:$B$8,0)),"PROPIA","NA")
)</f>
        <v>NA</v>
      </c>
      <c r="E3378" s="7">
        <v>501.18</v>
      </c>
      <c r="F3378" s="6">
        <v>1.47</v>
      </c>
      <c r="G3378" s="6">
        <v>52.6</v>
      </c>
      <c r="I3378" s="28"/>
    </row>
    <row r="3379" spans="2:9" x14ac:dyDescent="0.35">
      <c r="B3379" s="4">
        <v>45980</v>
      </c>
      <c r="C3379" s="17" t="s">
        <v>21</v>
      </c>
      <c r="D337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79" s="7">
        <v>125.18</v>
      </c>
      <c r="F3379" s="6">
        <v>1.1200000000000001</v>
      </c>
      <c r="G3379" s="6">
        <v>54.2</v>
      </c>
      <c r="I3379" s="28"/>
    </row>
    <row r="3380" spans="2:9" x14ac:dyDescent="0.35">
      <c r="B3380" s="4">
        <v>45981</v>
      </c>
      <c r="C3380" s="17" t="s">
        <v>2</v>
      </c>
      <c r="D338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0" s="7">
        <v>469.12</v>
      </c>
      <c r="F3380" s="6">
        <f>(0.11+0.65)/2</f>
        <v>0.38</v>
      </c>
      <c r="G3380" s="6">
        <f>(54.7+54.2)/2</f>
        <v>54.45</v>
      </c>
      <c r="I3380" s="28"/>
    </row>
    <row r="3381" spans="2:9" x14ac:dyDescent="0.35">
      <c r="B3381" s="4">
        <v>45981</v>
      </c>
      <c r="C3381" s="17" t="s">
        <v>5</v>
      </c>
      <c r="D338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1" s="7">
        <v>35.534999999999997</v>
      </c>
      <c r="F3381" s="21">
        <v>4.13</v>
      </c>
      <c r="G3381" s="22">
        <v>51.993772997452595</v>
      </c>
      <c r="I3381" s="28"/>
    </row>
    <row r="3382" spans="2:9" x14ac:dyDescent="0.35">
      <c r="B3382" s="4">
        <v>45981</v>
      </c>
      <c r="C3382" s="17" t="s">
        <v>3</v>
      </c>
      <c r="D338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2" s="7">
        <v>92.1</v>
      </c>
      <c r="F3382" s="24">
        <v>2.27</v>
      </c>
      <c r="G3382" s="24">
        <v>52.089996829674249</v>
      </c>
      <c r="I3382" s="28"/>
    </row>
    <row r="3383" spans="2:9" x14ac:dyDescent="0.35">
      <c r="B3383" s="4">
        <v>45981</v>
      </c>
      <c r="C3383" s="17" t="s">
        <v>4</v>
      </c>
      <c r="D338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3" s="7">
        <v>121.86</v>
      </c>
      <c r="F3383" s="24">
        <v>3.56</v>
      </c>
      <c r="G3383" s="24">
        <v>52.497419971730267</v>
      </c>
      <c r="I3383" s="28"/>
    </row>
    <row r="3384" spans="2:9" x14ac:dyDescent="0.35">
      <c r="B3384" s="4">
        <v>45982</v>
      </c>
      <c r="C3384" s="17" t="s">
        <v>3</v>
      </c>
      <c r="D338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4" s="7">
        <v>89.9</v>
      </c>
      <c r="F3384" s="24">
        <v>4.46</v>
      </c>
      <c r="G3384" s="24">
        <v>51.94495304579074</v>
      </c>
      <c r="I3384" s="28"/>
    </row>
    <row r="3385" spans="2:9" x14ac:dyDescent="0.35">
      <c r="B3385" s="4">
        <v>45982</v>
      </c>
      <c r="C3385" s="17" t="s">
        <v>4</v>
      </c>
      <c r="D338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5" s="7">
        <v>74.25</v>
      </c>
      <c r="F3385" s="24">
        <v>3.56</v>
      </c>
      <c r="G3385" s="24">
        <v>52.497419971730267</v>
      </c>
      <c r="I3385" s="28"/>
    </row>
    <row r="3386" spans="2:9" x14ac:dyDescent="0.35">
      <c r="B3386" s="4">
        <v>45983</v>
      </c>
      <c r="C3386" s="17" t="s">
        <v>2</v>
      </c>
      <c r="D338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6" s="7">
        <v>226</v>
      </c>
      <c r="F3386" s="21">
        <v>0.65</v>
      </c>
      <c r="G3386" s="24">
        <v>54.218294620110889</v>
      </c>
      <c r="I3386" s="28"/>
    </row>
    <row r="3387" spans="2:9" x14ac:dyDescent="0.35">
      <c r="B3387" s="4">
        <v>45983</v>
      </c>
      <c r="C3387" s="17" t="s">
        <v>5</v>
      </c>
      <c r="D338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7" s="7">
        <v>35.534999999999997</v>
      </c>
      <c r="F3387" s="21">
        <v>12.42</v>
      </c>
      <c r="G3387" s="22">
        <v>43.972077365056244</v>
      </c>
      <c r="I3387" s="28"/>
    </row>
    <row r="3388" spans="2:9" x14ac:dyDescent="0.35">
      <c r="B3388" s="4">
        <v>45983</v>
      </c>
      <c r="C3388" s="17" t="s">
        <v>3</v>
      </c>
      <c r="D338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8" s="7">
        <v>24.68</v>
      </c>
      <c r="F3388" s="24">
        <v>5.41</v>
      </c>
      <c r="G3388" s="24">
        <v>49.695372581309179</v>
      </c>
      <c r="I3388" s="28"/>
    </row>
    <row r="3389" spans="2:9" x14ac:dyDescent="0.35">
      <c r="B3389" s="4">
        <v>45983</v>
      </c>
      <c r="C3389" s="17" t="s">
        <v>4</v>
      </c>
      <c r="D338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89" s="7">
        <v>250.58</v>
      </c>
      <c r="F3389" s="24">
        <f>(3.7+2.7)/2</f>
        <v>3.2</v>
      </c>
      <c r="G3389" s="24">
        <f>(52.3+52.9)/2</f>
        <v>52.599999999999994</v>
      </c>
      <c r="I3389" s="28"/>
    </row>
    <row r="3390" spans="2:9" x14ac:dyDescent="0.35">
      <c r="B3390" s="4">
        <v>45985</v>
      </c>
      <c r="C3390" s="17" t="s">
        <v>3</v>
      </c>
      <c r="D339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90" s="7">
        <v>89.5</v>
      </c>
      <c r="F3390" s="6">
        <v>1.6</v>
      </c>
      <c r="G3390" s="6">
        <v>53.1</v>
      </c>
      <c r="I3390" s="28"/>
    </row>
    <row r="3391" spans="2:9" x14ac:dyDescent="0.35">
      <c r="B3391" s="4">
        <v>45981</v>
      </c>
      <c r="C3391" s="17" t="s">
        <v>19</v>
      </c>
      <c r="D3391" s="17" t="str">
        <f>IF(ISNUMBER(MATCH(ING_PRV[[#This Row],[Proveedor]],PARAMETROS!$A$2:$A$8,0)),"COMPRADA",
                    IF(ISNUMBER(MATCH(ING_PRV[[#This Row],[Proveedor]],PARAMETROS!$B$2:$B$8,0)),"PROPIA","NA")
)</f>
        <v>NA</v>
      </c>
      <c r="E3391" s="7">
        <v>219.06</v>
      </c>
      <c r="F3391" s="6">
        <v>1.1399999999999999</v>
      </c>
      <c r="G3391" s="6">
        <v>54.3</v>
      </c>
      <c r="I3391" s="28"/>
    </row>
    <row r="3392" spans="2:9" x14ac:dyDescent="0.35">
      <c r="B3392" s="4">
        <v>45981</v>
      </c>
      <c r="C3392" s="17" t="s">
        <v>21</v>
      </c>
      <c r="D339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92" s="7">
        <v>164.86</v>
      </c>
      <c r="F3392" s="6">
        <v>1.1299999999999999</v>
      </c>
      <c r="G3392" s="6">
        <v>53.7</v>
      </c>
      <c r="I3392" s="28"/>
    </row>
    <row r="3393" spans="2:9" x14ac:dyDescent="0.35">
      <c r="B3393" s="4">
        <v>45982</v>
      </c>
      <c r="C3393" s="17" t="s">
        <v>21</v>
      </c>
      <c r="D339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93" s="7">
        <v>123.14</v>
      </c>
      <c r="F3393" s="6">
        <v>7.37</v>
      </c>
      <c r="G3393" s="6">
        <v>47.6</v>
      </c>
      <c r="I3393" s="28"/>
    </row>
    <row r="3394" spans="2:9" x14ac:dyDescent="0.35">
      <c r="B3394" s="4">
        <v>45983</v>
      </c>
      <c r="C3394" s="17" t="s">
        <v>18</v>
      </c>
      <c r="D339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94" s="7">
        <v>137.82</v>
      </c>
      <c r="F3394" s="6">
        <v>12.91</v>
      </c>
      <c r="G3394" s="6">
        <v>45.1</v>
      </c>
      <c r="I3394" s="28"/>
    </row>
    <row r="3395" spans="2:9" x14ac:dyDescent="0.35">
      <c r="B3395" s="4">
        <v>45985</v>
      </c>
      <c r="C3395" s="17" t="s">
        <v>18</v>
      </c>
      <c r="D339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95" s="7">
        <v>163</v>
      </c>
      <c r="F3395" s="6">
        <v>3.65</v>
      </c>
      <c r="G3395" s="6">
        <v>49</v>
      </c>
      <c r="I3395" s="28"/>
    </row>
    <row r="3396" spans="2:9" x14ac:dyDescent="0.35">
      <c r="B3396" s="4">
        <v>45986</v>
      </c>
      <c r="C3396" s="17" t="s">
        <v>3</v>
      </c>
      <c r="D339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96" s="7">
        <v>91.58</v>
      </c>
      <c r="F3396" s="6">
        <v>1.9</v>
      </c>
      <c r="G3396" s="6">
        <v>52.5</v>
      </c>
      <c r="I3396" s="28"/>
    </row>
    <row r="3397" spans="2:9" x14ac:dyDescent="0.35">
      <c r="B3397" s="4">
        <v>45986</v>
      </c>
      <c r="C3397" s="17" t="s">
        <v>16</v>
      </c>
      <c r="D339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97" s="7">
        <v>157.12</v>
      </c>
      <c r="F3397" s="6">
        <v>1.36</v>
      </c>
      <c r="G3397" s="6">
        <v>52.8</v>
      </c>
      <c r="I3397" s="28"/>
    </row>
    <row r="3398" spans="2:9" x14ac:dyDescent="0.35">
      <c r="B3398" s="4">
        <v>45986</v>
      </c>
      <c r="C3398" s="17" t="s">
        <v>18</v>
      </c>
      <c r="D339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398" s="7">
        <v>293.32</v>
      </c>
      <c r="F3398" s="6">
        <v>2.2000000000000002</v>
      </c>
      <c r="G3398" s="6">
        <v>52.5</v>
      </c>
      <c r="I3398" s="28"/>
    </row>
    <row r="3399" spans="2:9" x14ac:dyDescent="0.35">
      <c r="B3399" s="4">
        <v>45988</v>
      </c>
      <c r="C3399" s="17" t="s">
        <v>2</v>
      </c>
      <c r="D339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399" s="7">
        <v>201.9</v>
      </c>
      <c r="F3399" s="21">
        <v>0.46</v>
      </c>
      <c r="G3399" s="24">
        <v>53.200642121236321</v>
      </c>
      <c r="I3399" s="28"/>
    </row>
    <row r="3400" spans="2:9" x14ac:dyDescent="0.35">
      <c r="B3400" s="4">
        <v>45988</v>
      </c>
      <c r="C3400" s="17" t="s">
        <v>5</v>
      </c>
      <c r="D340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00" s="7">
        <v>112.61</v>
      </c>
      <c r="F3400" s="21">
        <v>1.52</v>
      </c>
      <c r="G3400" s="22">
        <v>53.447529460985983</v>
      </c>
      <c r="I3400" s="28"/>
    </row>
    <row r="3401" spans="2:9" x14ac:dyDescent="0.35">
      <c r="B3401" s="4">
        <v>45988</v>
      </c>
      <c r="C3401" s="17" t="s">
        <v>3</v>
      </c>
      <c r="D340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01" s="7">
        <v>90.28</v>
      </c>
      <c r="F3401" s="24">
        <v>3.28</v>
      </c>
      <c r="G3401" s="24">
        <v>51.091323283082076</v>
      </c>
      <c r="I3401" s="28"/>
    </row>
    <row r="3402" spans="2:9" x14ac:dyDescent="0.35">
      <c r="B3402" s="4">
        <v>45987</v>
      </c>
      <c r="C3402" s="17" t="s">
        <v>3</v>
      </c>
      <c r="D340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02" s="7">
        <v>90.28</v>
      </c>
      <c r="F3402" s="6">
        <v>2.5</v>
      </c>
      <c r="G3402" s="6">
        <v>51.9</v>
      </c>
      <c r="I3402" s="28"/>
    </row>
    <row r="3403" spans="2:9" x14ac:dyDescent="0.35">
      <c r="B3403" s="4">
        <v>45987</v>
      </c>
      <c r="C3403" s="17" t="s">
        <v>2</v>
      </c>
      <c r="D340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03" s="7">
        <v>107.88</v>
      </c>
      <c r="F3403" s="6">
        <v>0.33</v>
      </c>
      <c r="G3403" s="6">
        <v>54.4</v>
      </c>
      <c r="I3403" s="28"/>
    </row>
    <row r="3404" spans="2:9" x14ac:dyDescent="0.35">
      <c r="B3404" s="4">
        <v>45987</v>
      </c>
      <c r="C3404" s="17" t="s">
        <v>19</v>
      </c>
      <c r="D3404" s="17" t="str">
        <f>IF(ISNUMBER(MATCH(ING_PRV[[#This Row],[Proveedor]],PARAMETROS!$A$2:$A$8,0)),"COMPRADA",
                    IF(ISNUMBER(MATCH(ING_PRV[[#This Row],[Proveedor]],PARAMETROS!$B$2:$B$8,0)),"PROPIA","NA")
)</f>
        <v>NA</v>
      </c>
      <c r="E3404" s="7">
        <v>453.12</v>
      </c>
      <c r="F3404" s="6">
        <v>2.83</v>
      </c>
      <c r="G3404" s="6">
        <v>50.9</v>
      </c>
      <c r="I3404" s="28"/>
    </row>
    <row r="3405" spans="2:9" x14ac:dyDescent="0.35">
      <c r="B3405" s="4">
        <v>45987</v>
      </c>
      <c r="C3405" s="17" t="s">
        <v>18</v>
      </c>
      <c r="D3405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405" s="7">
        <v>943.06</v>
      </c>
      <c r="F3405" s="6">
        <v>4.57</v>
      </c>
      <c r="G3405" s="6">
        <v>49.8</v>
      </c>
      <c r="I3405" s="28"/>
    </row>
    <row r="3406" spans="2:9" x14ac:dyDescent="0.35">
      <c r="B3406" s="4">
        <v>45989</v>
      </c>
      <c r="C3406" s="17" t="s">
        <v>3</v>
      </c>
      <c r="D340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06" s="7">
        <v>71.239999999999995</v>
      </c>
      <c r="F3406" s="6">
        <v>2.23</v>
      </c>
      <c r="G3406" s="6">
        <v>53.3</v>
      </c>
      <c r="I3406" s="28"/>
    </row>
    <row r="3407" spans="2:9" x14ac:dyDescent="0.35">
      <c r="B3407" s="4">
        <v>45989</v>
      </c>
      <c r="C3407" s="17" t="s">
        <v>2</v>
      </c>
      <c r="D340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07" s="7">
        <v>393.44</v>
      </c>
      <c r="F3407" s="6">
        <v>0.4</v>
      </c>
      <c r="G3407" s="6">
        <v>54.2</v>
      </c>
      <c r="I3407" s="28"/>
    </row>
    <row r="3408" spans="2:9" x14ac:dyDescent="0.35">
      <c r="B3408" s="4">
        <v>45989</v>
      </c>
      <c r="C3408" s="17" t="s">
        <v>4</v>
      </c>
      <c r="D340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08" s="7">
        <v>149.74</v>
      </c>
      <c r="F3408" s="6">
        <v>2.2999999999999998</v>
      </c>
      <c r="G3408" s="6">
        <v>52.5</v>
      </c>
      <c r="I3408" s="28"/>
    </row>
    <row r="3409" spans="2:9" x14ac:dyDescent="0.35">
      <c r="B3409" s="4"/>
      <c r="C3409" s="17"/>
      <c r="D3409" s="17"/>
      <c r="E3409" s="7"/>
      <c r="F3409" s="6"/>
      <c r="G3409" s="6"/>
      <c r="I3409" s="28"/>
    </row>
    <row r="3410" spans="2:9" x14ac:dyDescent="0.35">
      <c r="B3410" s="4">
        <v>45989</v>
      </c>
      <c r="C3410" s="17" t="s">
        <v>19</v>
      </c>
      <c r="D3410" s="17" t="str">
        <f>IF(ISNUMBER(MATCH(ING_PRV[[#This Row],[Proveedor]],PARAMETROS!$A$2:$A$8,0)),"COMPRADA",
                    IF(ISNUMBER(MATCH(ING_PRV[[#This Row],[Proveedor]],PARAMETROS!$B$2:$B$8,0)),"PROPIA","NA")
)</f>
        <v>NA</v>
      </c>
      <c r="E3410" s="7">
        <v>1014.14</v>
      </c>
      <c r="F3410" s="6">
        <v>1.17</v>
      </c>
      <c r="G3410" s="6">
        <v>54.1</v>
      </c>
      <c r="I3410" s="28"/>
    </row>
    <row r="3411" spans="2:9" x14ac:dyDescent="0.35">
      <c r="B3411" s="4">
        <v>45988</v>
      </c>
      <c r="C3411" s="17" t="s">
        <v>19</v>
      </c>
      <c r="D3411" s="17" t="str">
        <f>IF(ISNUMBER(MATCH(ING_PRV[[#This Row],[Proveedor]],PARAMETROS!$A$2:$A$8,0)),"COMPRADA",
                    IF(ISNUMBER(MATCH(ING_PRV[[#This Row],[Proveedor]],PARAMETROS!$B$2:$B$8,0)),"PROPIA","NA")
)</f>
        <v>NA</v>
      </c>
      <c r="E3411" s="7">
        <v>411.66399999999999</v>
      </c>
      <c r="F3411" s="6">
        <v>1.53</v>
      </c>
      <c r="G3411" s="6">
        <v>53.4</v>
      </c>
      <c r="I3411" s="28"/>
    </row>
    <row r="3412" spans="2:9" x14ac:dyDescent="0.35">
      <c r="B3412" s="4">
        <v>45988</v>
      </c>
      <c r="C3412" s="17" t="s">
        <v>18</v>
      </c>
      <c r="D341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412" s="7">
        <v>193.02</v>
      </c>
      <c r="F3412" s="6">
        <v>2.2000000000000002</v>
      </c>
      <c r="G3412" s="6">
        <v>52.1</v>
      </c>
      <c r="I3412" s="28"/>
    </row>
    <row r="3413" spans="2:9" x14ac:dyDescent="0.35">
      <c r="B3413" s="4">
        <v>45990</v>
      </c>
      <c r="C3413" s="17" t="s">
        <v>2</v>
      </c>
      <c r="D341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13" s="7">
        <v>69</v>
      </c>
      <c r="F3413" s="6">
        <v>3.4</v>
      </c>
      <c r="G3413" s="6">
        <v>51.9</v>
      </c>
      <c r="I3413" s="28"/>
    </row>
    <row r="3414" spans="2:9" x14ac:dyDescent="0.35">
      <c r="B3414" s="4">
        <v>45990</v>
      </c>
      <c r="C3414" s="17" t="s">
        <v>5</v>
      </c>
      <c r="D341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14" s="7">
        <v>266.7</v>
      </c>
      <c r="F3414" s="6">
        <v>0.28000000000000003</v>
      </c>
      <c r="G3414" s="6">
        <v>53.4</v>
      </c>
      <c r="I3414" s="28"/>
    </row>
    <row r="3415" spans="2:9" x14ac:dyDescent="0.35">
      <c r="B3415" s="4">
        <v>45990</v>
      </c>
      <c r="C3415" s="17" t="s">
        <v>3</v>
      </c>
      <c r="D341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15" s="7">
        <v>45</v>
      </c>
      <c r="F3415" s="6">
        <v>1.8</v>
      </c>
      <c r="G3415" s="6">
        <v>53</v>
      </c>
      <c r="I3415" s="28"/>
    </row>
    <row r="3416" spans="2:9" x14ac:dyDescent="0.35">
      <c r="B3416" s="4">
        <v>45990</v>
      </c>
      <c r="C3416" s="17" t="s">
        <v>4</v>
      </c>
      <c r="D341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16" s="7">
        <v>258.19</v>
      </c>
      <c r="F3416" s="6">
        <v>2.1</v>
      </c>
      <c r="G3416" s="6">
        <v>53.8</v>
      </c>
      <c r="I3416" s="28"/>
    </row>
    <row r="3417" spans="2:9" x14ac:dyDescent="0.35">
      <c r="B3417" s="4">
        <v>45990</v>
      </c>
      <c r="C3417" s="17" t="s">
        <v>19</v>
      </c>
      <c r="D3417" s="17" t="str">
        <f>IF(ISNUMBER(MATCH(ING_PRV[[#This Row],[Proveedor]],PARAMETROS!$A$2:$A$8,0)),"COMPRADA",
                    IF(ISNUMBER(MATCH(ING_PRV[[#This Row],[Proveedor]],PARAMETROS!$B$2:$B$8,0)),"PROPIA","NA")
)</f>
        <v>NA</v>
      </c>
      <c r="E3417" s="7">
        <v>255.83199999999999</v>
      </c>
      <c r="F3417" s="6">
        <v>1.17</v>
      </c>
      <c r="G3417" s="6">
        <v>54.1</v>
      </c>
      <c r="I3417" s="28"/>
    </row>
    <row r="3418" spans="2:9" x14ac:dyDescent="0.35">
      <c r="B3418" s="4">
        <v>45990</v>
      </c>
      <c r="C3418" s="17" t="s">
        <v>18</v>
      </c>
      <c r="D341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418" s="7">
        <v>245.78</v>
      </c>
      <c r="F3418" s="6">
        <v>4.26</v>
      </c>
      <c r="G3418" s="6">
        <v>50.6</v>
      </c>
      <c r="I3418" s="28"/>
    </row>
    <row r="3419" spans="2:9" x14ac:dyDescent="0.35">
      <c r="B3419" s="4"/>
      <c r="C3419" s="17"/>
      <c r="D3419" s="17"/>
      <c r="E3419" s="7"/>
      <c r="F3419" s="6"/>
      <c r="G3419" s="6"/>
      <c r="I3419" s="28"/>
    </row>
    <row r="3420" spans="2:9" x14ac:dyDescent="0.35">
      <c r="B3420" s="4">
        <v>45992</v>
      </c>
      <c r="C3420" s="17" t="s">
        <v>2</v>
      </c>
      <c r="D342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20" s="7">
        <v>402.66</v>
      </c>
      <c r="F3420" s="6">
        <v>0.7</v>
      </c>
      <c r="G3420" s="6">
        <v>53.8</v>
      </c>
      <c r="I3420" s="28"/>
    </row>
    <row r="3421" spans="2:9" x14ac:dyDescent="0.35">
      <c r="B3421" s="4">
        <v>45992</v>
      </c>
      <c r="C3421" s="17" t="s">
        <v>4</v>
      </c>
      <c r="D342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21" s="7">
        <v>97.72</v>
      </c>
      <c r="F3421" s="6">
        <v>4.28</v>
      </c>
      <c r="G3421" s="6">
        <v>51.2</v>
      </c>
      <c r="I3421" s="28"/>
    </row>
    <row r="3422" spans="2:9" x14ac:dyDescent="0.35">
      <c r="B3422" s="4">
        <v>45992</v>
      </c>
      <c r="C3422" s="17" t="s">
        <v>19</v>
      </c>
      <c r="D3422" s="17" t="str">
        <f>IF(ISNUMBER(MATCH(ING_PRV[[#This Row],[Proveedor]],PARAMETROS!$A$2:$A$8,0)),"COMPRADA",
                    IF(ISNUMBER(MATCH(ING_PRV[[#This Row],[Proveedor]],PARAMETROS!$B$2:$B$8,0)),"PROPIA","NA")
)</f>
        <v>NA</v>
      </c>
      <c r="E3422" s="7">
        <v>257.7</v>
      </c>
      <c r="F3422" s="6">
        <v>1.89</v>
      </c>
      <c r="G3422" s="6">
        <v>53.4</v>
      </c>
      <c r="I3422" s="28"/>
    </row>
    <row r="3423" spans="2:9" x14ac:dyDescent="0.35">
      <c r="B3423" s="4">
        <v>45992</v>
      </c>
      <c r="C3423" s="17" t="s">
        <v>18</v>
      </c>
      <c r="D342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423" s="7">
        <v>246.82</v>
      </c>
      <c r="F3423" s="6">
        <v>4.5199999999999996</v>
      </c>
      <c r="G3423" s="6">
        <v>50.3</v>
      </c>
      <c r="I3423" s="28"/>
    </row>
    <row r="3424" spans="2:9" x14ac:dyDescent="0.35">
      <c r="B3424" s="4">
        <v>45993</v>
      </c>
      <c r="C3424" s="17" t="s">
        <v>3</v>
      </c>
      <c r="D342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24" s="7">
        <v>90.56</v>
      </c>
      <c r="F3424" s="6">
        <v>4.0999999999999996</v>
      </c>
      <c r="G3424" s="6">
        <v>50.6</v>
      </c>
      <c r="I3424" s="28"/>
    </row>
    <row r="3425" spans="2:9" x14ac:dyDescent="0.35">
      <c r="B3425" s="4">
        <v>45993</v>
      </c>
      <c r="C3425" s="17" t="s">
        <v>2</v>
      </c>
      <c r="D342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25" s="7">
        <v>195.78</v>
      </c>
      <c r="F3425" s="6">
        <v>0.32</v>
      </c>
      <c r="G3425" s="6">
        <v>53.9</v>
      </c>
      <c r="I3425" s="28"/>
    </row>
    <row r="3426" spans="2:9" x14ac:dyDescent="0.35">
      <c r="B3426" s="4">
        <v>45993</v>
      </c>
      <c r="C3426" s="17" t="s">
        <v>4</v>
      </c>
      <c r="D342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26" s="7">
        <v>197.7</v>
      </c>
      <c r="F3426" s="6">
        <v>2</v>
      </c>
      <c r="G3426" s="6">
        <v>53.1</v>
      </c>
      <c r="I3426" s="28"/>
    </row>
    <row r="3427" spans="2:9" x14ac:dyDescent="0.35">
      <c r="B3427" s="4">
        <v>45993</v>
      </c>
      <c r="C3427" s="17" t="s">
        <v>6</v>
      </c>
      <c r="D342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27" s="7">
        <v>188.3</v>
      </c>
      <c r="F3427" s="6">
        <v>4.21</v>
      </c>
      <c r="G3427" s="6">
        <v>52.2</v>
      </c>
      <c r="I3427" s="28"/>
    </row>
    <row r="3428" spans="2:9" x14ac:dyDescent="0.35">
      <c r="B3428" s="4">
        <v>45993</v>
      </c>
      <c r="C3428" s="17" t="s">
        <v>5</v>
      </c>
      <c r="D342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28" s="7">
        <v>72.88</v>
      </c>
      <c r="F3428" s="6">
        <v>1.96</v>
      </c>
      <c r="G3428" s="6">
        <v>52.8</v>
      </c>
      <c r="I3428" s="28"/>
    </row>
    <row r="3429" spans="2:9" x14ac:dyDescent="0.35">
      <c r="B3429" s="4">
        <v>45993</v>
      </c>
      <c r="C3429" s="17" t="s">
        <v>19</v>
      </c>
      <c r="D3429" s="17" t="str">
        <f>IF(ISNUMBER(MATCH(ING_PRV[[#This Row],[Proveedor]],PARAMETROS!$A$2:$A$8,0)),"COMPRADA",
                    IF(ISNUMBER(MATCH(ING_PRV[[#This Row],[Proveedor]],PARAMETROS!$B$2:$B$8,0)),"PROPIA","NA")
)</f>
        <v>NA</v>
      </c>
      <c r="E3429" s="7">
        <v>65</v>
      </c>
      <c r="F3429" s="6">
        <v>2.5099999999999998</v>
      </c>
      <c r="G3429" s="6">
        <v>52.8</v>
      </c>
      <c r="I3429" s="28"/>
    </row>
    <row r="3430" spans="2:9" x14ac:dyDescent="0.35">
      <c r="B3430" s="4">
        <v>45994</v>
      </c>
      <c r="C3430" s="17" t="s">
        <v>4</v>
      </c>
      <c r="D343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0" s="7">
        <v>73.17</v>
      </c>
      <c r="F3430" s="6">
        <v>7</v>
      </c>
      <c r="G3430" s="6">
        <v>49.7</v>
      </c>
      <c r="I3430" s="28"/>
    </row>
    <row r="3431" spans="2:9" x14ac:dyDescent="0.35">
      <c r="B3431" s="4">
        <v>45994</v>
      </c>
      <c r="C3431" s="17" t="s">
        <v>2</v>
      </c>
      <c r="D343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1" s="7">
        <v>429.93</v>
      </c>
      <c r="F3431" s="6">
        <v>0.19</v>
      </c>
      <c r="G3431" s="6">
        <v>54.1</v>
      </c>
      <c r="I3431" s="28"/>
    </row>
    <row r="3432" spans="2:9" x14ac:dyDescent="0.35">
      <c r="B3432" s="4">
        <v>45994</v>
      </c>
      <c r="C3432" s="17" t="s">
        <v>3</v>
      </c>
      <c r="D343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2" s="7">
        <v>91.7</v>
      </c>
      <c r="F3432" s="6">
        <v>4.5</v>
      </c>
      <c r="G3432" s="6">
        <v>50.9</v>
      </c>
      <c r="I3432" s="28"/>
    </row>
    <row r="3433" spans="2:9" x14ac:dyDescent="0.35">
      <c r="B3433" s="4">
        <v>45994</v>
      </c>
      <c r="C3433" s="17" t="s">
        <v>6</v>
      </c>
      <c r="D343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3" s="7">
        <v>232.44</v>
      </c>
      <c r="F3433" s="6">
        <v>2.4900000000000002</v>
      </c>
      <c r="G3433" s="6">
        <v>52.6</v>
      </c>
      <c r="I3433" s="28"/>
    </row>
    <row r="3434" spans="2:9" x14ac:dyDescent="0.35">
      <c r="B3434" s="4">
        <v>45995</v>
      </c>
      <c r="C3434" s="17" t="s">
        <v>4</v>
      </c>
      <c r="D343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4" s="7">
        <v>126.91</v>
      </c>
      <c r="F3434" s="6">
        <v>3</v>
      </c>
      <c r="G3434" s="6">
        <v>52.6</v>
      </c>
      <c r="I3434" s="28"/>
    </row>
    <row r="3435" spans="2:9" x14ac:dyDescent="0.35">
      <c r="B3435" s="4">
        <v>45995</v>
      </c>
      <c r="C3435" s="17" t="s">
        <v>5</v>
      </c>
      <c r="D343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5" s="7">
        <v>105</v>
      </c>
      <c r="F3435" s="6">
        <v>0.47</v>
      </c>
      <c r="G3435" s="6">
        <v>54.7</v>
      </c>
      <c r="I3435" s="28"/>
    </row>
    <row r="3436" spans="2:9" x14ac:dyDescent="0.35">
      <c r="B3436" s="4">
        <v>45995</v>
      </c>
      <c r="C3436" s="17" t="s">
        <v>3</v>
      </c>
      <c r="D343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6" s="7">
        <v>91.42</v>
      </c>
      <c r="F3436" s="6">
        <v>2.1</v>
      </c>
      <c r="G3436" s="6">
        <v>53</v>
      </c>
      <c r="I3436" s="28"/>
    </row>
    <row r="3437" spans="2:9" x14ac:dyDescent="0.35">
      <c r="B3437" s="4">
        <v>45995</v>
      </c>
      <c r="C3437" s="17" t="s">
        <v>2</v>
      </c>
      <c r="D343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7" s="7">
        <v>392.68</v>
      </c>
      <c r="F3437" s="6">
        <v>1.1299999999999999</v>
      </c>
      <c r="G3437" s="6">
        <v>52.6</v>
      </c>
      <c r="I3437" s="28"/>
    </row>
    <row r="3438" spans="2:9" x14ac:dyDescent="0.35">
      <c r="B3438" s="4">
        <v>45995</v>
      </c>
      <c r="C3438" s="17" t="s">
        <v>6</v>
      </c>
      <c r="D343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8" s="7">
        <v>211.86</v>
      </c>
      <c r="F3438" s="6">
        <v>1.77</v>
      </c>
      <c r="G3438" s="6">
        <v>53.9</v>
      </c>
      <c r="I3438" s="28"/>
    </row>
    <row r="3439" spans="2:9" x14ac:dyDescent="0.35">
      <c r="B3439" s="4">
        <v>45996</v>
      </c>
      <c r="C3439" s="17" t="s">
        <v>5</v>
      </c>
      <c r="D343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39" s="7">
        <v>35.83</v>
      </c>
      <c r="F3439" s="6">
        <v>0.94</v>
      </c>
      <c r="G3439" s="6">
        <v>53.8</v>
      </c>
      <c r="I3439" s="28"/>
    </row>
    <row r="3440" spans="2:9" x14ac:dyDescent="0.35">
      <c r="B3440" s="4">
        <v>45996</v>
      </c>
      <c r="C3440" s="17" t="s">
        <v>4</v>
      </c>
      <c r="D344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40" s="7">
        <v>127.56</v>
      </c>
      <c r="F3440" s="6">
        <v>8.1999999999999993</v>
      </c>
      <c r="G3440" s="6">
        <v>49.6</v>
      </c>
      <c r="I3440" s="28"/>
    </row>
    <row r="3441" spans="2:9" x14ac:dyDescent="0.35">
      <c r="B3441" s="4">
        <v>45996</v>
      </c>
      <c r="C3441" s="17" t="s">
        <v>3</v>
      </c>
      <c r="D344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41" s="7">
        <v>42.68</v>
      </c>
      <c r="F3441" s="6">
        <v>1</v>
      </c>
      <c r="G3441" s="6">
        <v>54.1</v>
      </c>
      <c r="I3441" s="28"/>
    </row>
    <row r="3442" spans="2:9" x14ac:dyDescent="0.35">
      <c r="B3442" s="4">
        <v>45996</v>
      </c>
      <c r="C3442" s="17" t="s">
        <v>2</v>
      </c>
      <c r="D344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42" s="7">
        <v>460.61</v>
      </c>
      <c r="F3442" s="6">
        <v>1.55</v>
      </c>
      <c r="G3442" s="6">
        <v>53.8</v>
      </c>
      <c r="I3442" s="28"/>
    </row>
    <row r="3443" spans="2:9" x14ac:dyDescent="0.35">
      <c r="B3443" s="4">
        <v>45996</v>
      </c>
      <c r="C3443" s="17" t="s">
        <v>6</v>
      </c>
      <c r="D344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43" s="7">
        <v>221.8</v>
      </c>
      <c r="F3443" s="6">
        <v>1.1299999999999999</v>
      </c>
      <c r="G3443" s="6">
        <v>53.9</v>
      </c>
      <c r="I3443" s="28"/>
    </row>
    <row r="3444" spans="2:9" x14ac:dyDescent="0.35">
      <c r="B3444" s="4">
        <v>45997</v>
      </c>
      <c r="C3444" s="17" t="s">
        <v>5</v>
      </c>
      <c r="D344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44" s="7">
        <v>69.38</v>
      </c>
      <c r="F3444" s="6">
        <v>0.63</v>
      </c>
      <c r="G3444" s="6">
        <v>54.9</v>
      </c>
      <c r="I3444" s="28"/>
    </row>
    <row r="3445" spans="2:9" x14ac:dyDescent="0.35">
      <c r="B3445" s="4">
        <v>45997</v>
      </c>
      <c r="C3445" s="17" t="s">
        <v>3</v>
      </c>
      <c r="D344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45" s="7">
        <v>23.24</v>
      </c>
      <c r="F3445" s="6">
        <v>2.2000000000000002</v>
      </c>
      <c r="G3445" s="6">
        <v>53.1</v>
      </c>
      <c r="I3445" s="28"/>
    </row>
    <row r="3446" spans="2:9" x14ac:dyDescent="0.35">
      <c r="B3446" s="4">
        <v>45997</v>
      </c>
      <c r="C3446" s="17" t="s">
        <v>2</v>
      </c>
      <c r="D344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46" s="7">
        <v>36.68</v>
      </c>
      <c r="F3446" s="6">
        <v>0.14000000000000001</v>
      </c>
      <c r="G3446" s="6">
        <v>53.4</v>
      </c>
      <c r="I3446" s="28"/>
    </row>
    <row r="3447" spans="2:9" x14ac:dyDescent="0.35">
      <c r="B3447" s="4">
        <v>45997</v>
      </c>
      <c r="C3447" s="17" t="s">
        <v>6</v>
      </c>
      <c r="D344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47" s="7">
        <v>258.2</v>
      </c>
      <c r="F3447" s="6">
        <v>2.4</v>
      </c>
      <c r="G3447" s="6">
        <v>54.1</v>
      </c>
      <c r="I3447" s="28"/>
    </row>
    <row r="3448" spans="2:9" x14ac:dyDescent="0.35">
      <c r="B3448" s="4">
        <v>45997</v>
      </c>
      <c r="C3448" s="17" t="s">
        <v>18</v>
      </c>
      <c r="D344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448" s="7">
        <v>600</v>
      </c>
      <c r="F3448" s="6">
        <v>1.28</v>
      </c>
      <c r="G3448" s="6">
        <v>54</v>
      </c>
      <c r="I3448" s="28"/>
    </row>
    <row r="3449" spans="2:9" x14ac:dyDescent="0.35">
      <c r="B3449" s="4">
        <v>46000</v>
      </c>
      <c r="C3449" s="17" t="s">
        <v>3</v>
      </c>
      <c r="D344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49" s="7">
        <v>93.56</v>
      </c>
      <c r="F3449" s="6">
        <v>3</v>
      </c>
      <c r="G3449" s="6">
        <v>54.2</v>
      </c>
      <c r="I3449" s="28"/>
    </row>
    <row r="3450" spans="2:9" x14ac:dyDescent="0.35">
      <c r="B3450" s="4">
        <v>46000</v>
      </c>
      <c r="C3450" s="17" t="s">
        <v>2</v>
      </c>
      <c r="D345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50" s="7">
        <v>344.33</v>
      </c>
      <c r="F3450" s="6">
        <v>0.11</v>
      </c>
      <c r="G3450" s="6">
        <v>54.9</v>
      </c>
      <c r="I3450" s="28"/>
    </row>
    <row r="3451" spans="2:9" x14ac:dyDescent="0.35">
      <c r="B3451" s="4">
        <v>46000</v>
      </c>
      <c r="C3451" s="17" t="s">
        <v>6</v>
      </c>
      <c r="D345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51" s="7">
        <v>268.08</v>
      </c>
      <c r="F3451" s="6">
        <v>1.91</v>
      </c>
      <c r="G3451" s="6">
        <v>54.1</v>
      </c>
      <c r="I3451" s="28"/>
    </row>
    <row r="3452" spans="2:9" x14ac:dyDescent="0.35">
      <c r="B3452" s="4">
        <v>46000</v>
      </c>
      <c r="C3452" s="17" t="s">
        <v>18</v>
      </c>
      <c r="D345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452" s="7">
        <v>724.72</v>
      </c>
      <c r="F3452" s="6">
        <v>1.28</v>
      </c>
      <c r="G3452" s="6">
        <v>54</v>
      </c>
      <c r="I3452" s="28"/>
    </row>
    <row r="3453" spans="2:9" x14ac:dyDescent="0.35">
      <c r="B3453" s="4">
        <v>46001</v>
      </c>
      <c r="C3453" s="17" t="s">
        <v>5</v>
      </c>
      <c r="D345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53" s="7">
        <v>70.78</v>
      </c>
      <c r="F3453" s="6">
        <v>0.89</v>
      </c>
      <c r="G3453" s="6">
        <v>54.7</v>
      </c>
      <c r="I3453" s="28"/>
    </row>
    <row r="3454" spans="2:9" x14ac:dyDescent="0.35">
      <c r="B3454" s="4">
        <v>46001</v>
      </c>
      <c r="C3454" s="17" t="s">
        <v>3</v>
      </c>
      <c r="D345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54" s="7">
        <v>65.239999999999995</v>
      </c>
      <c r="F3454" s="6">
        <v>1.1000000000000001</v>
      </c>
      <c r="G3454" s="6">
        <v>54.2</v>
      </c>
      <c r="I3454" s="28"/>
    </row>
    <row r="3455" spans="2:9" x14ac:dyDescent="0.35">
      <c r="B3455" s="4">
        <v>46001</v>
      </c>
      <c r="C3455" s="17" t="s">
        <v>2</v>
      </c>
      <c r="D345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55" s="7">
        <v>544.54</v>
      </c>
      <c r="F3455" s="6">
        <v>0.03</v>
      </c>
      <c r="G3455" s="6">
        <v>55</v>
      </c>
      <c r="I3455" s="28"/>
    </row>
    <row r="3456" spans="2:9" x14ac:dyDescent="0.35">
      <c r="B3456" s="4">
        <v>46001</v>
      </c>
      <c r="C3456" s="17" t="s">
        <v>6</v>
      </c>
      <c r="D345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56" s="7">
        <v>216.02</v>
      </c>
      <c r="F3456" s="6">
        <v>1.37</v>
      </c>
      <c r="G3456" s="6">
        <v>54.1</v>
      </c>
      <c r="I3456" s="28"/>
    </row>
    <row r="3457" spans="2:9" x14ac:dyDescent="0.35">
      <c r="B3457" s="4">
        <v>46001</v>
      </c>
      <c r="C3457" s="17" t="s">
        <v>19</v>
      </c>
      <c r="D3457" s="17" t="str">
        <f>IF(ISNUMBER(MATCH(ING_PRV[[#This Row],[Proveedor]],PARAMETROS!$A$2:$A$8,0)),"COMPRADA",
                    IF(ISNUMBER(MATCH(ING_PRV[[#This Row],[Proveedor]],PARAMETROS!$B$2:$B$8,0)),"PROPIA","NA")
)</f>
        <v>NA</v>
      </c>
      <c r="E3457" s="7">
        <v>500</v>
      </c>
      <c r="F3457" s="6">
        <v>1.62</v>
      </c>
      <c r="G3457" s="6">
        <v>52.6</v>
      </c>
      <c r="I3457" s="28"/>
    </row>
    <row r="3458" spans="2:9" x14ac:dyDescent="0.35">
      <c r="B3458" s="4">
        <v>46002</v>
      </c>
      <c r="C3458" s="17" t="s">
        <v>5</v>
      </c>
      <c r="D345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58" s="7">
        <v>32.799999999999997</v>
      </c>
      <c r="F3458" s="6">
        <v>0.89</v>
      </c>
      <c r="G3458" s="6">
        <v>54.7</v>
      </c>
      <c r="I3458" s="28"/>
    </row>
    <row r="3459" spans="2:9" x14ac:dyDescent="0.35">
      <c r="B3459" s="4">
        <v>46002</v>
      </c>
      <c r="C3459" s="17" t="s">
        <v>3</v>
      </c>
      <c r="D345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59" s="7">
        <v>89.9</v>
      </c>
      <c r="F3459" s="6">
        <v>1.3</v>
      </c>
      <c r="G3459" s="6">
        <v>54.2</v>
      </c>
      <c r="I3459" s="28"/>
    </row>
    <row r="3460" spans="2:9" x14ac:dyDescent="0.35">
      <c r="B3460" s="4">
        <v>46002</v>
      </c>
      <c r="C3460" s="17" t="s">
        <v>2</v>
      </c>
      <c r="D346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0" s="7">
        <v>439.52</v>
      </c>
      <c r="F3460" s="6">
        <v>0.05</v>
      </c>
      <c r="G3460" s="6">
        <v>55.1</v>
      </c>
      <c r="I3460" s="28"/>
    </row>
    <row r="3461" spans="2:9" x14ac:dyDescent="0.35">
      <c r="B3461" s="4">
        <v>46002</v>
      </c>
      <c r="C3461" s="17" t="s">
        <v>4</v>
      </c>
      <c r="D346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1" s="7">
        <v>151.47</v>
      </c>
      <c r="F3461" s="6">
        <v>6.4</v>
      </c>
      <c r="G3461" s="6">
        <v>49.9</v>
      </c>
      <c r="I3461" s="28"/>
    </row>
    <row r="3462" spans="2:9" x14ac:dyDescent="0.35">
      <c r="B3462" s="4">
        <v>46002</v>
      </c>
      <c r="C3462" s="17" t="s">
        <v>6</v>
      </c>
      <c r="D346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2" s="7">
        <v>209.74</v>
      </c>
      <c r="F3462" s="6">
        <v>2.59</v>
      </c>
      <c r="G3462" s="6">
        <v>53.2</v>
      </c>
      <c r="I3462" s="28"/>
    </row>
    <row r="3463" spans="2:9" x14ac:dyDescent="0.35">
      <c r="B3463" s="4">
        <v>46003</v>
      </c>
      <c r="C3463" s="17" t="s">
        <v>3</v>
      </c>
      <c r="D346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3" s="7">
        <v>109.26</v>
      </c>
      <c r="F3463" s="6">
        <v>8.9</v>
      </c>
      <c r="G3463" s="6">
        <v>54.2</v>
      </c>
      <c r="I3463" s="28"/>
    </row>
    <row r="3464" spans="2:9" x14ac:dyDescent="0.35">
      <c r="B3464" s="4">
        <v>46003</v>
      </c>
      <c r="C3464" s="17" t="s">
        <v>2</v>
      </c>
      <c r="D346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4" s="7">
        <v>52.31</v>
      </c>
      <c r="F3464" s="6">
        <v>0.3</v>
      </c>
      <c r="G3464" s="6">
        <v>54.8</v>
      </c>
      <c r="I3464" s="28"/>
    </row>
    <row r="3465" spans="2:9" x14ac:dyDescent="0.35">
      <c r="B3465" s="4">
        <v>46003</v>
      </c>
      <c r="C3465" s="17" t="s">
        <v>4</v>
      </c>
      <c r="D346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5" s="7">
        <v>268.7</v>
      </c>
      <c r="F3465" s="6">
        <v>1.6</v>
      </c>
      <c r="G3465" s="6">
        <v>54.3</v>
      </c>
      <c r="I3465" s="28"/>
    </row>
    <row r="3466" spans="2:9" x14ac:dyDescent="0.35">
      <c r="B3466" s="4">
        <v>46003</v>
      </c>
      <c r="C3466" s="17" t="s">
        <v>6</v>
      </c>
      <c r="D346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6" s="7">
        <v>152.9</v>
      </c>
      <c r="F3466" s="6">
        <v>1.9</v>
      </c>
      <c r="G3466" s="6">
        <v>54.2</v>
      </c>
      <c r="I3466" s="28"/>
    </row>
    <row r="3467" spans="2:9" x14ac:dyDescent="0.35">
      <c r="B3467" s="4">
        <v>46003</v>
      </c>
      <c r="C3467" s="17" t="s">
        <v>5</v>
      </c>
      <c r="D346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7" s="7">
        <v>101.96</v>
      </c>
      <c r="F3467" s="6">
        <v>0.86</v>
      </c>
      <c r="G3467" s="6">
        <v>54</v>
      </c>
      <c r="I3467" s="28"/>
    </row>
    <row r="3468" spans="2:9" x14ac:dyDescent="0.35">
      <c r="B3468" s="4">
        <v>46004</v>
      </c>
      <c r="C3468" s="17" t="s">
        <v>3</v>
      </c>
      <c r="D346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8" s="7">
        <v>45.26</v>
      </c>
      <c r="F3468" s="6">
        <v>0.1</v>
      </c>
      <c r="G3468" s="6">
        <v>53.9</v>
      </c>
      <c r="I3468" s="28"/>
    </row>
    <row r="3469" spans="2:9" x14ac:dyDescent="0.35">
      <c r="B3469" s="4">
        <v>46004</v>
      </c>
      <c r="C3469" s="17" t="s">
        <v>2</v>
      </c>
      <c r="D346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69" s="7">
        <v>111.22</v>
      </c>
      <c r="F3469" s="6">
        <v>2.0299999999999998</v>
      </c>
      <c r="G3469" s="6">
        <v>52.5</v>
      </c>
      <c r="I3469" s="28"/>
    </row>
    <row r="3470" spans="2:9" x14ac:dyDescent="0.35">
      <c r="B3470" s="4">
        <v>46004</v>
      </c>
      <c r="C3470" s="17" t="s">
        <v>6</v>
      </c>
      <c r="D347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0" s="7">
        <v>52.04</v>
      </c>
      <c r="F3470" s="6">
        <v>2</v>
      </c>
      <c r="G3470" s="6">
        <v>53.9</v>
      </c>
      <c r="I3470" s="28"/>
    </row>
    <row r="3471" spans="2:9" x14ac:dyDescent="0.35">
      <c r="B3471" s="4">
        <v>46006</v>
      </c>
      <c r="C3471" s="17" t="s">
        <v>2</v>
      </c>
      <c r="D347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1" s="7">
        <v>600.48</v>
      </c>
      <c r="F3471" s="21">
        <v>0.2</v>
      </c>
      <c r="G3471" s="24">
        <v>54.865797417407343</v>
      </c>
      <c r="I3471" s="28"/>
    </row>
    <row r="3472" spans="2:9" x14ac:dyDescent="0.35">
      <c r="B3472" s="4">
        <v>46007</v>
      </c>
      <c r="C3472" s="17" t="s">
        <v>2</v>
      </c>
      <c r="D347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2" s="7">
        <v>271.2</v>
      </c>
      <c r="F3472" s="6">
        <v>0.44</v>
      </c>
      <c r="G3472" s="6">
        <v>54.8</v>
      </c>
      <c r="I3472" s="28"/>
    </row>
    <row r="3473" spans="2:9" x14ac:dyDescent="0.35">
      <c r="B3473" s="4">
        <v>46008</v>
      </c>
      <c r="C3473" s="17" t="s">
        <v>2</v>
      </c>
      <c r="D347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3" s="7">
        <v>581.02</v>
      </c>
      <c r="F3473" s="6">
        <v>0.46</v>
      </c>
      <c r="G3473" s="6">
        <v>54.2</v>
      </c>
      <c r="I3473" s="28"/>
    </row>
    <row r="3474" spans="2:9" x14ac:dyDescent="0.35">
      <c r="B3474" s="4">
        <v>46009</v>
      </c>
      <c r="C3474" s="17" t="s">
        <v>2</v>
      </c>
      <c r="D347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4" s="7">
        <v>499.97</v>
      </c>
      <c r="F3474" s="6">
        <v>0.43</v>
      </c>
      <c r="G3474" s="6">
        <v>54.8</v>
      </c>
      <c r="I3474" s="28"/>
    </row>
    <row r="3475" spans="2:9" x14ac:dyDescent="0.35">
      <c r="B3475" s="4">
        <v>46010</v>
      </c>
      <c r="C3475" s="17" t="s">
        <v>2</v>
      </c>
      <c r="D347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5" s="7">
        <v>407.11</v>
      </c>
      <c r="F3475" s="6">
        <v>0.56999999999999995</v>
      </c>
      <c r="G3475" s="6">
        <v>54</v>
      </c>
      <c r="I3475" s="28"/>
    </row>
    <row r="3476" spans="2:9" x14ac:dyDescent="0.35">
      <c r="B3476" s="4">
        <v>46011</v>
      </c>
      <c r="C3476" s="17" t="s">
        <v>2</v>
      </c>
      <c r="D347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6" s="7">
        <v>323.26</v>
      </c>
      <c r="F3476" s="6">
        <v>1.06</v>
      </c>
      <c r="G3476" s="6">
        <v>54.2</v>
      </c>
      <c r="I3476" s="28"/>
    </row>
    <row r="3477" spans="2:9" x14ac:dyDescent="0.35">
      <c r="B3477" s="4">
        <v>46012</v>
      </c>
      <c r="C3477" s="17" t="s">
        <v>2</v>
      </c>
      <c r="D347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7" s="7">
        <v>173.58</v>
      </c>
      <c r="F3477" s="6">
        <v>1.06</v>
      </c>
      <c r="G3477" s="6">
        <v>54.2</v>
      </c>
      <c r="I3477" s="28"/>
    </row>
    <row r="3478" spans="2:9" x14ac:dyDescent="0.35">
      <c r="B3478" s="4">
        <v>46013</v>
      </c>
      <c r="C3478" s="17" t="s">
        <v>2</v>
      </c>
      <c r="D347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8" s="7">
        <v>100.93</v>
      </c>
      <c r="F3478" s="21">
        <v>0.22</v>
      </c>
      <c r="G3478" s="24">
        <v>54.445607895173332</v>
      </c>
      <c r="I3478" s="28"/>
    </row>
    <row r="3479" spans="2:9" x14ac:dyDescent="0.35">
      <c r="B3479" s="4">
        <v>46014</v>
      </c>
      <c r="C3479" s="17" t="s">
        <v>2</v>
      </c>
      <c r="D347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79" s="7">
        <v>279.17</v>
      </c>
      <c r="F3479" s="21">
        <v>2.5099999999999998</v>
      </c>
      <c r="G3479" s="24">
        <v>51.45751608961303</v>
      </c>
      <c r="I3479" s="28"/>
    </row>
    <row r="3480" spans="2:9" x14ac:dyDescent="0.35">
      <c r="B3480" s="4">
        <v>46015</v>
      </c>
      <c r="C3480" s="17" t="s">
        <v>2</v>
      </c>
      <c r="D348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0" s="7">
        <v>303.94</v>
      </c>
      <c r="F3480" s="6">
        <v>0.93</v>
      </c>
      <c r="G3480" s="6">
        <v>53.3</v>
      </c>
      <c r="I3480" s="28"/>
    </row>
    <row r="3481" spans="2:9" x14ac:dyDescent="0.35">
      <c r="B3481" s="4">
        <v>46016</v>
      </c>
      <c r="C3481" s="17" t="s">
        <v>2</v>
      </c>
      <c r="D348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1" s="7">
        <v>65.599999999999994</v>
      </c>
      <c r="F3481" s="6">
        <v>0.93</v>
      </c>
      <c r="G3481" s="6">
        <v>53.3</v>
      </c>
      <c r="I3481" s="28"/>
    </row>
    <row r="3482" spans="2:9" x14ac:dyDescent="0.35">
      <c r="B3482" s="4">
        <v>46006</v>
      </c>
      <c r="C3482" s="17" t="s">
        <v>5</v>
      </c>
      <c r="D348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2" s="7">
        <v>114.92</v>
      </c>
      <c r="F3482" s="21">
        <v>0.38</v>
      </c>
      <c r="G3482" s="22">
        <v>54.025888409166392</v>
      </c>
      <c r="I3482" s="28"/>
    </row>
    <row r="3483" spans="2:9" x14ac:dyDescent="0.35">
      <c r="B3483" s="4">
        <v>46008</v>
      </c>
      <c r="C3483" s="17" t="s">
        <v>5</v>
      </c>
      <c r="D348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3" s="7">
        <v>107.19</v>
      </c>
      <c r="F3483" s="21">
        <v>13.68</v>
      </c>
      <c r="G3483" s="22">
        <v>44.17427585001311</v>
      </c>
      <c r="I3483" s="28"/>
    </row>
    <row r="3484" spans="2:9" x14ac:dyDescent="0.35">
      <c r="B3484" s="4">
        <v>46010</v>
      </c>
      <c r="C3484" s="17" t="s">
        <v>5</v>
      </c>
      <c r="D348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4" s="7">
        <v>107.18</v>
      </c>
      <c r="F3484" s="21">
        <v>0.98</v>
      </c>
      <c r="G3484" s="22">
        <v>54.7437971184453</v>
      </c>
      <c r="I3484" s="28"/>
    </row>
    <row r="3485" spans="2:9" x14ac:dyDescent="0.35">
      <c r="B3485" s="4">
        <v>46013</v>
      </c>
      <c r="C3485" s="17" t="s">
        <v>5</v>
      </c>
      <c r="D348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5" s="7">
        <v>67.11</v>
      </c>
      <c r="F3485" s="21">
        <v>2.74</v>
      </c>
      <c r="G3485" s="22">
        <v>53.308675220796538</v>
      </c>
      <c r="I3485" s="28"/>
    </row>
    <row r="3486" spans="2:9" x14ac:dyDescent="0.35">
      <c r="B3486" s="4">
        <v>46009</v>
      </c>
      <c r="C3486" s="17" t="s">
        <v>4</v>
      </c>
      <c r="D348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6" s="7">
        <v>157.12</v>
      </c>
      <c r="F3486" s="6">
        <v>1.6</v>
      </c>
      <c r="G3486" s="6">
        <v>54.3</v>
      </c>
      <c r="I3486" s="28"/>
    </row>
    <row r="3487" spans="2:9" x14ac:dyDescent="0.35">
      <c r="B3487" s="4">
        <v>46013</v>
      </c>
      <c r="C3487" s="17" t="s">
        <v>4</v>
      </c>
      <c r="D348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7" s="7">
        <v>79.8</v>
      </c>
      <c r="F3487" s="24">
        <v>1.26</v>
      </c>
      <c r="G3487" s="24">
        <v>53.50766038675409</v>
      </c>
      <c r="I3487" s="28"/>
    </row>
    <row r="3488" spans="2:9" x14ac:dyDescent="0.35">
      <c r="B3488" s="4">
        <v>46006</v>
      </c>
      <c r="C3488" s="17" t="s">
        <v>3</v>
      </c>
      <c r="D348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8" s="7">
        <v>154.52000000000001</v>
      </c>
      <c r="F3488" s="6">
        <v>1.6</v>
      </c>
      <c r="G3488" s="6">
        <v>53.6</v>
      </c>
      <c r="I3488" s="28"/>
    </row>
    <row r="3489" spans="2:9" x14ac:dyDescent="0.35">
      <c r="B3489" s="4">
        <v>46007</v>
      </c>
      <c r="C3489" s="17" t="s">
        <v>3</v>
      </c>
      <c r="D348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89" s="7">
        <v>46.4</v>
      </c>
      <c r="F3489" s="6">
        <v>3</v>
      </c>
      <c r="G3489" s="6">
        <v>52.5</v>
      </c>
      <c r="I3489" s="28"/>
    </row>
    <row r="3490" spans="2:9" x14ac:dyDescent="0.35">
      <c r="B3490" s="4">
        <v>46008</v>
      </c>
      <c r="C3490" s="17" t="s">
        <v>3</v>
      </c>
      <c r="D349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90" s="7">
        <v>91.36</v>
      </c>
      <c r="F3490" s="6">
        <v>2.7</v>
      </c>
      <c r="G3490" s="6">
        <v>50.3</v>
      </c>
      <c r="I3490" s="28"/>
    </row>
    <row r="3491" spans="2:9" x14ac:dyDescent="0.35">
      <c r="B3491" s="4">
        <v>46009</v>
      </c>
      <c r="C3491" s="17" t="s">
        <v>3</v>
      </c>
      <c r="D349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91" s="7">
        <v>85.9</v>
      </c>
      <c r="F3491" s="6">
        <v>2</v>
      </c>
      <c r="G3491" s="6">
        <v>53.1</v>
      </c>
      <c r="I3491" s="28"/>
    </row>
    <row r="3492" spans="2:9" x14ac:dyDescent="0.35">
      <c r="B3492" s="4">
        <v>46010</v>
      </c>
      <c r="C3492" s="17" t="s">
        <v>3</v>
      </c>
      <c r="D349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92" s="7">
        <v>88.28</v>
      </c>
      <c r="F3492" s="6">
        <v>1.5</v>
      </c>
      <c r="G3492" s="6">
        <v>53.9</v>
      </c>
      <c r="I3492" s="28"/>
    </row>
    <row r="3493" spans="2:9" x14ac:dyDescent="0.35">
      <c r="B3493" s="4">
        <v>46011</v>
      </c>
      <c r="C3493" s="17" t="s">
        <v>3</v>
      </c>
      <c r="D349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93" s="7">
        <v>68.08</v>
      </c>
      <c r="F3493" s="6">
        <v>1.4</v>
      </c>
      <c r="G3493" s="6">
        <v>53.5</v>
      </c>
      <c r="I3493" s="28"/>
    </row>
    <row r="3494" spans="2:9" x14ac:dyDescent="0.35">
      <c r="B3494" s="4">
        <v>46012</v>
      </c>
      <c r="C3494" s="17" t="s">
        <v>3</v>
      </c>
      <c r="D349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94" s="7">
        <v>44.78</v>
      </c>
      <c r="F3494" s="6">
        <v>1.4</v>
      </c>
      <c r="G3494" s="6">
        <v>53.5</v>
      </c>
      <c r="I3494" s="28"/>
    </row>
    <row r="3495" spans="2:9" x14ac:dyDescent="0.35">
      <c r="B3495" s="4">
        <v>46013</v>
      </c>
      <c r="C3495" s="17" t="s">
        <v>3</v>
      </c>
      <c r="D349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95" s="7">
        <v>0</v>
      </c>
      <c r="F3495" s="6">
        <v>1.4</v>
      </c>
      <c r="G3495" s="6">
        <v>54.4</v>
      </c>
      <c r="I3495" s="28"/>
    </row>
    <row r="3496" spans="2:9" x14ac:dyDescent="0.35">
      <c r="B3496" s="4">
        <v>46014</v>
      </c>
      <c r="C3496" s="17" t="s">
        <v>3</v>
      </c>
      <c r="D349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96" s="7">
        <v>67.06</v>
      </c>
      <c r="F3496" s="6">
        <v>1.5</v>
      </c>
      <c r="G3496" s="6">
        <v>54.1</v>
      </c>
      <c r="I3496" s="28"/>
    </row>
    <row r="3497" spans="2:9" x14ac:dyDescent="0.35">
      <c r="B3497" s="4">
        <v>46027</v>
      </c>
      <c r="C3497" s="17" t="s">
        <v>2</v>
      </c>
      <c r="D349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97" s="7">
        <v>280.52</v>
      </c>
      <c r="F3497" s="6">
        <v>1.88</v>
      </c>
      <c r="G3497" s="6">
        <v>53.2</v>
      </c>
      <c r="I3497" s="28"/>
    </row>
    <row r="3498" spans="2:9" x14ac:dyDescent="0.35">
      <c r="B3498" s="4">
        <v>46027</v>
      </c>
      <c r="C3498" s="17" t="s">
        <v>6</v>
      </c>
      <c r="D349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498" s="7">
        <v>155.96</v>
      </c>
      <c r="F3498" s="6">
        <v>2.67</v>
      </c>
      <c r="G3498" s="6">
        <v>52.8</v>
      </c>
      <c r="I3498" s="28"/>
    </row>
    <row r="3499" spans="2:9" x14ac:dyDescent="0.35">
      <c r="B3499" s="4">
        <v>46027</v>
      </c>
      <c r="C3499" s="17" t="s">
        <v>22</v>
      </c>
      <c r="D3499" s="17" t="str">
        <f>IF(ISNUMBER(MATCH(ING_PRV[[#This Row],[Proveedor]],PARAMETROS!$A$2:$A$8,0)),"COMPRADA",
                    IF(ISNUMBER(MATCH(ING_PRV[[#This Row],[Proveedor]],PARAMETROS!$B$2:$B$8,0)),"PROPIA","NA")
)</f>
        <v>NA</v>
      </c>
      <c r="E3499" s="7">
        <v>653.55999999999995</v>
      </c>
      <c r="F3499" s="6">
        <v>4.57</v>
      </c>
      <c r="G3499" s="6">
        <v>50.2</v>
      </c>
      <c r="I3499" s="28"/>
    </row>
    <row r="3500" spans="2:9" x14ac:dyDescent="0.35">
      <c r="B3500" s="4">
        <v>46027</v>
      </c>
      <c r="C3500" s="17" t="s">
        <v>18</v>
      </c>
      <c r="D350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00" s="7">
        <v>347.04</v>
      </c>
      <c r="F3500" s="6">
        <v>2.0099999999999998</v>
      </c>
      <c r="G3500" s="6">
        <v>51.2</v>
      </c>
      <c r="I3500" s="28"/>
    </row>
    <row r="3501" spans="2:9" x14ac:dyDescent="0.35">
      <c r="B3501" s="4">
        <v>46029</v>
      </c>
      <c r="C3501" s="17" t="s">
        <v>2</v>
      </c>
      <c r="D350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01" s="7">
        <v>387.26</v>
      </c>
      <c r="F3501" s="6">
        <v>0.18</v>
      </c>
      <c r="G3501" s="6">
        <v>53.8</v>
      </c>
      <c r="I3501" s="28"/>
    </row>
    <row r="3502" spans="2:9" x14ac:dyDescent="0.35">
      <c r="B3502" s="4">
        <v>46029</v>
      </c>
      <c r="C3502" s="17" t="s">
        <v>22</v>
      </c>
      <c r="D3502" s="17" t="str">
        <f>IF(ISNUMBER(MATCH(ING_PRV[[#This Row],[Proveedor]],PARAMETROS!$A$2:$A$8,0)),"COMPRADA",
                    IF(ISNUMBER(MATCH(ING_PRV[[#This Row],[Proveedor]],PARAMETROS!$B$2:$B$8,0)),"PROPIA","NA")
)</f>
        <v>NA</v>
      </c>
      <c r="E3502" s="7">
        <v>446.12</v>
      </c>
      <c r="F3502" s="6">
        <v>0.9</v>
      </c>
      <c r="G3502" s="6">
        <v>51.4</v>
      </c>
      <c r="I3502" s="28"/>
    </row>
    <row r="3503" spans="2:9" x14ac:dyDescent="0.35">
      <c r="B3503" s="4">
        <v>46029</v>
      </c>
      <c r="C3503" s="17" t="s">
        <v>18</v>
      </c>
      <c r="D350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03" s="7">
        <v>300</v>
      </c>
      <c r="F3503" s="6">
        <v>3.62</v>
      </c>
      <c r="G3503" s="6">
        <v>51.3</v>
      </c>
      <c r="I3503" s="28"/>
    </row>
    <row r="3504" spans="2:9" x14ac:dyDescent="0.35">
      <c r="B3504" s="4">
        <v>46030</v>
      </c>
      <c r="C3504" s="17" t="s">
        <v>2</v>
      </c>
      <c r="D350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04" s="7">
        <v>413</v>
      </c>
      <c r="F3504" s="6">
        <v>0.62</v>
      </c>
      <c r="G3504" s="6">
        <v>53.4</v>
      </c>
      <c r="I3504" s="28"/>
    </row>
    <row r="3505" spans="2:9" x14ac:dyDescent="0.35">
      <c r="B3505" s="4">
        <v>46030</v>
      </c>
      <c r="C3505" s="17" t="s">
        <v>6</v>
      </c>
      <c r="D350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05" s="7">
        <v>106.38</v>
      </c>
      <c r="F3505" s="21">
        <v>2.0811500000000001</v>
      </c>
      <c r="G3505" s="25">
        <v>53.37714127956292</v>
      </c>
      <c r="I3505" s="28"/>
    </row>
    <row r="3506" spans="2:9" x14ac:dyDescent="0.35">
      <c r="B3506" s="4">
        <v>46032</v>
      </c>
      <c r="C3506" s="17" t="s">
        <v>2</v>
      </c>
      <c r="D350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06" s="7">
        <v>331.22</v>
      </c>
      <c r="F3506" s="21">
        <v>9.0950000000000017E-2</v>
      </c>
      <c r="G3506" s="25">
        <v>54.962196018115016</v>
      </c>
      <c r="I3506" s="28"/>
    </row>
    <row r="3507" spans="2:9" x14ac:dyDescent="0.35">
      <c r="B3507" s="4">
        <v>46031</v>
      </c>
      <c r="C3507" s="17" t="s">
        <v>6</v>
      </c>
      <c r="D350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07" s="7">
        <v>81.260000000000005</v>
      </c>
      <c r="F3507" s="21">
        <v>1.9260000000000002</v>
      </c>
      <c r="G3507" s="25">
        <v>53.510279417920856</v>
      </c>
      <c r="I3507" s="28"/>
    </row>
    <row r="3508" spans="2:9" x14ac:dyDescent="0.35">
      <c r="B3508" s="4">
        <v>46032</v>
      </c>
      <c r="C3508" s="17" t="s">
        <v>5</v>
      </c>
      <c r="D350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08" s="7">
        <v>31.66</v>
      </c>
      <c r="F3508" s="21">
        <v>0.53232500000000005</v>
      </c>
      <c r="G3508" s="25">
        <v>54.635725461936438</v>
      </c>
      <c r="I3508" s="28"/>
    </row>
    <row r="3509" spans="2:9" x14ac:dyDescent="0.35">
      <c r="B3509" s="4">
        <v>46035</v>
      </c>
      <c r="C3509" s="17" t="s">
        <v>5</v>
      </c>
      <c r="D350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09" s="7">
        <v>76.56</v>
      </c>
      <c r="F3509" s="6">
        <v>0.6</v>
      </c>
      <c r="G3509" s="6">
        <v>53.9</v>
      </c>
      <c r="I3509" s="28"/>
    </row>
    <row r="3510" spans="2:9" x14ac:dyDescent="0.35">
      <c r="B3510" s="4">
        <v>46035</v>
      </c>
      <c r="C3510" s="17" t="s">
        <v>2</v>
      </c>
      <c r="D351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0" s="7">
        <v>341.58</v>
      </c>
      <c r="F3510" s="6">
        <v>0.98</v>
      </c>
      <c r="G3510" s="6">
        <v>53.6</v>
      </c>
      <c r="I3510" s="28"/>
    </row>
    <row r="3511" spans="2:9" x14ac:dyDescent="0.35">
      <c r="B3511" s="4">
        <v>46036</v>
      </c>
      <c r="C3511" s="17" t="s">
        <v>2</v>
      </c>
      <c r="D351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1" s="7">
        <v>236.77</v>
      </c>
      <c r="F3511" s="6">
        <v>0.31</v>
      </c>
      <c r="G3511" s="6">
        <v>54.3</v>
      </c>
      <c r="I3511" s="28"/>
    </row>
    <row r="3512" spans="2:9" x14ac:dyDescent="0.35">
      <c r="B3512" s="4">
        <v>46036</v>
      </c>
      <c r="C3512" s="17" t="s">
        <v>5</v>
      </c>
      <c r="D351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2" s="7">
        <v>35.67</v>
      </c>
      <c r="F3512" s="6">
        <v>3.46</v>
      </c>
      <c r="G3512" s="6">
        <v>51.7</v>
      </c>
      <c r="I3512" s="28"/>
    </row>
    <row r="3513" spans="2:9" x14ac:dyDescent="0.35">
      <c r="B3513" s="4">
        <v>46036</v>
      </c>
      <c r="C3513" s="17" t="s">
        <v>6</v>
      </c>
      <c r="D351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3" s="7">
        <v>190.54</v>
      </c>
      <c r="F3513" s="6">
        <v>2.65</v>
      </c>
      <c r="G3513" s="6">
        <v>52</v>
      </c>
      <c r="I3513" s="28"/>
    </row>
    <row r="3514" spans="2:9" x14ac:dyDescent="0.35">
      <c r="B3514" s="4">
        <v>46037</v>
      </c>
      <c r="C3514" s="17" t="s">
        <v>2</v>
      </c>
      <c r="D351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4" s="7">
        <v>236.77</v>
      </c>
      <c r="F3514" s="21">
        <v>0.90147500000000003</v>
      </c>
      <c r="G3514" s="24">
        <v>53.585026357607973</v>
      </c>
      <c r="I3514" s="28"/>
    </row>
    <row r="3515" spans="2:9" x14ac:dyDescent="0.35">
      <c r="B3515" s="4">
        <v>46038</v>
      </c>
      <c r="C3515" s="17" t="s">
        <v>2</v>
      </c>
      <c r="D351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5" s="7">
        <v>296.25</v>
      </c>
      <c r="F3515" s="6">
        <v>1.0900000000000001</v>
      </c>
      <c r="G3515" s="6">
        <v>52.6</v>
      </c>
      <c r="I3515" s="28"/>
    </row>
    <row r="3516" spans="2:9" x14ac:dyDescent="0.35">
      <c r="B3516" s="4">
        <v>46039</v>
      </c>
      <c r="C3516" s="17" t="s">
        <v>2</v>
      </c>
      <c r="D351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6" s="7">
        <v>357.32</v>
      </c>
      <c r="F3516" s="6">
        <v>0.42</v>
      </c>
      <c r="G3516" s="6">
        <v>53.7</v>
      </c>
      <c r="I3516" s="28"/>
    </row>
    <row r="3517" spans="2:9" x14ac:dyDescent="0.35">
      <c r="B3517" s="4">
        <v>46038</v>
      </c>
      <c r="C3517" s="17" t="s">
        <v>6</v>
      </c>
      <c r="D351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7" s="7">
        <v>30.14</v>
      </c>
      <c r="F3517" s="21">
        <v>2.37005</v>
      </c>
      <c r="G3517" s="22">
        <v>53.555492861998637</v>
      </c>
      <c r="I3517" s="28"/>
    </row>
    <row r="3518" spans="2:9" x14ac:dyDescent="0.35">
      <c r="B3518" s="16">
        <v>46038</v>
      </c>
      <c r="C3518" s="17" t="s">
        <v>3</v>
      </c>
      <c r="D351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8" s="7">
        <v>48.8</v>
      </c>
      <c r="F3518" s="24">
        <v>2.5198499999999999</v>
      </c>
      <c r="G3518" s="24">
        <v>51.595813035551508</v>
      </c>
      <c r="I3518" s="28"/>
    </row>
    <row r="3519" spans="2:9" x14ac:dyDescent="0.35">
      <c r="B3519" s="16">
        <v>46039</v>
      </c>
      <c r="C3519" s="17" t="s">
        <v>3</v>
      </c>
      <c r="D351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19" s="7">
        <v>50.04</v>
      </c>
      <c r="F3519" s="24">
        <v>1.4659000000000002</v>
      </c>
      <c r="G3519" s="24">
        <v>53.191540082560117</v>
      </c>
      <c r="I3519" s="28"/>
    </row>
    <row r="3520" spans="2:9" x14ac:dyDescent="0.35">
      <c r="B3520" s="16">
        <v>46037</v>
      </c>
      <c r="C3520" s="17" t="s">
        <v>5</v>
      </c>
      <c r="D352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20" s="7">
        <v>35.67</v>
      </c>
      <c r="F3520" s="21">
        <v>1.67455</v>
      </c>
      <c r="G3520" s="22">
        <v>52.843359627259879</v>
      </c>
      <c r="I3520" s="28"/>
    </row>
    <row r="3521" spans="2:9" x14ac:dyDescent="0.35">
      <c r="B3521" s="16">
        <v>46038</v>
      </c>
      <c r="C3521" s="17" t="s">
        <v>5</v>
      </c>
      <c r="D352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21" s="7">
        <v>34.97</v>
      </c>
      <c r="F3521" s="21">
        <v>1.4739249999999999</v>
      </c>
      <c r="G3521" s="22">
        <v>52.935258650729338</v>
      </c>
      <c r="I3521" s="28"/>
    </row>
    <row r="3522" spans="2:9" x14ac:dyDescent="0.35">
      <c r="B3522" s="16">
        <v>46039</v>
      </c>
      <c r="C3522" s="17" t="s">
        <v>5</v>
      </c>
      <c r="D352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22" s="7">
        <v>34.64</v>
      </c>
      <c r="F3522" s="21">
        <v>1.8618000000000001</v>
      </c>
      <c r="G3522" s="22">
        <v>52.872220964324967</v>
      </c>
      <c r="I3522" s="28"/>
    </row>
    <row r="3523" spans="2:9" x14ac:dyDescent="0.35">
      <c r="B3523" s="4">
        <v>46040</v>
      </c>
      <c r="C3523" s="17" t="s">
        <v>2</v>
      </c>
      <c r="D352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23" s="7">
        <v>1096.44</v>
      </c>
      <c r="F3523" s="6">
        <v>0.42</v>
      </c>
      <c r="G3523" s="6">
        <v>53.7</v>
      </c>
      <c r="I3523" s="28"/>
    </row>
    <row r="3524" spans="2:9" x14ac:dyDescent="0.35">
      <c r="B3524" s="18">
        <v>46041</v>
      </c>
      <c r="C3524" s="17" t="s">
        <v>3</v>
      </c>
      <c r="D352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24" s="7">
        <v>114.14</v>
      </c>
      <c r="F3524" s="24">
        <v>5.1360000000000001</v>
      </c>
      <c r="G3524" s="25">
        <v>49.258751199126465</v>
      </c>
      <c r="I3524" s="28"/>
    </row>
    <row r="3525" spans="2:9" x14ac:dyDescent="0.35">
      <c r="B3525" s="18">
        <v>46041</v>
      </c>
      <c r="C3525" s="17" t="s">
        <v>6</v>
      </c>
      <c r="D352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25" s="7">
        <v>129.16</v>
      </c>
      <c r="F3525" s="21">
        <v>3.0548500000000001</v>
      </c>
      <c r="G3525" s="25">
        <v>52.434208322784812</v>
      </c>
      <c r="I3525" s="28"/>
    </row>
    <row r="3526" spans="2:9" x14ac:dyDescent="0.35">
      <c r="B3526" s="4">
        <v>46041</v>
      </c>
      <c r="C3526" s="17" t="s">
        <v>2</v>
      </c>
      <c r="D352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26" s="7">
        <v>367.28</v>
      </c>
      <c r="F3526" s="21">
        <v>0.23540000000000003</v>
      </c>
      <c r="G3526" s="25">
        <v>53.389059977983607</v>
      </c>
      <c r="I3526" s="28"/>
    </row>
    <row r="3527" spans="2:9" x14ac:dyDescent="0.35">
      <c r="B3527" s="4">
        <v>46041</v>
      </c>
      <c r="C3527" s="17" t="s">
        <v>18</v>
      </c>
      <c r="D352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27" s="7">
        <v>392.14</v>
      </c>
      <c r="F3527" s="6">
        <v>0.82</v>
      </c>
      <c r="G3527" s="6">
        <v>52.8</v>
      </c>
      <c r="I3527" s="28"/>
    </row>
    <row r="3528" spans="2:9" x14ac:dyDescent="0.35">
      <c r="B3528" s="4">
        <v>46039</v>
      </c>
      <c r="C3528" s="17" t="s">
        <v>18</v>
      </c>
      <c r="D352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28" s="7">
        <v>272.04000000000002</v>
      </c>
      <c r="F3528" s="6">
        <v>2.0299999999999998</v>
      </c>
      <c r="G3528" s="6">
        <v>54</v>
      </c>
      <c r="I3528" s="28"/>
    </row>
    <row r="3529" spans="2:9" x14ac:dyDescent="0.35">
      <c r="B3529" s="4">
        <v>46038</v>
      </c>
      <c r="C3529" s="17" t="s">
        <v>18</v>
      </c>
      <c r="D352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29" s="7">
        <v>299.52</v>
      </c>
      <c r="F3529" s="6">
        <v>3.33</v>
      </c>
      <c r="G3529" s="6">
        <v>51.9</v>
      </c>
      <c r="I3529" s="28"/>
    </row>
    <row r="3530" spans="2:9" x14ac:dyDescent="0.35">
      <c r="B3530" s="4">
        <v>46037</v>
      </c>
      <c r="C3530" s="17" t="s">
        <v>18</v>
      </c>
      <c r="D353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30" s="7">
        <v>250</v>
      </c>
      <c r="F3530" s="6">
        <v>0.94</v>
      </c>
      <c r="G3530" s="6">
        <v>54</v>
      </c>
      <c r="I3530" s="28"/>
    </row>
    <row r="3531" spans="2:9" x14ac:dyDescent="0.35">
      <c r="B3531" s="4">
        <v>46036</v>
      </c>
      <c r="C3531" s="17" t="s">
        <v>18</v>
      </c>
      <c r="D353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31" s="7">
        <v>280.3</v>
      </c>
      <c r="F3531" s="6">
        <v>1.34</v>
      </c>
      <c r="G3531" s="6">
        <v>52.8</v>
      </c>
      <c r="I3531" s="28"/>
    </row>
    <row r="3532" spans="2:9" x14ac:dyDescent="0.35">
      <c r="B3532" s="4">
        <v>46035</v>
      </c>
      <c r="C3532" s="17" t="s">
        <v>18</v>
      </c>
      <c r="D353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32" s="7">
        <v>212.86</v>
      </c>
      <c r="F3532" s="6">
        <v>3.81</v>
      </c>
      <c r="G3532" s="6">
        <v>50.7</v>
      </c>
      <c r="I3532" s="28"/>
    </row>
    <row r="3533" spans="2:9" x14ac:dyDescent="0.35">
      <c r="B3533" s="4">
        <v>46042</v>
      </c>
      <c r="C3533" s="17" t="s">
        <v>18</v>
      </c>
      <c r="D353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33" s="7">
        <v>387.48</v>
      </c>
      <c r="F3533" s="6">
        <v>1.58</v>
      </c>
      <c r="G3533" s="6">
        <v>52.8</v>
      </c>
      <c r="I3533" s="28"/>
    </row>
    <row r="3534" spans="2:9" x14ac:dyDescent="0.35">
      <c r="B3534" s="4">
        <v>46042</v>
      </c>
      <c r="C3534" s="17" t="s">
        <v>3</v>
      </c>
      <c r="D353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34" s="7">
        <v>90.94</v>
      </c>
      <c r="F3534" s="24">
        <v>2.7071000000000001</v>
      </c>
      <c r="G3534" s="24">
        <v>51.926318901266072</v>
      </c>
      <c r="I3534" s="28"/>
    </row>
    <row r="3535" spans="2:9" x14ac:dyDescent="0.35">
      <c r="B3535" s="4">
        <v>46042</v>
      </c>
      <c r="C3535" s="17" t="s">
        <v>6</v>
      </c>
      <c r="D353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35" s="7">
        <v>110.88</v>
      </c>
      <c r="F3535" s="21">
        <v>2.3218999999999999</v>
      </c>
      <c r="G3535" s="25">
        <v>53.284574824670955</v>
      </c>
      <c r="I3535" s="28"/>
    </row>
    <row r="3536" spans="2:9" x14ac:dyDescent="0.35">
      <c r="B3536" s="4">
        <v>46042</v>
      </c>
      <c r="C3536" s="17" t="s">
        <v>2</v>
      </c>
      <c r="D353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36" s="7">
        <v>541.75</v>
      </c>
      <c r="F3536" s="21">
        <v>0.35310000000000002</v>
      </c>
      <c r="G3536" s="24">
        <v>54.13224202700686</v>
      </c>
      <c r="I3536" s="28"/>
    </row>
    <row r="3537" spans="2:9" x14ac:dyDescent="0.35">
      <c r="B3537" s="4">
        <v>46043</v>
      </c>
      <c r="C3537" s="17" t="s">
        <v>2</v>
      </c>
      <c r="D353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37" s="7">
        <v>159.26</v>
      </c>
      <c r="F3537" s="6">
        <v>2.2999999999999998</v>
      </c>
      <c r="G3537" s="6">
        <v>52.8</v>
      </c>
      <c r="I3537" s="28"/>
    </row>
    <row r="3538" spans="2:9" x14ac:dyDescent="0.35">
      <c r="B3538" s="4">
        <v>46043</v>
      </c>
      <c r="C3538" s="17" t="s">
        <v>3</v>
      </c>
      <c r="D353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38" s="7">
        <v>190.52</v>
      </c>
      <c r="F3538" s="24">
        <v>2.7071000000000001</v>
      </c>
      <c r="G3538" s="24">
        <v>51.926318901266072</v>
      </c>
      <c r="I3538" s="28"/>
    </row>
    <row r="3539" spans="2:9" x14ac:dyDescent="0.35">
      <c r="B3539" s="4">
        <v>46043</v>
      </c>
      <c r="C3539" s="17" t="s">
        <v>18</v>
      </c>
      <c r="D3539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39" s="7">
        <v>322.52</v>
      </c>
      <c r="F3539" s="6">
        <v>3.34</v>
      </c>
      <c r="G3539" s="6">
        <v>52.1</v>
      </c>
      <c r="I3539" s="28"/>
    </row>
    <row r="3540" spans="2:9" x14ac:dyDescent="0.35">
      <c r="B3540" s="4">
        <v>46044</v>
      </c>
      <c r="C3540" s="17" t="s">
        <v>3</v>
      </c>
      <c r="D354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40" s="7">
        <v>191.54</v>
      </c>
      <c r="F3540" s="6">
        <v>3.7</v>
      </c>
      <c r="G3540" s="6">
        <v>50.3</v>
      </c>
      <c r="I3540" s="28"/>
    </row>
    <row r="3541" spans="2:9" x14ac:dyDescent="0.35">
      <c r="B3541" s="4">
        <v>46044</v>
      </c>
      <c r="C3541" s="17" t="s">
        <v>2</v>
      </c>
      <c r="D354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41" s="7">
        <v>327.38</v>
      </c>
      <c r="F3541" s="6">
        <v>0.51</v>
      </c>
      <c r="G3541" s="6">
        <v>53.9</v>
      </c>
      <c r="I3541" s="28"/>
    </row>
    <row r="3542" spans="2:9" x14ac:dyDescent="0.35">
      <c r="B3542" s="4">
        <v>46044</v>
      </c>
      <c r="C3542" s="17" t="s">
        <v>6</v>
      </c>
      <c r="D354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42" s="7">
        <v>81.98</v>
      </c>
      <c r="F3542" s="6">
        <v>1.58</v>
      </c>
      <c r="G3542" s="6">
        <v>54</v>
      </c>
      <c r="I3542" s="28"/>
    </row>
    <row r="3543" spans="2:9" x14ac:dyDescent="0.35">
      <c r="B3543" s="4">
        <v>46044</v>
      </c>
      <c r="C3543" s="17" t="s">
        <v>18</v>
      </c>
      <c r="D354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43" s="7">
        <v>341.64</v>
      </c>
      <c r="F3543" s="6">
        <v>1.64</v>
      </c>
      <c r="G3543" s="6">
        <v>52.4</v>
      </c>
      <c r="I3543" s="28"/>
    </row>
    <row r="3544" spans="2:9" x14ac:dyDescent="0.35">
      <c r="B3544" s="4">
        <v>46045</v>
      </c>
      <c r="C3544" s="17" t="s">
        <v>3</v>
      </c>
      <c r="D354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44" s="7">
        <v>190.74</v>
      </c>
      <c r="F3544" s="6">
        <v>4</v>
      </c>
      <c r="G3544" s="6">
        <v>52.1</v>
      </c>
      <c r="I3544" s="28"/>
    </row>
    <row r="3545" spans="2:9" x14ac:dyDescent="0.35">
      <c r="B3545" s="4">
        <v>46045</v>
      </c>
      <c r="C3545" s="17" t="s">
        <v>2</v>
      </c>
      <c r="D354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45" s="7">
        <v>440.39</v>
      </c>
      <c r="F3545" s="6">
        <v>0.77</v>
      </c>
      <c r="G3545" s="6">
        <v>52</v>
      </c>
      <c r="I3545" s="28"/>
    </row>
    <row r="3546" spans="2:9" x14ac:dyDescent="0.35">
      <c r="B3546" s="4">
        <v>46045</v>
      </c>
      <c r="C3546" s="17" t="s">
        <v>6</v>
      </c>
      <c r="D354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46" s="7">
        <v>134.36000000000001</v>
      </c>
      <c r="F3546" s="6">
        <v>2.74</v>
      </c>
      <c r="G3546" s="6">
        <v>52.4</v>
      </c>
      <c r="I3546" s="28"/>
    </row>
    <row r="3547" spans="2:9" x14ac:dyDescent="0.35">
      <c r="B3547" s="4">
        <v>46045</v>
      </c>
      <c r="C3547" s="17" t="s">
        <v>5</v>
      </c>
      <c r="D354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47" s="7">
        <v>37.64</v>
      </c>
      <c r="F3547" s="6">
        <v>1.86</v>
      </c>
      <c r="G3547" s="6">
        <v>52.9</v>
      </c>
      <c r="I3547" s="28"/>
    </row>
    <row r="3548" spans="2:9" x14ac:dyDescent="0.35">
      <c r="B3548" s="4">
        <v>46045</v>
      </c>
      <c r="C3548" s="17" t="s">
        <v>18</v>
      </c>
      <c r="D354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48" s="7">
        <v>196.14</v>
      </c>
      <c r="F3548" s="6">
        <v>2.2000000000000002</v>
      </c>
      <c r="G3548" s="6">
        <v>52.8</v>
      </c>
      <c r="I3548" s="28"/>
    </row>
    <row r="3549" spans="2:9" x14ac:dyDescent="0.35">
      <c r="B3549" s="4">
        <v>46046</v>
      </c>
      <c r="C3549" s="17" t="s">
        <v>3</v>
      </c>
      <c r="D354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49" s="7">
        <v>24.86</v>
      </c>
      <c r="F3549" s="6">
        <v>9.3000000000000007</v>
      </c>
      <c r="G3549" s="6">
        <v>47.1</v>
      </c>
      <c r="I3549" s="28"/>
    </row>
    <row r="3550" spans="2:9" x14ac:dyDescent="0.35">
      <c r="B3550" s="4">
        <v>46046</v>
      </c>
      <c r="C3550" s="17" t="s">
        <v>2</v>
      </c>
      <c r="D355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50" s="7">
        <v>125.22199999999999</v>
      </c>
      <c r="F3550" s="6">
        <v>2.12</v>
      </c>
      <c r="G3550" s="6">
        <v>53.2</v>
      </c>
      <c r="I3550" s="28"/>
    </row>
    <row r="3551" spans="2:9" x14ac:dyDescent="0.35">
      <c r="B3551" s="4">
        <v>46046</v>
      </c>
      <c r="C3551" s="17" t="s">
        <v>5</v>
      </c>
      <c r="D355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51" s="7">
        <v>34</v>
      </c>
      <c r="F3551" s="6">
        <v>0.45</v>
      </c>
      <c r="G3551" s="6">
        <v>54.6</v>
      </c>
      <c r="I3551" s="28"/>
    </row>
    <row r="3552" spans="2:9" x14ac:dyDescent="0.35">
      <c r="B3552" s="4">
        <v>46046</v>
      </c>
      <c r="C3552" s="17" t="s">
        <v>22</v>
      </c>
      <c r="D3552" s="17" t="str">
        <f>IF(ISNUMBER(MATCH(ING_PRV[[#This Row],[Proveedor]],PARAMETROS!$A$2:$A$8,0)),"COMPRADA",
                    IF(ISNUMBER(MATCH(ING_PRV[[#This Row],[Proveedor]],PARAMETROS!$B$2:$B$8,0)),"PROPIA","NA")
)</f>
        <v>NA</v>
      </c>
      <c r="E3552" s="7">
        <v>412.24</v>
      </c>
      <c r="F3552" s="6">
        <v>1.04</v>
      </c>
      <c r="G3552" s="6">
        <v>53.9</v>
      </c>
      <c r="I3552" s="28"/>
    </row>
    <row r="3553" spans="2:9" x14ac:dyDescent="0.35">
      <c r="B3553" s="4">
        <v>46046</v>
      </c>
      <c r="C3553" s="17" t="s">
        <v>18</v>
      </c>
      <c r="D3553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53" s="7">
        <v>268.04000000000002</v>
      </c>
      <c r="F3553" s="6">
        <v>5.03</v>
      </c>
      <c r="G3553" s="6">
        <v>48.7</v>
      </c>
      <c r="I3553" s="28"/>
    </row>
    <row r="3554" spans="2:9" x14ac:dyDescent="0.35">
      <c r="B3554" s="4">
        <v>46048</v>
      </c>
      <c r="C3554" s="17" t="s">
        <v>3</v>
      </c>
      <c r="D355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54" s="7">
        <v>46.44</v>
      </c>
      <c r="F3554" s="6">
        <v>8.1999999999999993</v>
      </c>
      <c r="G3554" s="6">
        <v>48.1</v>
      </c>
      <c r="I3554" s="28"/>
    </row>
    <row r="3555" spans="2:9" x14ac:dyDescent="0.35">
      <c r="B3555" s="4">
        <v>46048</v>
      </c>
      <c r="C3555" s="17" t="s">
        <v>2</v>
      </c>
      <c r="D355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55" s="7">
        <v>254.86</v>
      </c>
      <c r="F3555" s="6">
        <v>0.65</v>
      </c>
      <c r="G3555" s="6">
        <v>54.1</v>
      </c>
      <c r="I3555" s="28"/>
    </row>
    <row r="3556" spans="2:9" x14ac:dyDescent="0.35">
      <c r="B3556" s="4">
        <v>46048</v>
      </c>
      <c r="C3556" s="17" t="s">
        <v>6</v>
      </c>
      <c r="D355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56" s="7">
        <v>161.26</v>
      </c>
      <c r="F3556" s="6">
        <v>1.79</v>
      </c>
      <c r="G3556" s="6">
        <v>53.8</v>
      </c>
      <c r="I3556" s="28"/>
    </row>
    <row r="3557" spans="2:9" x14ac:dyDescent="0.35">
      <c r="B3557" s="4">
        <v>46048</v>
      </c>
      <c r="C3557" s="17" t="s">
        <v>5</v>
      </c>
      <c r="D355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57" s="7">
        <v>31.35</v>
      </c>
      <c r="F3557" s="6">
        <v>0.96</v>
      </c>
      <c r="G3557" s="6">
        <v>54.3</v>
      </c>
      <c r="I3557" s="28"/>
    </row>
    <row r="3558" spans="2:9" x14ac:dyDescent="0.35">
      <c r="B3558" s="4">
        <v>46048</v>
      </c>
      <c r="C3558" s="17" t="s">
        <v>18</v>
      </c>
      <c r="D3558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58" s="7">
        <v>273.22000000000003</v>
      </c>
      <c r="F3558" s="6">
        <v>1.53</v>
      </c>
      <c r="G3558" s="6">
        <v>53.3</v>
      </c>
      <c r="I3558" s="28"/>
    </row>
    <row r="3559" spans="2:9" x14ac:dyDescent="0.35">
      <c r="B3559" s="4">
        <v>46049</v>
      </c>
      <c r="C3559" s="17" t="s">
        <v>3</v>
      </c>
      <c r="D355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59" s="7">
        <v>23.9</v>
      </c>
      <c r="F3559" s="6">
        <v>3.5</v>
      </c>
      <c r="G3559" s="6">
        <v>52.3</v>
      </c>
      <c r="I3559" s="28"/>
    </row>
    <row r="3560" spans="2:9" x14ac:dyDescent="0.35">
      <c r="B3560" s="4">
        <v>46049</v>
      </c>
      <c r="C3560" s="17" t="s">
        <v>2</v>
      </c>
      <c r="D356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60" s="7">
        <v>358.78</v>
      </c>
      <c r="F3560" s="6">
        <v>3.29</v>
      </c>
      <c r="G3560" s="6">
        <v>49.8</v>
      </c>
      <c r="I3560" s="28"/>
    </row>
    <row r="3561" spans="2:9" x14ac:dyDescent="0.35">
      <c r="B3561" s="4">
        <v>46049</v>
      </c>
      <c r="C3561" s="17" t="s">
        <v>18</v>
      </c>
      <c r="D3561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61" s="7">
        <v>75.87</v>
      </c>
      <c r="F3561" s="6">
        <v>4.7300000000000004</v>
      </c>
      <c r="G3561" s="6">
        <v>50.3</v>
      </c>
      <c r="I3561" s="28"/>
    </row>
    <row r="3562" spans="2:9" x14ac:dyDescent="0.35">
      <c r="B3562" s="4">
        <v>46050</v>
      </c>
      <c r="C3562" s="17" t="s">
        <v>3</v>
      </c>
      <c r="D356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62" s="7">
        <v>62.72</v>
      </c>
      <c r="F3562" s="6">
        <v>2.8</v>
      </c>
      <c r="G3562" s="6">
        <v>52.8</v>
      </c>
      <c r="I3562" s="28"/>
    </row>
    <row r="3563" spans="2:9" x14ac:dyDescent="0.35">
      <c r="B3563" s="4">
        <v>46050</v>
      </c>
      <c r="C3563" s="17" t="s">
        <v>2</v>
      </c>
      <c r="D356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63" s="7">
        <v>991.57</v>
      </c>
      <c r="F3563" s="6">
        <v>0.78</v>
      </c>
      <c r="G3563" s="6">
        <v>53.4</v>
      </c>
      <c r="I3563" s="28"/>
    </row>
    <row r="3564" spans="2:9" x14ac:dyDescent="0.35">
      <c r="B3564" s="4">
        <v>46050</v>
      </c>
      <c r="C3564" s="17" t="s">
        <v>18</v>
      </c>
      <c r="D3564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64" s="7">
        <v>332.2</v>
      </c>
      <c r="F3564" s="6">
        <v>2.44</v>
      </c>
      <c r="G3564" s="6">
        <v>52.4</v>
      </c>
      <c r="I3564" s="28"/>
    </row>
    <row r="3565" spans="2:9" x14ac:dyDescent="0.35">
      <c r="B3565" s="4">
        <v>46051</v>
      </c>
      <c r="C3565" s="17" t="s">
        <v>3</v>
      </c>
      <c r="D356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65" s="7">
        <v>45.04</v>
      </c>
      <c r="F3565" s="6">
        <v>3.8</v>
      </c>
      <c r="G3565" s="6">
        <v>50.3</v>
      </c>
      <c r="I3565" s="28"/>
    </row>
    <row r="3566" spans="2:9" x14ac:dyDescent="0.35">
      <c r="B3566" s="4">
        <v>46051</v>
      </c>
      <c r="C3566" s="17" t="s">
        <v>2</v>
      </c>
      <c r="D356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66" s="7">
        <v>336.43</v>
      </c>
      <c r="F3566" s="6">
        <v>0.81</v>
      </c>
      <c r="G3566" s="6">
        <v>52.2</v>
      </c>
      <c r="I3566" s="28"/>
    </row>
    <row r="3567" spans="2:9" x14ac:dyDescent="0.35">
      <c r="B3567" s="4">
        <v>46051</v>
      </c>
      <c r="C3567" s="17" t="s">
        <v>18</v>
      </c>
      <c r="D356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67" s="7">
        <v>275</v>
      </c>
      <c r="F3567" s="6">
        <v>1.68</v>
      </c>
      <c r="G3567" s="6">
        <v>53.3</v>
      </c>
      <c r="I3567" s="28"/>
    </row>
    <row r="3568" spans="2:9" x14ac:dyDescent="0.35">
      <c r="B3568" s="4">
        <v>46052</v>
      </c>
      <c r="C3568" s="17" t="s">
        <v>3</v>
      </c>
      <c r="D356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68" s="7">
        <v>23.1</v>
      </c>
      <c r="F3568" s="6">
        <v>3.6</v>
      </c>
      <c r="G3568" s="6">
        <v>52.3</v>
      </c>
      <c r="I3568" s="28"/>
    </row>
    <row r="3569" spans="2:9" x14ac:dyDescent="0.35">
      <c r="B3569" s="4">
        <v>46052</v>
      </c>
      <c r="C3569" s="17" t="s">
        <v>2</v>
      </c>
      <c r="D356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69" s="7">
        <v>546.58000000000004</v>
      </c>
      <c r="F3569" s="6">
        <v>1.66</v>
      </c>
      <c r="G3569" s="6">
        <v>53.3</v>
      </c>
      <c r="I3569" s="28"/>
    </row>
    <row r="3570" spans="2:9" x14ac:dyDescent="0.35">
      <c r="B3570" s="4">
        <v>46052</v>
      </c>
      <c r="C3570" s="17" t="s">
        <v>18</v>
      </c>
      <c r="D3570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570" s="7">
        <v>267.44</v>
      </c>
      <c r="F3570" s="6">
        <v>2.87</v>
      </c>
      <c r="G3570" s="6">
        <v>52.3</v>
      </c>
      <c r="I3570" s="28"/>
    </row>
    <row r="3571" spans="2:9" x14ac:dyDescent="0.35">
      <c r="B3571" s="4">
        <v>46054</v>
      </c>
      <c r="C3571" s="17" t="s">
        <v>2</v>
      </c>
      <c r="D357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71" s="7">
        <v>390.35</v>
      </c>
      <c r="F3571" s="6">
        <v>0.28000000000000003</v>
      </c>
      <c r="G3571" s="6">
        <v>54.6</v>
      </c>
      <c r="I3571" s="28"/>
    </row>
    <row r="3572" spans="2:9" x14ac:dyDescent="0.35">
      <c r="B3572" s="4">
        <v>46054</v>
      </c>
      <c r="C3572" s="17" t="s">
        <v>3</v>
      </c>
      <c r="D357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72" s="7">
        <v>397</v>
      </c>
      <c r="F3572" s="6">
        <v>3.8</v>
      </c>
      <c r="G3572" s="6">
        <v>51.3</v>
      </c>
      <c r="I3572" s="28"/>
    </row>
    <row r="3573" spans="2:9" x14ac:dyDescent="0.35">
      <c r="B3573" s="4">
        <v>46055</v>
      </c>
      <c r="C3573" s="17" t="s">
        <v>3</v>
      </c>
      <c r="D357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73" s="7">
        <v>396.14</v>
      </c>
      <c r="F3573" s="6">
        <v>3.8</v>
      </c>
      <c r="G3573" s="6">
        <v>51.3</v>
      </c>
      <c r="I3573" s="28"/>
    </row>
    <row r="3574" spans="2:9" x14ac:dyDescent="0.35">
      <c r="B3574" s="4">
        <v>46055</v>
      </c>
      <c r="C3574" s="17" t="s">
        <v>2</v>
      </c>
      <c r="D357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74" s="7">
        <v>390.35</v>
      </c>
      <c r="F3574" s="6">
        <v>0.28000000000000003</v>
      </c>
      <c r="G3574" s="6">
        <v>54.6</v>
      </c>
      <c r="I3574" s="28"/>
    </row>
    <row r="3575" spans="2:9" x14ac:dyDescent="0.35">
      <c r="B3575" s="4">
        <v>46056</v>
      </c>
      <c r="C3575" s="17" t="s">
        <v>3</v>
      </c>
      <c r="D357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75" s="7">
        <v>91.98</v>
      </c>
      <c r="F3575" s="6">
        <v>3.1</v>
      </c>
      <c r="G3575" s="6">
        <v>50.2</v>
      </c>
      <c r="I3575" s="28"/>
    </row>
    <row r="3576" spans="2:9" x14ac:dyDescent="0.35">
      <c r="B3576" s="4">
        <v>46056</v>
      </c>
      <c r="C3576" s="17" t="s">
        <v>2</v>
      </c>
      <c r="D357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76" s="7">
        <v>454.21</v>
      </c>
      <c r="F3576" s="6">
        <v>0.69</v>
      </c>
      <c r="G3576" s="6">
        <v>53.8</v>
      </c>
      <c r="I3576" s="28"/>
    </row>
    <row r="3577" spans="2:9" x14ac:dyDescent="0.35">
      <c r="B3577" s="4">
        <v>46057</v>
      </c>
      <c r="C3577" s="17" t="s">
        <v>3</v>
      </c>
      <c r="D357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77" s="7">
        <v>66.44</v>
      </c>
      <c r="F3577" s="6">
        <v>4.5999999999999996</v>
      </c>
      <c r="G3577" s="6">
        <v>48.5</v>
      </c>
      <c r="I3577" s="28"/>
    </row>
    <row r="3578" spans="2:9" x14ac:dyDescent="0.35">
      <c r="B3578" s="4">
        <v>46057</v>
      </c>
      <c r="C3578" s="17" t="s">
        <v>2</v>
      </c>
      <c r="D357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78" s="7">
        <v>535.4</v>
      </c>
      <c r="F3578" s="6">
        <v>0.62</v>
      </c>
      <c r="G3578" s="6">
        <v>53.9</v>
      </c>
      <c r="I3578" s="28"/>
    </row>
    <row r="3579" spans="2:9" x14ac:dyDescent="0.35">
      <c r="B3579" s="4">
        <v>46058</v>
      </c>
      <c r="C3579" s="17" t="s">
        <v>3</v>
      </c>
      <c r="D357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79" s="7">
        <v>91.5</v>
      </c>
      <c r="F3579" s="6">
        <v>0.7</v>
      </c>
      <c r="G3579" s="6">
        <v>54</v>
      </c>
      <c r="I3579" s="28"/>
    </row>
    <row r="3580" spans="2:9" x14ac:dyDescent="0.35">
      <c r="B3580" s="4">
        <v>46058</v>
      </c>
      <c r="C3580" s="17" t="s">
        <v>2</v>
      </c>
      <c r="D358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0" s="7">
        <v>522.85</v>
      </c>
      <c r="F3580" s="6">
        <v>1.82</v>
      </c>
      <c r="G3580" s="6">
        <v>53</v>
      </c>
      <c r="I3580" s="28"/>
    </row>
    <row r="3581" spans="2:9" x14ac:dyDescent="0.35">
      <c r="B3581" s="4">
        <v>46060</v>
      </c>
      <c r="C3581" s="17" t="s">
        <v>3</v>
      </c>
      <c r="D358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1" s="7">
        <v>47.82</v>
      </c>
      <c r="F3581" s="6">
        <v>2.2000000000000002</v>
      </c>
      <c r="G3581" s="6">
        <v>52.9</v>
      </c>
      <c r="I3581" s="28"/>
    </row>
    <row r="3582" spans="2:9" x14ac:dyDescent="0.35">
      <c r="B3582" s="4">
        <v>46062</v>
      </c>
      <c r="C3582" s="17" t="s">
        <v>3</v>
      </c>
      <c r="D358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2" s="7">
        <v>68.8</v>
      </c>
      <c r="F3582" s="6">
        <v>3</v>
      </c>
      <c r="G3582" s="6">
        <v>52.1</v>
      </c>
      <c r="I3582" s="28"/>
    </row>
    <row r="3583" spans="2:9" x14ac:dyDescent="0.35">
      <c r="B3583" s="4">
        <v>46062</v>
      </c>
      <c r="C3583" s="17" t="s">
        <v>2</v>
      </c>
      <c r="D358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3" s="7">
        <v>458.25</v>
      </c>
      <c r="F3583" s="6">
        <v>4.9000000000000004</v>
      </c>
      <c r="G3583" s="6">
        <v>49.8</v>
      </c>
      <c r="I3583" s="28"/>
    </row>
    <row r="3584" spans="2:9" x14ac:dyDescent="0.35">
      <c r="B3584" s="4">
        <v>46062</v>
      </c>
      <c r="C3584" s="17" t="s">
        <v>4</v>
      </c>
      <c r="D358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4" s="7">
        <v>67.56</v>
      </c>
      <c r="F3584" s="6">
        <v>9.6</v>
      </c>
      <c r="G3584" s="6">
        <v>48.1</v>
      </c>
      <c r="I3584" s="28"/>
    </row>
    <row r="3585" spans="2:9" x14ac:dyDescent="0.35">
      <c r="B3585" s="4">
        <v>46063</v>
      </c>
      <c r="C3585" s="17" t="s">
        <v>3</v>
      </c>
      <c r="D358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5" s="7">
        <v>72.84</v>
      </c>
      <c r="F3585" s="6">
        <v>2.5</v>
      </c>
      <c r="G3585" s="6">
        <v>52.8</v>
      </c>
      <c r="I3585" s="28"/>
    </row>
    <row r="3586" spans="2:9" x14ac:dyDescent="0.35">
      <c r="B3586" s="4">
        <v>46063</v>
      </c>
      <c r="C3586" s="17" t="s">
        <v>2</v>
      </c>
      <c r="D358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6" s="7">
        <v>420.04</v>
      </c>
      <c r="F3586" s="6">
        <v>0.68</v>
      </c>
      <c r="G3586" s="6">
        <v>54</v>
      </c>
      <c r="I3586" s="28"/>
    </row>
    <row r="3587" spans="2:9" x14ac:dyDescent="0.35">
      <c r="B3587" s="4">
        <v>46063</v>
      </c>
      <c r="C3587" s="17" t="s">
        <v>4</v>
      </c>
      <c r="D358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7" s="7">
        <v>146.79</v>
      </c>
      <c r="F3587" s="6">
        <v>1.3</v>
      </c>
      <c r="G3587" s="6">
        <v>53.9</v>
      </c>
      <c r="I3587" s="28"/>
    </row>
    <row r="3588" spans="2:9" x14ac:dyDescent="0.35">
      <c r="B3588" s="4">
        <v>46063</v>
      </c>
      <c r="C3588" s="17" t="s">
        <v>6</v>
      </c>
      <c r="D358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8" s="7">
        <v>187.3</v>
      </c>
      <c r="F3588" s="6">
        <v>2.19</v>
      </c>
      <c r="G3588" s="6">
        <v>53.6</v>
      </c>
      <c r="I3588" s="28"/>
    </row>
    <row r="3589" spans="2:9" x14ac:dyDescent="0.35">
      <c r="B3589" s="4">
        <v>46064</v>
      </c>
      <c r="C3589" s="17" t="s">
        <v>3</v>
      </c>
      <c r="D358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89" s="7">
        <v>90.44</v>
      </c>
      <c r="F3589" s="6">
        <v>5.0999999999999996</v>
      </c>
      <c r="G3589" s="6">
        <v>50.1</v>
      </c>
      <c r="I3589" s="28"/>
    </row>
    <row r="3590" spans="2:9" x14ac:dyDescent="0.35">
      <c r="B3590" s="4">
        <v>46064</v>
      </c>
      <c r="C3590" s="17" t="s">
        <v>2</v>
      </c>
      <c r="D359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0" s="7">
        <v>492.84</v>
      </c>
      <c r="F3590" s="6">
        <v>0.94</v>
      </c>
      <c r="G3590" s="6">
        <v>52.6</v>
      </c>
      <c r="I3590" s="28"/>
    </row>
    <row r="3591" spans="2:9" x14ac:dyDescent="0.35">
      <c r="B3591" s="4">
        <v>46064</v>
      </c>
      <c r="C3591" s="17" t="s">
        <v>4</v>
      </c>
      <c r="D359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1" s="7">
        <v>72.97</v>
      </c>
      <c r="F3591" s="6">
        <v>2.7</v>
      </c>
      <c r="G3591" s="6">
        <v>52.5</v>
      </c>
      <c r="I3591" s="28"/>
    </row>
    <row r="3592" spans="2:9" x14ac:dyDescent="0.35">
      <c r="B3592" s="4">
        <v>46065</v>
      </c>
      <c r="C3592" s="17" t="s">
        <v>3</v>
      </c>
      <c r="D3592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2" s="7">
        <v>51.47</v>
      </c>
      <c r="F3592" s="6">
        <v>1.5</v>
      </c>
      <c r="G3592" s="6">
        <v>53.2</v>
      </c>
      <c r="I3592" s="28"/>
    </row>
    <row r="3593" spans="2:9" x14ac:dyDescent="0.35">
      <c r="B3593" s="4">
        <v>46065</v>
      </c>
      <c r="C3593" s="17" t="s">
        <v>2</v>
      </c>
      <c r="D359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3" s="7">
        <v>476.33</v>
      </c>
      <c r="F3593" s="6">
        <v>1.3</v>
      </c>
      <c r="G3593" s="6">
        <v>53.4</v>
      </c>
      <c r="I3593" s="28"/>
    </row>
    <row r="3594" spans="2:9" x14ac:dyDescent="0.35">
      <c r="B3594" s="4">
        <v>46065</v>
      </c>
      <c r="C3594" s="17" t="s">
        <v>4</v>
      </c>
      <c r="D359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4" s="7">
        <v>89.7</v>
      </c>
      <c r="F3594" s="6">
        <v>4.7</v>
      </c>
      <c r="G3594" s="6">
        <v>51.2</v>
      </c>
      <c r="I3594" s="28"/>
    </row>
    <row r="3595" spans="2:9" x14ac:dyDescent="0.35">
      <c r="B3595" s="4">
        <v>46066</v>
      </c>
      <c r="C3595" s="17" t="s">
        <v>3</v>
      </c>
      <c r="D359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5" s="7">
        <v>88.38</v>
      </c>
      <c r="F3595" s="6">
        <v>2.7</v>
      </c>
      <c r="G3595" s="6">
        <v>52</v>
      </c>
      <c r="I3595" s="28"/>
    </row>
    <row r="3596" spans="2:9" x14ac:dyDescent="0.35">
      <c r="B3596" s="4">
        <v>46066</v>
      </c>
      <c r="C3596" s="17" t="s">
        <v>2</v>
      </c>
      <c r="D359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6" s="7">
        <v>449.96</v>
      </c>
      <c r="F3596" s="6">
        <v>0.34</v>
      </c>
      <c r="G3596" s="6">
        <v>54.3</v>
      </c>
      <c r="I3596" s="28"/>
    </row>
    <row r="3597" spans="2:9" x14ac:dyDescent="0.35">
      <c r="B3597" s="4">
        <v>46066</v>
      </c>
      <c r="C3597" s="17" t="s">
        <v>4</v>
      </c>
      <c r="D3597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7" s="7">
        <v>74.14</v>
      </c>
      <c r="F3597" s="6">
        <v>6.9</v>
      </c>
      <c r="G3597" s="6">
        <v>49.2</v>
      </c>
      <c r="I3597" s="28"/>
    </row>
    <row r="3598" spans="2:9" x14ac:dyDescent="0.35">
      <c r="B3598" s="4">
        <v>46066</v>
      </c>
      <c r="C3598" s="17" t="s">
        <v>6</v>
      </c>
      <c r="D3598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8" s="7">
        <v>82.04</v>
      </c>
      <c r="F3598" s="6">
        <v>2.8</v>
      </c>
      <c r="G3598" s="6">
        <v>53.6</v>
      </c>
      <c r="I3598" s="28"/>
    </row>
    <row r="3599" spans="2:9" x14ac:dyDescent="0.35">
      <c r="B3599" s="4">
        <v>46067</v>
      </c>
      <c r="C3599" s="17" t="s">
        <v>3</v>
      </c>
      <c r="D3599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599" s="7">
        <v>22.22</v>
      </c>
      <c r="F3599" s="6">
        <v>2.1</v>
      </c>
      <c r="G3599" s="6">
        <v>53.2</v>
      </c>
      <c r="I3599" s="28">
        <f>ING_PRV[[#This Row],[TONC]]/1000</f>
        <v>2.222E-2</v>
      </c>
    </row>
    <row r="3600" spans="2:9" x14ac:dyDescent="0.35">
      <c r="B3600" s="4">
        <v>46067</v>
      </c>
      <c r="C3600" s="17" t="s">
        <v>2</v>
      </c>
      <c r="D3600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600" s="7">
        <v>296.14999999999998</v>
      </c>
      <c r="F3600" s="6">
        <v>1.49</v>
      </c>
      <c r="G3600" s="6">
        <v>53.5</v>
      </c>
      <c r="I3600" s="28">
        <f>ING_PRV[[#This Row],[TONC]]/1000</f>
        <v>0.29614999999999997</v>
      </c>
    </row>
    <row r="3601" spans="2:9" x14ac:dyDescent="0.35">
      <c r="B3601" s="4">
        <v>46067</v>
      </c>
      <c r="C3601" s="17" t="s">
        <v>6</v>
      </c>
      <c r="D3601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601" s="7">
        <v>328.83</v>
      </c>
      <c r="F3601" s="6">
        <v>2.02</v>
      </c>
      <c r="G3601" s="6">
        <v>53.7</v>
      </c>
      <c r="I3601" s="28">
        <f>ING_PRV[[#This Row],[TONC]]/1000</f>
        <v>0.32883000000000001</v>
      </c>
    </row>
    <row r="3602" spans="2:9" x14ac:dyDescent="0.35">
      <c r="B3602" s="4">
        <v>46067</v>
      </c>
      <c r="C3602" s="17" t="s">
        <v>18</v>
      </c>
      <c r="D3602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602" s="7">
        <v>286</v>
      </c>
      <c r="F3602" s="6">
        <v>1.93</v>
      </c>
      <c r="G3602" s="6">
        <v>53.6</v>
      </c>
      <c r="I3602" s="28">
        <f>ING_PRV[[#This Row],[TONC]]/1000</f>
        <v>0.28599999999999998</v>
      </c>
    </row>
    <row r="3603" spans="2:9" x14ac:dyDescent="0.35">
      <c r="B3603" s="4">
        <v>46069</v>
      </c>
      <c r="C3603" s="17" t="s">
        <v>3</v>
      </c>
      <c r="D3603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603" s="7">
        <v>67.3</v>
      </c>
      <c r="F3603" s="6">
        <v>3</v>
      </c>
      <c r="G3603" s="6">
        <v>51.8</v>
      </c>
      <c r="I3603" s="28">
        <f>ING_PRV[[#This Row],[TONC]]/1000</f>
        <v>6.7299999999999999E-2</v>
      </c>
    </row>
    <row r="3604" spans="2:9" x14ac:dyDescent="0.35">
      <c r="B3604" s="4">
        <v>46069</v>
      </c>
      <c r="C3604" s="17" t="s">
        <v>2</v>
      </c>
      <c r="D3604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604" s="7">
        <v>186.58</v>
      </c>
      <c r="F3604" s="6">
        <v>0.16</v>
      </c>
      <c r="G3604" s="6">
        <v>54.6</v>
      </c>
      <c r="I3604" s="28">
        <f>ING_PRV[[#This Row],[TONC]]/1000</f>
        <v>0.18658000000000002</v>
      </c>
    </row>
    <row r="3605" spans="2:9" x14ac:dyDescent="0.35">
      <c r="B3605" s="4">
        <v>46069</v>
      </c>
      <c r="C3605" s="17" t="s">
        <v>6</v>
      </c>
      <c r="D3605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605" s="7">
        <v>90.41</v>
      </c>
      <c r="F3605" s="6">
        <v>1.9</v>
      </c>
      <c r="G3605" s="6">
        <v>53.9</v>
      </c>
      <c r="I3605" s="28">
        <f>ING_PRV[[#This Row],[TONC]]/1000</f>
        <v>9.040999999999999E-2</v>
      </c>
    </row>
    <row r="3606" spans="2:9" x14ac:dyDescent="0.35">
      <c r="B3606" s="4">
        <v>46069</v>
      </c>
      <c r="C3606" s="17" t="s">
        <v>4</v>
      </c>
      <c r="D3606" s="17" t="str">
        <f>IF(ISNUMBER(MATCH(ING_PRV[[#This Row],[Proveedor]],PARAMETROS!$A$2:$A$8,0)),"COMPRADA",
                    IF(ISNUMBER(MATCH(ING_PRV[[#This Row],[Proveedor]],PARAMETROS!$B$2:$B$8,0)),"PROPIA","NA")
)</f>
        <v>COMPRADA</v>
      </c>
      <c r="E3606" s="7">
        <v>52.64</v>
      </c>
      <c r="F3606" s="6">
        <v>1.7</v>
      </c>
      <c r="G3606" s="6">
        <v>53.9</v>
      </c>
      <c r="I3606" s="28">
        <f>ING_PRV[[#This Row],[TONC]]/1000</f>
        <v>5.2639999999999999E-2</v>
      </c>
    </row>
    <row r="3607" spans="2:9" x14ac:dyDescent="0.35">
      <c r="B3607" s="4">
        <v>46069</v>
      </c>
      <c r="C3607" s="17" t="s">
        <v>18</v>
      </c>
      <c r="D3607" s="17" t="str">
        <f>IF(ISNUMBER(MATCH(ING_PRV[[#This Row],[Proveedor]],PARAMETROS!$A$2:$A$8,0)),"COMPRADA",
                    IF(ISNUMBER(MATCH(ING_PRV[[#This Row],[Proveedor]],PARAMETROS!$B$2:$B$8,0)),"PROPIA","NA")
)</f>
        <v>PROPIA</v>
      </c>
      <c r="E3607" s="7">
        <v>301.60000000000002</v>
      </c>
      <c r="F3607" s="6">
        <v>1.93</v>
      </c>
      <c r="G3607" s="6">
        <v>53.6</v>
      </c>
      <c r="I3607" s="28">
        <f>ING_PRV[[#This Row],[TONC]]/1000</f>
        <v>0.30160000000000003</v>
      </c>
    </row>
    <row r="3608" spans="2:9" x14ac:dyDescent="0.35">
      <c r="I3608" s="28"/>
    </row>
    <row r="3609" spans="2:9" x14ac:dyDescent="0.35">
      <c r="I3609" s="28"/>
    </row>
  </sheetData>
  <autoFilter ref="K8:K125" xr:uid="{1A8DAC8F-BE24-48CE-B3D5-C4467FEB9034}"/>
  <conditionalFormatting sqref="I1 H2 H416:H3607 I3610:I1048576">
    <cfRule type="cellIs" dxfId="0" priority="1" operator="greaterThan">
      <formula>2.8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4855-C8CA-4EBD-8B02-5DE1F3033648}">
  <dimension ref="A1:Q1263"/>
  <sheetViews>
    <sheetView showGridLines="0" tabSelected="1" topLeftCell="I1" zoomScale="71" workbookViewId="0">
      <selection activeCell="AB9" sqref="AB9"/>
    </sheetView>
  </sheetViews>
  <sheetFormatPr baseColWidth="10" defaultRowHeight="14.5" x14ac:dyDescent="0.35"/>
  <cols>
    <col min="1" max="1" width="12.7265625" customWidth="1"/>
    <col min="2" max="2" width="11.54296875" customWidth="1"/>
    <col min="8" max="8" width="14.453125" customWidth="1"/>
    <col min="9" max="9" width="20.453125" customWidth="1"/>
    <col min="10" max="10" width="11.1796875" customWidth="1"/>
    <col min="11" max="11" width="11.81640625" bestFit="1" customWidth="1"/>
    <col min="12" max="12" width="16.54296875" bestFit="1" customWidth="1"/>
    <col min="13" max="13" width="13.1796875" bestFit="1" customWidth="1"/>
    <col min="14" max="14" width="14.1796875" bestFit="1" customWidth="1"/>
    <col min="16" max="16" width="10.54296875" customWidth="1"/>
    <col min="17" max="17" width="14" bestFit="1" customWidth="1"/>
    <col min="18" max="18" width="15" bestFit="1" customWidth="1"/>
    <col min="19" max="19" width="15.453125" customWidth="1"/>
  </cols>
  <sheetData>
    <row r="1" spans="1:17" x14ac:dyDescent="0.35">
      <c r="A1" s="59" t="s">
        <v>0</v>
      </c>
      <c r="B1" s="59" t="s">
        <v>1</v>
      </c>
      <c r="C1" s="59" t="s">
        <v>28</v>
      </c>
      <c r="D1" s="59" t="s">
        <v>23</v>
      </c>
      <c r="E1" s="59" t="s">
        <v>24</v>
      </c>
      <c r="F1" s="59" t="s">
        <v>25</v>
      </c>
      <c r="G1" s="59" t="s">
        <v>30</v>
      </c>
      <c r="I1" s="27" t="s">
        <v>40</v>
      </c>
      <c r="J1" s="74">
        <f>SUMPRODUCT(VERIF[TONC],VERIF[%SiO2])/SUM(VERIF[TONC])</f>
        <v>2.0681207058140476</v>
      </c>
      <c r="L1" s="77" t="s">
        <v>45</v>
      </c>
      <c r="M1" s="78" t="s">
        <v>46</v>
      </c>
      <c r="N1" s="78" t="s">
        <v>50</v>
      </c>
      <c r="O1" s="78" t="s">
        <v>47</v>
      </c>
      <c r="P1" s="78" t="s">
        <v>44</v>
      </c>
      <c r="Q1" s="79" t="s">
        <v>48</v>
      </c>
    </row>
    <row r="2" spans="1:17" x14ac:dyDescent="0.35">
      <c r="A2" s="45">
        <v>45824</v>
      </c>
      <c r="B2" s="29" t="s">
        <v>5</v>
      </c>
      <c r="C2" s="29" t="s">
        <v>26</v>
      </c>
      <c r="D2" s="30">
        <v>35.130000000000003</v>
      </c>
      <c r="E2" s="31">
        <v>0</v>
      </c>
      <c r="F2" s="51">
        <v>54.554254193868275</v>
      </c>
      <c r="G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I2" s="27" t="s">
        <v>41</v>
      </c>
      <c r="J2" s="75" cm="1">
        <f t="array" ref="J2">SQRT(SUMPRODUCT(VERIF[TONC],(VERIF[%SiO2]-$J$1)^2)/SUM(VERIF[TONC]))</f>
        <v>1.9972473283371688</v>
      </c>
      <c r="L2" s="80">
        <v>0</v>
      </c>
      <c r="M2" s="81">
        <f>+L2+$J$4</f>
        <v>0.81</v>
      </c>
      <c r="N2" s="81" t="str">
        <f>CONCATENATE(L2,"-",M2)</f>
        <v>0-0,81</v>
      </c>
      <c r="O2" s="71">
        <f>SUMIFS(VERIF[TONC],VERIF[%SiO2],"&gt;="&amp;L2,VERIF[%SiO2],"&lt;"&amp;M2)</f>
        <v>64585.701333333331</v>
      </c>
      <c r="P2" s="82">
        <f>O2/$J$5</f>
        <v>0.24950249577757114</v>
      </c>
      <c r="Q2" s="83">
        <f>P2</f>
        <v>0.24950249577757114</v>
      </c>
    </row>
    <row r="3" spans="1:17" x14ac:dyDescent="0.35">
      <c r="A3" s="46">
        <v>45862</v>
      </c>
      <c r="B3" s="32" t="s">
        <v>2</v>
      </c>
      <c r="C3" s="32" t="s">
        <v>26</v>
      </c>
      <c r="D3" s="33">
        <v>384.35</v>
      </c>
      <c r="E3" s="34">
        <v>0</v>
      </c>
      <c r="F3" s="35">
        <v>54.970316121336054</v>
      </c>
      <c r="G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I3" s="27" t="s">
        <v>42</v>
      </c>
      <c r="J3" s="26">
        <f>ROUNDUP(1+LOG(COUNT(VERIF[%SiO2]),2),0)</f>
        <v>12</v>
      </c>
      <c r="L3" s="84">
        <f>M2</f>
        <v>0.81</v>
      </c>
      <c r="M3" s="81">
        <f>+L3+$J$4</f>
        <v>1.62</v>
      </c>
      <c r="N3" s="81" t="str">
        <f t="shared" ref="N3:N15" si="0">CONCATENATE(L3,"-",M3)</f>
        <v>0,81-1,62</v>
      </c>
      <c r="O3" s="71">
        <f>SUMIFS(VERIF[TONC],VERIF[%SiO2],"&gt;="&amp;L3,VERIF[%SiO2],"&lt;"&amp;M3)</f>
        <v>59560.701333333367</v>
      </c>
      <c r="P3" s="82">
        <f t="shared" ref="P3:P15" si="1">O3/$J$5</f>
        <v>0.23009030367623351</v>
      </c>
      <c r="Q3" s="83">
        <f>P3+Q2</f>
        <v>0.47959279945380462</v>
      </c>
    </row>
    <row r="4" spans="1:17" x14ac:dyDescent="0.35">
      <c r="A4" s="45">
        <v>45878</v>
      </c>
      <c r="B4" s="39" t="s">
        <v>5</v>
      </c>
      <c r="C4" s="39" t="s">
        <v>26</v>
      </c>
      <c r="D4" s="30">
        <v>34.380000000000003</v>
      </c>
      <c r="E4" s="31">
        <v>0</v>
      </c>
      <c r="F4" s="51">
        <v>54.816079346557764</v>
      </c>
      <c r="G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I4" s="27" t="s">
        <v>43</v>
      </c>
      <c r="J4" s="75">
        <f>ROUND((_xlfn.MAXIFS(VERIF[%SiO2],VERIF[%SiO2],"&lt;10")-MIN(VERIF[%SiO2]))/J3,2)</f>
        <v>0.81</v>
      </c>
      <c r="L4" s="84">
        <f t="shared" ref="L4:L13" si="2">M3</f>
        <v>1.62</v>
      </c>
      <c r="M4" s="81">
        <f t="shared" ref="M4:M13" si="3">+L4+$J$4</f>
        <v>2.4300000000000002</v>
      </c>
      <c r="N4" s="81" t="str">
        <f t="shared" si="0"/>
        <v>1,62-2,43</v>
      </c>
      <c r="O4" s="71">
        <f>SUMIFS(VERIF[TONC],VERIF[%SiO2],"&gt;="&amp;L4,VERIF[%SiO2],"&lt;"&amp;M4)</f>
        <v>59396.086333333355</v>
      </c>
      <c r="P4" s="82">
        <f t="shared" si="1"/>
        <v>0.22945437571548485</v>
      </c>
      <c r="Q4" s="83">
        <f t="shared" ref="Q4:Q15" si="4">P4+Q3</f>
        <v>0.7090471751692895</v>
      </c>
    </row>
    <row r="5" spans="1:17" x14ac:dyDescent="0.35">
      <c r="A5" s="45">
        <v>45884</v>
      </c>
      <c r="B5" s="39" t="s">
        <v>2</v>
      </c>
      <c r="C5" s="39" t="s">
        <v>26</v>
      </c>
      <c r="D5" s="30">
        <v>375.43</v>
      </c>
      <c r="E5" s="31">
        <v>0.01</v>
      </c>
      <c r="F5" s="36">
        <v>54.449209713761164</v>
      </c>
      <c r="G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I5" s="27" t="s">
        <v>49</v>
      </c>
      <c r="J5" s="76">
        <f>SUM(VERIF[TONC])</f>
        <v>258857.93700000021</v>
      </c>
      <c r="L5" s="84">
        <f t="shared" si="2"/>
        <v>2.4300000000000002</v>
      </c>
      <c r="M5" s="81">
        <f t="shared" si="3"/>
        <v>3.24</v>
      </c>
      <c r="N5" s="81" t="str">
        <f t="shared" si="0"/>
        <v>2,43-3,24</v>
      </c>
      <c r="O5" s="71">
        <f>SUMIFS(VERIF[TONC],VERIF[%SiO2],"&gt;="&amp;L5,VERIF[%SiO2],"&lt;"&amp;M5)</f>
        <v>32800.031000000003</v>
      </c>
      <c r="P5" s="82">
        <f t="shared" si="1"/>
        <v>0.12671054780136015</v>
      </c>
      <c r="Q5" s="83">
        <f t="shared" si="4"/>
        <v>0.83575772297064965</v>
      </c>
    </row>
    <row r="6" spans="1:17" x14ac:dyDescent="0.35">
      <c r="A6" s="45">
        <v>45930</v>
      </c>
      <c r="B6" s="39" t="s">
        <v>2</v>
      </c>
      <c r="C6" s="39" t="s">
        <v>26</v>
      </c>
      <c r="D6" s="30">
        <v>397.1</v>
      </c>
      <c r="E6" s="29">
        <v>0.01</v>
      </c>
      <c r="F6" s="29">
        <v>54.1</v>
      </c>
      <c r="G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6" s="84">
        <f t="shared" si="2"/>
        <v>3.24</v>
      </c>
      <c r="M6" s="81">
        <f t="shared" si="3"/>
        <v>4.0500000000000007</v>
      </c>
      <c r="N6" s="81" t="str">
        <f t="shared" si="0"/>
        <v>3,24-4,05</v>
      </c>
      <c r="O6" s="71">
        <f>SUMIFS(VERIF[TONC],VERIF[%SiO2],"&gt;="&amp;L6,VERIF[%SiO2],"&lt;"&amp;M6)</f>
        <v>19502.747000000003</v>
      </c>
      <c r="P6" s="82">
        <f t="shared" si="1"/>
        <v>7.5341506719958082E-2</v>
      </c>
      <c r="Q6" s="83">
        <f t="shared" si="4"/>
        <v>0.91109922969060775</v>
      </c>
    </row>
    <row r="7" spans="1:17" x14ac:dyDescent="0.35">
      <c r="A7" s="46">
        <v>45941</v>
      </c>
      <c r="B7" s="40" t="s">
        <v>5</v>
      </c>
      <c r="C7" s="40" t="s">
        <v>26</v>
      </c>
      <c r="D7" s="33">
        <v>33.130000000000003</v>
      </c>
      <c r="E7" s="42">
        <v>0.01</v>
      </c>
      <c r="F7" s="56">
        <v>55.142962687184578</v>
      </c>
      <c r="G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7" s="84">
        <f t="shared" si="2"/>
        <v>4.0500000000000007</v>
      </c>
      <c r="M7" s="81">
        <f t="shared" si="3"/>
        <v>4.8600000000000012</v>
      </c>
      <c r="N7" s="81" t="str">
        <f t="shared" si="0"/>
        <v>4,05-4,86</v>
      </c>
      <c r="O7" s="71">
        <f>SUMIFS(VERIF[TONC],VERIF[%SiO2],"&gt;="&amp;L7,VERIF[%SiO2],"&lt;"&amp;M7)</f>
        <v>9075.3299999999981</v>
      </c>
      <c r="P7" s="82">
        <f t="shared" si="1"/>
        <v>3.505911429712117E-2</v>
      </c>
      <c r="Q7" s="83">
        <f t="shared" si="4"/>
        <v>0.94615834398772891</v>
      </c>
    </row>
    <row r="8" spans="1:17" x14ac:dyDescent="0.35">
      <c r="A8" s="45">
        <v>45944</v>
      </c>
      <c r="B8" s="39" t="s">
        <v>5</v>
      </c>
      <c r="C8" s="39" t="s">
        <v>26</v>
      </c>
      <c r="D8" s="30">
        <v>34.15</v>
      </c>
      <c r="E8" s="41">
        <v>0.01</v>
      </c>
      <c r="F8" s="55">
        <v>55.142962687184578</v>
      </c>
      <c r="G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8" s="84">
        <f t="shared" si="2"/>
        <v>4.8600000000000012</v>
      </c>
      <c r="M8" s="81">
        <f t="shared" si="3"/>
        <v>5.6700000000000017</v>
      </c>
      <c r="N8" s="81" t="str">
        <f t="shared" si="0"/>
        <v>4,86-5,67</v>
      </c>
      <c r="O8" s="71">
        <f>SUMIFS(VERIF[TONC],VERIF[%SiO2],"&gt;="&amp;L8,VERIF[%SiO2],"&lt;"&amp;M8)</f>
        <v>4218.232</v>
      </c>
      <c r="P8" s="82">
        <f t="shared" si="1"/>
        <v>1.6295548241196084E-2</v>
      </c>
      <c r="Q8" s="83">
        <f t="shared" si="4"/>
        <v>0.96245389222892497</v>
      </c>
    </row>
    <row r="9" spans="1:17" x14ac:dyDescent="0.35">
      <c r="A9" s="46">
        <v>45975</v>
      </c>
      <c r="B9" s="40" t="s">
        <v>2</v>
      </c>
      <c r="C9" s="40" t="s">
        <v>26</v>
      </c>
      <c r="D9" s="33">
        <v>390.41</v>
      </c>
      <c r="E9" s="42">
        <v>0.03</v>
      </c>
      <c r="F9" s="43">
        <v>54.090764265221544</v>
      </c>
      <c r="G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9" s="84">
        <f t="shared" si="2"/>
        <v>5.6700000000000017</v>
      </c>
      <c r="M9" s="81">
        <f t="shared" si="3"/>
        <v>6.4800000000000022</v>
      </c>
      <c r="N9" s="81" t="str">
        <f t="shared" si="0"/>
        <v>5,67-6,48</v>
      </c>
      <c r="O9" s="71">
        <f>SUMIFS(VERIF[TONC],VERIF[%SiO2],"&gt;="&amp;L9,VERIF[%SiO2],"&lt;"&amp;M9)</f>
        <v>3148.1210000000005</v>
      </c>
      <c r="P9" s="82">
        <f t="shared" si="1"/>
        <v>1.2161578031891671E-2</v>
      </c>
      <c r="Q9" s="83">
        <f t="shared" si="4"/>
        <v>0.97461547026081663</v>
      </c>
    </row>
    <row r="10" spans="1:17" x14ac:dyDescent="0.35">
      <c r="A10" s="45">
        <v>46001</v>
      </c>
      <c r="B10" s="39" t="s">
        <v>2</v>
      </c>
      <c r="C10" s="39" t="s">
        <v>26</v>
      </c>
      <c r="D10" s="30">
        <v>544.54</v>
      </c>
      <c r="E10" s="29">
        <v>0.03</v>
      </c>
      <c r="F10" s="29">
        <v>55</v>
      </c>
      <c r="G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10" s="84">
        <f>M9</f>
        <v>6.4800000000000022</v>
      </c>
      <c r="M10" s="81">
        <f>+L10+$J$4</f>
        <v>7.2900000000000027</v>
      </c>
      <c r="N10" s="81" t="str">
        <f t="shared" si="0"/>
        <v>6,48-7,29</v>
      </c>
      <c r="O10" s="71">
        <f>SUMIFS(VERIF[TONC],VERIF[%SiO2],"&gt;="&amp;L10,VERIF[%SiO2],"&lt;"&amp;M10)</f>
        <v>1287.5700000000002</v>
      </c>
      <c r="P10" s="82">
        <f t="shared" si="1"/>
        <v>4.9740410316257725E-3</v>
      </c>
      <c r="Q10" s="83">
        <f t="shared" si="4"/>
        <v>0.97958951129244243</v>
      </c>
    </row>
    <row r="11" spans="1:17" x14ac:dyDescent="0.35">
      <c r="A11" s="46">
        <v>45828</v>
      </c>
      <c r="B11" s="32" t="s">
        <v>2</v>
      </c>
      <c r="C11" s="32" t="s">
        <v>26</v>
      </c>
      <c r="D11" s="33">
        <v>898.45</v>
      </c>
      <c r="E11" s="34">
        <v>0.04</v>
      </c>
      <c r="F11" s="35">
        <v>55.201063776781268</v>
      </c>
      <c r="G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11" s="84">
        <f t="shared" si="2"/>
        <v>7.2900000000000027</v>
      </c>
      <c r="M11" s="81">
        <f t="shared" si="3"/>
        <v>8.1000000000000032</v>
      </c>
      <c r="N11" s="81" t="str">
        <f t="shared" si="0"/>
        <v>7,29-8,1</v>
      </c>
      <c r="O11" s="71">
        <f>SUMIFS(VERIF[TONC],VERIF[%SiO2],"&gt;="&amp;L11,VERIF[%SiO2],"&lt;"&amp;M11)</f>
        <v>537.59</v>
      </c>
      <c r="P11" s="82">
        <f t="shared" si="1"/>
        <v>2.0767761894046138E-3</v>
      </c>
      <c r="Q11" s="83">
        <f t="shared" si="4"/>
        <v>0.98166628748184703</v>
      </c>
    </row>
    <row r="12" spans="1:17" x14ac:dyDescent="0.35">
      <c r="A12" s="45">
        <v>45848</v>
      </c>
      <c r="B12" s="29" t="s">
        <v>2</v>
      </c>
      <c r="C12" s="29" t="s">
        <v>26</v>
      </c>
      <c r="D12" s="30">
        <v>334.71</v>
      </c>
      <c r="E12" s="31">
        <v>0.04</v>
      </c>
      <c r="F12" s="36">
        <v>54.726379121280793</v>
      </c>
      <c r="G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12" s="84">
        <f>M11</f>
        <v>8.1000000000000032</v>
      </c>
      <c r="M12" s="81">
        <f>+L12+$J$4</f>
        <v>8.9100000000000037</v>
      </c>
      <c r="N12" s="81" t="str">
        <f t="shared" si="0"/>
        <v>8,1-8,91</v>
      </c>
      <c r="O12" s="71">
        <f>SUMIFS(VERIF[TONC],VERIF[%SiO2],"&gt;="&amp;L12,VERIF[%SiO2],"&lt;"&amp;M12)</f>
        <v>1391.973</v>
      </c>
      <c r="P12" s="82">
        <f t="shared" si="1"/>
        <v>5.3773626419652675E-3</v>
      </c>
      <c r="Q12" s="83">
        <f t="shared" si="4"/>
        <v>0.98704365012381234</v>
      </c>
    </row>
    <row r="13" spans="1:17" x14ac:dyDescent="0.35">
      <c r="A13" s="45">
        <v>45966</v>
      </c>
      <c r="B13" s="39" t="s">
        <v>5</v>
      </c>
      <c r="C13" s="39" t="s">
        <v>26</v>
      </c>
      <c r="D13" s="30">
        <v>192.46</v>
      </c>
      <c r="E13" s="41">
        <v>0.04</v>
      </c>
      <c r="F13" s="55">
        <v>54.878670886075945</v>
      </c>
      <c r="G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13" s="84">
        <f t="shared" si="2"/>
        <v>8.9100000000000037</v>
      </c>
      <c r="M13" s="81">
        <f t="shared" si="3"/>
        <v>9.7200000000000042</v>
      </c>
      <c r="N13" s="81" t="str">
        <f t="shared" si="0"/>
        <v>8,91-9,72</v>
      </c>
      <c r="O13" s="71">
        <f>SUMIFS(VERIF[TONC],VERIF[%SiO2],"&gt;="&amp;L13,VERIF[%SiO2],"&lt;"&amp;M13)</f>
        <v>387.28199999999998</v>
      </c>
      <c r="P13" s="82">
        <f t="shared" si="1"/>
        <v>1.4961179266448363E-3</v>
      </c>
      <c r="Q13" s="83">
        <f t="shared" si="4"/>
        <v>0.98853976805045718</v>
      </c>
    </row>
    <row r="14" spans="1:17" x14ac:dyDescent="0.35">
      <c r="A14" s="46">
        <v>45937</v>
      </c>
      <c r="B14" s="40" t="s">
        <v>5</v>
      </c>
      <c r="C14" s="40" t="s">
        <v>26</v>
      </c>
      <c r="D14" s="33">
        <v>175.65</v>
      </c>
      <c r="E14" s="42">
        <v>0.05</v>
      </c>
      <c r="F14" s="56">
        <v>54.945697131420943</v>
      </c>
      <c r="G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14" s="84">
        <f>M13</f>
        <v>9.7200000000000042</v>
      </c>
      <c r="M14" s="81">
        <f>+L14+$J$4</f>
        <v>10.530000000000005</v>
      </c>
      <c r="N14" s="81" t="str">
        <f t="shared" si="0"/>
        <v>9,72-10,53</v>
      </c>
      <c r="O14" s="71">
        <f>SUMIFS(VERIF[TONC],VERIF[%SiO2],"&gt;="&amp;L14,VERIF[%SiO2],"&lt;"&amp;M14)</f>
        <v>147.92000000000002</v>
      </c>
      <c r="P14" s="82">
        <f t="shared" si="1"/>
        <v>5.7143312549848486E-4</v>
      </c>
      <c r="Q14" s="83">
        <f t="shared" si="4"/>
        <v>0.98911120117595563</v>
      </c>
    </row>
    <row r="15" spans="1:17" ht="15" thickBot="1" x14ac:dyDescent="0.4">
      <c r="A15" s="46">
        <v>45947</v>
      </c>
      <c r="B15" s="40" t="s">
        <v>2</v>
      </c>
      <c r="C15" s="40" t="s">
        <v>26</v>
      </c>
      <c r="D15" s="33">
        <v>428.63</v>
      </c>
      <c r="E15" s="32">
        <v>0.05</v>
      </c>
      <c r="F15" s="32">
        <v>54.9</v>
      </c>
      <c r="G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15" s="85">
        <f>M14</f>
        <v>10.530000000000005</v>
      </c>
      <c r="M15" s="86">
        <v>100</v>
      </c>
      <c r="N15" s="86" t="str">
        <f t="shared" si="0"/>
        <v>10,53-100</v>
      </c>
      <c r="O15" s="87">
        <f>SUMIFS(VERIF[TONC],VERIF[%SiO2],"&gt;="&amp;L15,VERIF[%SiO2],"&lt;"&amp;M15)</f>
        <v>2818.6519999999996</v>
      </c>
      <c r="P15" s="88">
        <f t="shared" si="1"/>
        <v>1.0888798824043774E-2</v>
      </c>
      <c r="Q15" s="89">
        <f t="shared" si="4"/>
        <v>0.99999999999999944</v>
      </c>
    </row>
    <row r="16" spans="1:17" x14ac:dyDescent="0.35">
      <c r="A16" s="46">
        <v>46002</v>
      </c>
      <c r="B16" s="40" t="s">
        <v>2</v>
      </c>
      <c r="C16" s="40" t="s">
        <v>26</v>
      </c>
      <c r="D16" s="33">
        <v>439.52</v>
      </c>
      <c r="E16" s="32">
        <v>0.05</v>
      </c>
      <c r="F16" s="32">
        <v>55.1</v>
      </c>
      <c r="G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" spans="1:14" x14ac:dyDescent="0.35">
      <c r="A17" s="45">
        <v>45853</v>
      </c>
      <c r="B17" s="29" t="s">
        <v>2</v>
      </c>
      <c r="C17" s="29" t="s">
        <v>26</v>
      </c>
      <c r="D17" s="30">
        <v>285.3</v>
      </c>
      <c r="E17" s="31">
        <v>0.06</v>
      </c>
      <c r="F17" s="36">
        <v>53.251388980534472</v>
      </c>
      <c r="G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" spans="1:14" x14ac:dyDescent="0.35">
      <c r="A18" s="45">
        <v>45821</v>
      </c>
      <c r="B18" s="29" t="s">
        <v>5</v>
      </c>
      <c r="C18" s="29" t="s">
        <v>26</v>
      </c>
      <c r="D18" s="30">
        <v>108.51</v>
      </c>
      <c r="E18" s="31">
        <v>7.0000000000000007E-2</v>
      </c>
      <c r="F18" s="51">
        <v>53.952069305304647</v>
      </c>
      <c r="G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" spans="1:14" x14ac:dyDescent="0.35">
      <c r="A19" s="45">
        <v>45968</v>
      </c>
      <c r="B19" s="39" t="s">
        <v>2</v>
      </c>
      <c r="C19" s="39" t="s">
        <v>26</v>
      </c>
      <c r="D19" s="30">
        <v>95.19</v>
      </c>
      <c r="E19" s="29">
        <v>7.0000000000000007E-2</v>
      </c>
      <c r="F19" s="29">
        <v>54.8</v>
      </c>
      <c r="G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" spans="1:14" x14ac:dyDescent="0.35">
      <c r="A20" s="46">
        <v>45828</v>
      </c>
      <c r="B20" s="32" t="s">
        <v>5</v>
      </c>
      <c r="C20" s="32" t="s">
        <v>26</v>
      </c>
      <c r="D20" s="33">
        <v>109.56</v>
      </c>
      <c r="E20" s="34">
        <v>0.08</v>
      </c>
      <c r="F20" s="52">
        <v>54.581739130434784</v>
      </c>
      <c r="G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20" s="65" t="s">
        <v>32</v>
      </c>
      <c r="M20" t="s">
        <v>38</v>
      </c>
      <c r="N20" t="s">
        <v>39</v>
      </c>
    </row>
    <row r="21" spans="1:14" x14ac:dyDescent="0.35">
      <c r="A21" s="46">
        <v>45832</v>
      </c>
      <c r="B21" s="32" t="s">
        <v>5</v>
      </c>
      <c r="C21" s="32" t="s">
        <v>26</v>
      </c>
      <c r="D21" s="33">
        <v>138.52000000000001</v>
      </c>
      <c r="E21" s="34">
        <v>0.08</v>
      </c>
      <c r="F21" s="52">
        <v>53.253333333333337</v>
      </c>
      <c r="G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21" s="66" t="s">
        <v>33</v>
      </c>
      <c r="M21" s="67">
        <v>124146.40266666662</v>
      </c>
      <c r="N21" s="69">
        <v>0.47959279945380473</v>
      </c>
    </row>
    <row r="22" spans="1:14" x14ac:dyDescent="0.35">
      <c r="A22" s="45">
        <v>45880</v>
      </c>
      <c r="B22" s="39" t="s">
        <v>2</v>
      </c>
      <c r="C22" s="39" t="s">
        <v>26</v>
      </c>
      <c r="D22" s="30">
        <v>271.04000000000002</v>
      </c>
      <c r="E22" s="31">
        <v>0.08</v>
      </c>
      <c r="F22" s="36">
        <v>54.192832138689781</v>
      </c>
      <c r="G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22" s="66" t="s">
        <v>34</v>
      </c>
      <c r="M22" s="67">
        <v>59396.086333333355</v>
      </c>
      <c r="N22" s="69">
        <v>0.22945437571548502</v>
      </c>
    </row>
    <row r="23" spans="1:14" x14ac:dyDescent="0.35">
      <c r="A23" s="45">
        <v>45973</v>
      </c>
      <c r="B23" s="39" t="s">
        <v>5</v>
      </c>
      <c r="C23" s="39" t="s">
        <v>26</v>
      </c>
      <c r="D23" s="30">
        <v>140.30000000000001</v>
      </c>
      <c r="E23" s="29">
        <v>8.5000000000000006E-2</v>
      </c>
      <c r="F23" s="29">
        <v>54.6</v>
      </c>
      <c r="G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23" s="66" t="s">
        <v>35</v>
      </c>
      <c r="M23" s="67">
        <v>33050.251000000004</v>
      </c>
      <c r="N23" s="69">
        <v>0.12767717838993672</v>
      </c>
    </row>
    <row r="24" spans="1:14" x14ac:dyDescent="0.35">
      <c r="A24" s="46">
        <v>45824</v>
      </c>
      <c r="B24" s="32" t="s">
        <v>2</v>
      </c>
      <c r="C24" s="32" t="s">
        <v>26</v>
      </c>
      <c r="D24" s="33">
        <v>166.62</v>
      </c>
      <c r="E24" s="34">
        <v>0.09</v>
      </c>
      <c r="F24" s="35">
        <v>54.637475360121307</v>
      </c>
      <c r="G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24" s="66" t="s">
        <v>36</v>
      </c>
      <c r="M24" s="67">
        <v>42265.197000000007</v>
      </c>
      <c r="N24" s="68">
        <v>0.16327564644077344</v>
      </c>
    </row>
    <row r="25" spans="1:14" x14ac:dyDescent="0.35">
      <c r="A25" s="46">
        <v>46032</v>
      </c>
      <c r="B25" s="40" t="s">
        <v>2</v>
      </c>
      <c r="C25" s="40" t="s">
        <v>26</v>
      </c>
      <c r="D25" s="33">
        <v>331.22</v>
      </c>
      <c r="E25" s="42">
        <v>9.0950000000000017E-2</v>
      </c>
      <c r="F25" s="58">
        <v>54.962196018115016</v>
      </c>
      <c r="G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L25" s="66" t="s">
        <v>37</v>
      </c>
      <c r="M25">
        <v>258857.93700000001</v>
      </c>
      <c r="N25" s="68">
        <v>1</v>
      </c>
    </row>
    <row r="26" spans="1:14" x14ac:dyDescent="0.35">
      <c r="A26" s="45">
        <v>45808</v>
      </c>
      <c r="B26" s="29" t="s">
        <v>5</v>
      </c>
      <c r="C26" s="29" t="s">
        <v>26</v>
      </c>
      <c r="D26" s="30">
        <v>103.22</v>
      </c>
      <c r="E26" s="31">
        <v>0.1</v>
      </c>
      <c r="F26" s="51">
        <v>54.896581466988593</v>
      </c>
      <c r="G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" spans="1:14" x14ac:dyDescent="0.35">
      <c r="A27" s="46">
        <v>46004</v>
      </c>
      <c r="B27" s="40" t="s">
        <v>3</v>
      </c>
      <c r="C27" s="40" t="s">
        <v>26</v>
      </c>
      <c r="D27" s="33">
        <v>45.26</v>
      </c>
      <c r="E27" s="32">
        <v>0.1</v>
      </c>
      <c r="F27" s="32">
        <v>53.9</v>
      </c>
      <c r="G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H27" s="70"/>
      <c r="I27" s="70"/>
      <c r="J27" s="70"/>
      <c r="K27" s="70"/>
      <c r="L27" s="70"/>
    </row>
    <row r="28" spans="1:14" x14ac:dyDescent="0.35">
      <c r="A28" s="46">
        <v>45782</v>
      </c>
      <c r="B28" s="32" t="s">
        <v>2</v>
      </c>
      <c r="C28" s="32" t="s">
        <v>26</v>
      </c>
      <c r="D28" s="33">
        <v>30.66</v>
      </c>
      <c r="E28" s="34">
        <v>0.10700000000000001</v>
      </c>
      <c r="F28" s="35">
        <v>54.535226706527155</v>
      </c>
      <c r="G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K28" s="71"/>
      <c r="L28" s="72"/>
    </row>
    <row r="29" spans="1:14" x14ac:dyDescent="0.35">
      <c r="A29" s="45">
        <v>45832</v>
      </c>
      <c r="B29" s="29" t="s">
        <v>2</v>
      </c>
      <c r="C29" s="29" t="s">
        <v>26</v>
      </c>
      <c r="D29" s="30">
        <v>101.89</v>
      </c>
      <c r="E29" s="31">
        <v>0.11</v>
      </c>
      <c r="F29" s="36">
        <v>55.175304557953503</v>
      </c>
      <c r="G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K29" s="71"/>
      <c r="L29" s="72"/>
    </row>
    <row r="30" spans="1:14" x14ac:dyDescent="0.35">
      <c r="A30" s="46">
        <v>45849</v>
      </c>
      <c r="B30" s="32" t="s">
        <v>2</v>
      </c>
      <c r="C30" s="32" t="s">
        <v>26</v>
      </c>
      <c r="D30" s="33">
        <v>367.16</v>
      </c>
      <c r="E30" s="34">
        <v>0.11</v>
      </c>
      <c r="F30" s="35">
        <v>53.351881554065663</v>
      </c>
      <c r="G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K30" s="71"/>
      <c r="L30" s="72"/>
    </row>
    <row r="31" spans="1:14" x14ac:dyDescent="0.35">
      <c r="A31" s="45">
        <v>45952</v>
      </c>
      <c r="B31" s="39" t="s">
        <v>5</v>
      </c>
      <c r="C31" s="39" t="s">
        <v>26</v>
      </c>
      <c r="D31" s="30">
        <v>95.35</v>
      </c>
      <c r="E31" s="29">
        <v>0.11</v>
      </c>
      <c r="F31" s="29">
        <v>55.1</v>
      </c>
      <c r="G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K31" s="71"/>
      <c r="L31" s="72"/>
    </row>
    <row r="32" spans="1:14" x14ac:dyDescent="0.35">
      <c r="A32" s="46">
        <v>45954</v>
      </c>
      <c r="B32" s="40" t="s">
        <v>16</v>
      </c>
      <c r="C32" s="40" t="s">
        <v>27</v>
      </c>
      <c r="D32" s="33">
        <v>44.78</v>
      </c>
      <c r="E32" s="32">
        <v>0.11</v>
      </c>
      <c r="F32" s="32">
        <v>54.8</v>
      </c>
      <c r="G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K32" s="73"/>
    </row>
    <row r="33" spans="1:11" x14ac:dyDescent="0.35">
      <c r="A33" s="46">
        <v>46000</v>
      </c>
      <c r="B33" s="40" t="s">
        <v>2</v>
      </c>
      <c r="C33" s="40" t="s">
        <v>26</v>
      </c>
      <c r="D33" s="33">
        <v>344.33</v>
      </c>
      <c r="E33" s="32">
        <v>0.11</v>
      </c>
      <c r="F33" s="32">
        <v>54.9</v>
      </c>
      <c r="G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  <c r="K33" s="73"/>
    </row>
    <row r="34" spans="1:11" x14ac:dyDescent="0.35">
      <c r="A34" s="45">
        <v>45829</v>
      </c>
      <c r="B34" s="29" t="s">
        <v>2</v>
      </c>
      <c r="C34" s="29" t="s">
        <v>26</v>
      </c>
      <c r="D34" s="30">
        <v>488.99</v>
      </c>
      <c r="E34" s="31">
        <v>0.12</v>
      </c>
      <c r="F34" s="36">
        <v>53.822968828138023</v>
      </c>
      <c r="G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" spans="1:11" x14ac:dyDescent="0.35">
      <c r="A35" s="46">
        <v>45912</v>
      </c>
      <c r="B35" s="40" t="s">
        <v>5</v>
      </c>
      <c r="C35" s="40" t="s">
        <v>26</v>
      </c>
      <c r="D35" s="33">
        <v>99.32</v>
      </c>
      <c r="E35" s="34">
        <v>0.12</v>
      </c>
      <c r="F35" s="52">
        <v>54.565055805430617</v>
      </c>
      <c r="G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" spans="1:11" x14ac:dyDescent="0.35">
      <c r="A36" s="48">
        <v>45708</v>
      </c>
      <c r="B36" s="32" t="s">
        <v>2</v>
      </c>
      <c r="C36" s="32" t="s">
        <v>26</v>
      </c>
      <c r="D36" s="33">
        <v>522.36</v>
      </c>
      <c r="E36" s="34">
        <v>0.13642500000000002</v>
      </c>
      <c r="F36" s="52">
        <v>53.979747841766418</v>
      </c>
      <c r="G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" spans="1:11" x14ac:dyDescent="0.35">
      <c r="A37" s="46">
        <v>45997</v>
      </c>
      <c r="B37" s="40" t="s">
        <v>2</v>
      </c>
      <c r="C37" s="40" t="s">
        <v>26</v>
      </c>
      <c r="D37" s="33">
        <v>36.68</v>
      </c>
      <c r="E37" s="32">
        <v>0.14000000000000001</v>
      </c>
      <c r="F37" s="32">
        <v>53.4</v>
      </c>
      <c r="G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" spans="1:11" x14ac:dyDescent="0.35">
      <c r="A38" s="45">
        <v>45812</v>
      </c>
      <c r="B38" s="29" t="s">
        <v>2</v>
      </c>
      <c r="C38" s="29" t="s">
        <v>26</v>
      </c>
      <c r="D38" s="30">
        <v>0.5</v>
      </c>
      <c r="E38" s="31">
        <v>0.15</v>
      </c>
      <c r="F38" s="36">
        <v>54.696145833333325</v>
      </c>
      <c r="G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" spans="1:11" x14ac:dyDescent="0.35">
      <c r="A39" s="46">
        <v>45951</v>
      </c>
      <c r="B39" s="40" t="s">
        <v>5</v>
      </c>
      <c r="C39" s="40" t="s">
        <v>26</v>
      </c>
      <c r="D39" s="33">
        <v>96.35</v>
      </c>
      <c r="E39" s="32">
        <v>0.15</v>
      </c>
      <c r="F39" s="32">
        <v>54.6</v>
      </c>
      <c r="G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" spans="1:11" x14ac:dyDescent="0.35">
      <c r="A40" s="46">
        <v>45976</v>
      </c>
      <c r="B40" s="40" t="s">
        <v>2</v>
      </c>
      <c r="C40" s="40" t="s">
        <v>26</v>
      </c>
      <c r="D40" s="33">
        <v>460.78</v>
      </c>
      <c r="E40" s="42">
        <v>0.15</v>
      </c>
      <c r="F40" s="43">
        <v>55.225545047287213</v>
      </c>
      <c r="G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" spans="1:11" x14ac:dyDescent="0.35">
      <c r="A41" s="46">
        <v>45820</v>
      </c>
      <c r="B41" s="32" t="s">
        <v>2</v>
      </c>
      <c r="C41" s="32" t="s">
        <v>26</v>
      </c>
      <c r="D41" s="33">
        <v>609.96</v>
      </c>
      <c r="E41" s="34">
        <v>0.16</v>
      </c>
      <c r="F41" s="35">
        <v>54.012965686274505</v>
      </c>
      <c r="G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" spans="1:11" x14ac:dyDescent="0.35">
      <c r="A42" s="46">
        <v>45826</v>
      </c>
      <c r="B42" s="32" t="s">
        <v>2</v>
      </c>
      <c r="C42" s="32" t="s">
        <v>26</v>
      </c>
      <c r="D42" s="33">
        <v>441.73</v>
      </c>
      <c r="E42" s="34">
        <v>0.16</v>
      </c>
      <c r="F42" s="35">
        <v>53.827075565912111</v>
      </c>
      <c r="G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" spans="1:11" x14ac:dyDescent="0.35">
      <c r="A43" s="46">
        <v>46069</v>
      </c>
      <c r="B43" s="40" t="s">
        <v>2</v>
      </c>
      <c r="C43" s="40" t="s">
        <v>26</v>
      </c>
      <c r="D43" s="33">
        <v>186.58</v>
      </c>
      <c r="E43" s="32">
        <v>0.16</v>
      </c>
      <c r="F43" s="32">
        <v>54.6</v>
      </c>
      <c r="G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" spans="1:11" x14ac:dyDescent="0.35">
      <c r="A44" s="46">
        <v>45881</v>
      </c>
      <c r="B44" s="40" t="s">
        <v>5</v>
      </c>
      <c r="C44" s="40" t="s">
        <v>26</v>
      </c>
      <c r="D44" s="33">
        <v>66.88</v>
      </c>
      <c r="E44" s="34">
        <v>0.17</v>
      </c>
      <c r="F44" s="52">
        <v>54.576011320126511</v>
      </c>
      <c r="G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" spans="1:11" x14ac:dyDescent="0.35">
      <c r="A45" s="46">
        <v>45812</v>
      </c>
      <c r="B45" s="32" t="s">
        <v>5</v>
      </c>
      <c r="C45" s="32" t="s">
        <v>26</v>
      </c>
      <c r="D45" s="33">
        <v>33.01</v>
      </c>
      <c r="E45" s="34">
        <v>0.18</v>
      </c>
      <c r="F45" s="52">
        <v>54.178645031783205</v>
      </c>
      <c r="G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" spans="1:11" x14ac:dyDescent="0.35">
      <c r="A46" s="45">
        <v>46029</v>
      </c>
      <c r="B46" s="39" t="s">
        <v>2</v>
      </c>
      <c r="C46" s="39" t="s">
        <v>26</v>
      </c>
      <c r="D46" s="30">
        <v>387.26</v>
      </c>
      <c r="E46" s="29">
        <v>0.18</v>
      </c>
      <c r="F46" s="29">
        <v>53.8</v>
      </c>
      <c r="G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" spans="1:11" x14ac:dyDescent="0.35">
      <c r="A47" s="46">
        <v>45789</v>
      </c>
      <c r="B47" s="32" t="s">
        <v>2</v>
      </c>
      <c r="C47" s="32" t="s">
        <v>26</v>
      </c>
      <c r="D47" s="33">
        <v>521.71</v>
      </c>
      <c r="E47" s="34">
        <v>0.18725</v>
      </c>
      <c r="F47" s="35">
        <v>53.980605060506043</v>
      </c>
      <c r="G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" spans="1:11" x14ac:dyDescent="0.35">
      <c r="A48" s="45">
        <v>45855</v>
      </c>
      <c r="B48" s="29" t="s">
        <v>2</v>
      </c>
      <c r="C48" s="29" t="s">
        <v>26</v>
      </c>
      <c r="D48" s="30">
        <v>377.69</v>
      </c>
      <c r="E48" s="31">
        <v>0.19</v>
      </c>
      <c r="F48" s="36">
        <v>54.804604178806294</v>
      </c>
      <c r="G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" spans="1:7" x14ac:dyDescent="0.35">
      <c r="A49" s="45">
        <v>45994</v>
      </c>
      <c r="B49" s="39" t="s">
        <v>2</v>
      </c>
      <c r="C49" s="39" t="s">
        <v>26</v>
      </c>
      <c r="D49" s="30">
        <v>429.93</v>
      </c>
      <c r="E49" s="29">
        <v>0.19</v>
      </c>
      <c r="F49" s="29">
        <v>54.1</v>
      </c>
      <c r="G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" spans="1:7" x14ac:dyDescent="0.35">
      <c r="A50" s="45">
        <v>45850</v>
      </c>
      <c r="B50" s="29" t="s">
        <v>2</v>
      </c>
      <c r="C50" s="29" t="s">
        <v>26</v>
      </c>
      <c r="D50" s="30">
        <v>322.68</v>
      </c>
      <c r="E50" s="31">
        <v>0.2</v>
      </c>
      <c r="F50" s="36">
        <v>53.467494976557269</v>
      </c>
      <c r="G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" spans="1:7" x14ac:dyDescent="0.35">
      <c r="A51" s="45">
        <v>46006</v>
      </c>
      <c r="B51" s="39" t="s">
        <v>2</v>
      </c>
      <c r="C51" s="39" t="s">
        <v>26</v>
      </c>
      <c r="D51" s="30">
        <v>600.48</v>
      </c>
      <c r="E51" s="41">
        <v>0.2</v>
      </c>
      <c r="F51" s="44">
        <v>54.865797417407343</v>
      </c>
      <c r="G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2" spans="1:7" x14ac:dyDescent="0.35">
      <c r="A52" s="46">
        <v>45761</v>
      </c>
      <c r="B52" s="32" t="s">
        <v>2</v>
      </c>
      <c r="C52" s="32" t="s">
        <v>26</v>
      </c>
      <c r="D52" s="33">
        <v>397.14</v>
      </c>
      <c r="E52" s="34">
        <v>0.20865000000000003</v>
      </c>
      <c r="F52" s="35">
        <v>54.420255000000004</v>
      </c>
      <c r="G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3" spans="1:7" x14ac:dyDescent="0.35">
      <c r="A53" s="45">
        <v>45925</v>
      </c>
      <c r="B53" s="39" t="s">
        <v>2</v>
      </c>
      <c r="C53" s="39" t="s">
        <v>26</v>
      </c>
      <c r="D53" s="30">
        <v>253.66</v>
      </c>
      <c r="E53" s="29">
        <v>0.21</v>
      </c>
      <c r="F53" s="29">
        <v>52.2</v>
      </c>
      <c r="G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4" spans="1:7" x14ac:dyDescent="0.35">
      <c r="A54" s="45">
        <v>45974</v>
      </c>
      <c r="B54" s="39" t="s">
        <v>2</v>
      </c>
      <c r="C54" s="39" t="s">
        <v>26</v>
      </c>
      <c r="D54" s="30">
        <v>551.39</v>
      </c>
      <c r="E54" s="41">
        <v>0.21</v>
      </c>
      <c r="F54" s="44">
        <v>54.192387096774191</v>
      </c>
      <c r="G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5" spans="1:7" x14ac:dyDescent="0.35">
      <c r="A55" s="46">
        <v>45763</v>
      </c>
      <c r="B55" s="32" t="s">
        <v>2</v>
      </c>
      <c r="C55" s="32" t="s">
        <v>26</v>
      </c>
      <c r="D55" s="33">
        <v>322.04000000000002</v>
      </c>
      <c r="E55" s="34">
        <v>0.21132500000000001</v>
      </c>
      <c r="F55" s="35">
        <v>53.749851072001611</v>
      </c>
      <c r="G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6" spans="1:7" x14ac:dyDescent="0.35">
      <c r="A56" s="46">
        <v>45815</v>
      </c>
      <c r="B56" s="32" t="s">
        <v>2</v>
      </c>
      <c r="C56" s="32" t="s">
        <v>26</v>
      </c>
      <c r="D56" s="33">
        <v>0.47799999999999998</v>
      </c>
      <c r="E56" s="34">
        <v>0.22</v>
      </c>
      <c r="F56" s="35">
        <v>53.151685082872923</v>
      </c>
      <c r="G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7" spans="1:7" x14ac:dyDescent="0.35">
      <c r="A57" s="46">
        <v>45904</v>
      </c>
      <c r="B57" s="40" t="s">
        <v>2</v>
      </c>
      <c r="C57" s="40" t="s">
        <v>26</v>
      </c>
      <c r="D57" s="33">
        <v>190.98</v>
      </c>
      <c r="E57" s="34">
        <v>0.22</v>
      </c>
      <c r="F57" s="35">
        <v>53.345711431188079</v>
      </c>
      <c r="G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8" spans="1:7" x14ac:dyDescent="0.35">
      <c r="A58" s="46">
        <v>45905</v>
      </c>
      <c r="B58" s="40" t="s">
        <v>2</v>
      </c>
      <c r="C58" s="40" t="s">
        <v>26</v>
      </c>
      <c r="D58" s="33">
        <v>225.61</v>
      </c>
      <c r="E58" s="34">
        <v>0.22</v>
      </c>
      <c r="F58" s="35">
        <v>53.345711431188079</v>
      </c>
      <c r="G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9" spans="1:7" x14ac:dyDescent="0.35">
      <c r="A59" s="46">
        <v>45918</v>
      </c>
      <c r="B59" s="40" t="s">
        <v>2</v>
      </c>
      <c r="C59" s="40" t="s">
        <v>26</v>
      </c>
      <c r="D59" s="33">
        <v>632.09</v>
      </c>
      <c r="E59" s="34">
        <v>0.22</v>
      </c>
      <c r="F59" s="35">
        <v>55.058100184514458</v>
      </c>
      <c r="G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0" spans="1:7" x14ac:dyDescent="0.35">
      <c r="A60" s="46">
        <v>46013</v>
      </c>
      <c r="B60" s="40" t="s">
        <v>2</v>
      </c>
      <c r="C60" s="40" t="s">
        <v>26</v>
      </c>
      <c r="D60" s="33">
        <v>100.93</v>
      </c>
      <c r="E60" s="42">
        <v>0.22</v>
      </c>
      <c r="F60" s="43">
        <v>54.445607895173332</v>
      </c>
      <c r="G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1" spans="1:7" x14ac:dyDescent="0.35">
      <c r="A61" s="47">
        <v>45712</v>
      </c>
      <c r="B61" s="29" t="s">
        <v>2</v>
      </c>
      <c r="C61" s="29" t="s">
        <v>26</v>
      </c>
      <c r="D61" s="30">
        <v>271.92</v>
      </c>
      <c r="E61" s="31">
        <v>0.22470000000000001</v>
      </c>
      <c r="F61" s="51">
        <v>55.024323432343238</v>
      </c>
      <c r="G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2" spans="1:7" x14ac:dyDescent="0.35">
      <c r="A62" s="46">
        <v>46041</v>
      </c>
      <c r="B62" s="40" t="s">
        <v>2</v>
      </c>
      <c r="C62" s="40" t="s">
        <v>26</v>
      </c>
      <c r="D62" s="33">
        <v>367.28</v>
      </c>
      <c r="E62" s="42">
        <v>0.23540000000000003</v>
      </c>
      <c r="F62" s="58">
        <v>53.389059977983607</v>
      </c>
      <c r="G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3" spans="1:7" x14ac:dyDescent="0.35">
      <c r="A63" s="45">
        <v>45817</v>
      </c>
      <c r="B63" s="29" t="s">
        <v>7</v>
      </c>
      <c r="C63" s="29" t="s">
        <v>26</v>
      </c>
      <c r="D63" s="30">
        <v>102.93</v>
      </c>
      <c r="E63" s="31">
        <v>0.24</v>
      </c>
      <c r="F63" s="36">
        <v>54.787068936738436</v>
      </c>
      <c r="G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4" spans="1:7" x14ac:dyDescent="0.35">
      <c r="A64" s="45">
        <v>45888</v>
      </c>
      <c r="B64" s="39" t="s">
        <v>2</v>
      </c>
      <c r="C64" s="39" t="s">
        <v>26</v>
      </c>
      <c r="D64" s="30">
        <v>70.58</v>
      </c>
      <c r="E64" s="31">
        <v>0.24</v>
      </c>
      <c r="F64" s="36">
        <v>55.066270518713068</v>
      </c>
      <c r="G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5" spans="1:7" x14ac:dyDescent="0.35">
      <c r="A65" s="45">
        <v>45912</v>
      </c>
      <c r="B65" s="39" t="s">
        <v>7</v>
      </c>
      <c r="C65" s="39" t="s">
        <v>26</v>
      </c>
      <c r="D65" s="30">
        <v>24.57</v>
      </c>
      <c r="E65" s="31">
        <v>0.24</v>
      </c>
      <c r="F65" s="36">
        <v>54.239797533744373</v>
      </c>
      <c r="G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6" spans="1:7" x14ac:dyDescent="0.35">
      <c r="A66" s="45">
        <v>45806</v>
      </c>
      <c r="B66" s="29" t="s">
        <v>2</v>
      </c>
      <c r="C66" s="29" t="s">
        <v>26</v>
      </c>
      <c r="D66" s="30">
        <v>562.78</v>
      </c>
      <c r="E66" s="31">
        <v>0.24877500000000002</v>
      </c>
      <c r="F66" s="36">
        <v>53.134490921857754</v>
      </c>
      <c r="G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7" spans="1:7" x14ac:dyDescent="0.35">
      <c r="A67" s="46">
        <v>45813</v>
      </c>
      <c r="B67" s="32" t="s">
        <v>2</v>
      </c>
      <c r="C67" s="32" t="s">
        <v>26</v>
      </c>
      <c r="D67" s="33">
        <v>553.1</v>
      </c>
      <c r="E67" s="34">
        <v>0.25</v>
      </c>
      <c r="F67" s="35">
        <v>54.700057394776245</v>
      </c>
      <c r="G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8" spans="1:7" x14ac:dyDescent="0.35">
      <c r="A68" s="45">
        <v>45919</v>
      </c>
      <c r="B68" s="39" t="s">
        <v>2</v>
      </c>
      <c r="C68" s="39" t="s">
        <v>26</v>
      </c>
      <c r="D68" s="30">
        <v>297.93</v>
      </c>
      <c r="E68" s="31">
        <v>0.25</v>
      </c>
      <c r="F68" s="36">
        <v>54.241586924902393</v>
      </c>
      <c r="G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69" spans="1:7" x14ac:dyDescent="0.35">
      <c r="A69" s="45">
        <v>45666</v>
      </c>
      <c r="B69" s="29" t="s">
        <v>2</v>
      </c>
      <c r="C69" s="29" t="s">
        <v>26</v>
      </c>
      <c r="D69" s="30">
        <v>375.54</v>
      </c>
      <c r="E69" s="31">
        <v>0.25412499999999999</v>
      </c>
      <c r="F69" s="36">
        <v>54.761644564999003</v>
      </c>
      <c r="G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0" spans="1:7" x14ac:dyDescent="0.35">
      <c r="A70" s="48">
        <v>45688</v>
      </c>
      <c r="B70" s="32" t="s">
        <v>5</v>
      </c>
      <c r="C70" s="32" t="s">
        <v>26</v>
      </c>
      <c r="D70" s="33">
        <v>37.479999999999997</v>
      </c>
      <c r="E70" s="34">
        <v>0.25680000000000003</v>
      </c>
      <c r="F70" s="52">
        <v>55.036020234398478</v>
      </c>
      <c r="G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1" spans="1:7" x14ac:dyDescent="0.35">
      <c r="A71" s="46">
        <v>45882</v>
      </c>
      <c r="B71" s="40" t="s">
        <v>5</v>
      </c>
      <c r="C71" s="40" t="s">
        <v>26</v>
      </c>
      <c r="D71" s="33">
        <v>170.22</v>
      </c>
      <c r="E71" s="34">
        <v>0.26</v>
      </c>
      <c r="F71" s="52">
        <v>54.185726210350587</v>
      </c>
      <c r="G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2" spans="1:7" x14ac:dyDescent="0.35">
      <c r="A72" s="45">
        <v>45660</v>
      </c>
      <c r="B72" s="29" t="s">
        <v>2</v>
      </c>
      <c r="C72" s="29" t="s">
        <v>26</v>
      </c>
      <c r="D72" s="30">
        <v>129.80000000000001</v>
      </c>
      <c r="E72" s="31">
        <v>0.28000000000000003</v>
      </c>
      <c r="F72" s="36">
        <v>54.23707032220657</v>
      </c>
      <c r="G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3" spans="1:7" x14ac:dyDescent="0.35">
      <c r="A73" s="46">
        <v>45990</v>
      </c>
      <c r="B73" s="40" t="s">
        <v>5</v>
      </c>
      <c r="C73" s="40" t="s">
        <v>26</v>
      </c>
      <c r="D73" s="33">
        <v>266.7</v>
      </c>
      <c r="E73" s="32">
        <v>0.28000000000000003</v>
      </c>
      <c r="F73" s="32">
        <v>53.4</v>
      </c>
      <c r="G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4" spans="1:7" x14ac:dyDescent="0.35">
      <c r="A74" s="45">
        <v>46054</v>
      </c>
      <c r="B74" s="39" t="s">
        <v>2</v>
      </c>
      <c r="C74" s="39" t="s">
        <v>26</v>
      </c>
      <c r="D74" s="30">
        <v>390.35</v>
      </c>
      <c r="E74" s="29">
        <v>0.28000000000000003</v>
      </c>
      <c r="F74" s="29">
        <v>54.6</v>
      </c>
      <c r="G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5" spans="1:7" x14ac:dyDescent="0.35">
      <c r="A75" s="46">
        <v>46055</v>
      </c>
      <c r="B75" s="40" t="s">
        <v>2</v>
      </c>
      <c r="C75" s="40" t="s">
        <v>26</v>
      </c>
      <c r="D75" s="33">
        <v>390.35</v>
      </c>
      <c r="E75" s="32">
        <v>0.28000000000000003</v>
      </c>
      <c r="F75" s="32">
        <v>54.6</v>
      </c>
      <c r="G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6" spans="1:7" x14ac:dyDescent="0.35">
      <c r="A76" s="46">
        <v>45779</v>
      </c>
      <c r="B76" s="32" t="s">
        <v>5</v>
      </c>
      <c r="C76" s="32" t="s">
        <v>26</v>
      </c>
      <c r="D76" s="33">
        <v>33.020000000000003</v>
      </c>
      <c r="E76" s="34">
        <v>0.28087500000000004</v>
      </c>
      <c r="F76" s="52">
        <v>54.646213835218738</v>
      </c>
      <c r="G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7" spans="1:7" x14ac:dyDescent="0.35">
      <c r="A77" s="45">
        <v>45863</v>
      </c>
      <c r="B77" s="29" t="s">
        <v>2</v>
      </c>
      <c r="C77" s="29" t="s">
        <v>26</v>
      </c>
      <c r="D77" s="30">
        <v>267.54000000000002</v>
      </c>
      <c r="E77" s="31">
        <v>0.28999999999999998</v>
      </c>
      <c r="F77" s="36">
        <v>54.528969385370416</v>
      </c>
      <c r="G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8" spans="1:7" x14ac:dyDescent="0.35">
      <c r="A78" s="46">
        <v>45909</v>
      </c>
      <c r="B78" s="40" t="s">
        <v>3</v>
      </c>
      <c r="C78" s="40" t="s">
        <v>26</v>
      </c>
      <c r="D78" s="33">
        <v>20.54</v>
      </c>
      <c r="E78" s="35">
        <v>0.28999999999999998</v>
      </c>
      <c r="F78" s="35">
        <v>54.837766624843162</v>
      </c>
      <c r="G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79" spans="1:7" x14ac:dyDescent="0.35">
      <c r="A79" s="45">
        <v>45930</v>
      </c>
      <c r="B79" s="39" t="s">
        <v>5</v>
      </c>
      <c r="C79" s="39" t="s">
        <v>26</v>
      </c>
      <c r="D79" s="30">
        <v>138.87</v>
      </c>
      <c r="E79" s="29">
        <v>0.28999999999999998</v>
      </c>
      <c r="F79" s="29">
        <v>55.2</v>
      </c>
      <c r="G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0" spans="1:7" x14ac:dyDescent="0.35">
      <c r="A80" s="46">
        <v>45818</v>
      </c>
      <c r="B80" s="32" t="s">
        <v>2</v>
      </c>
      <c r="C80" s="32" t="s">
        <v>26</v>
      </c>
      <c r="D80" s="33">
        <v>484.47</v>
      </c>
      <c r="E80" s="34">
        <v>0.3</v>
      </c>
      <c r="F80" s="35">
        <v>53.326309281577707</v>
      </c>
      <c r="G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1" spans="1:7" x14ac:dyDescent="0.35">
      <c r="A81" s="45">
        <v>45922</v>
      </c>
      <c r="B81" s="39" t="s">
        <v>5</v>
      </c>
      <c r="C81" s="39" t="s">
        <v>26</v>
      </c>
      <c r="D81" s="30">
        <v>34.94</v>
      </c>
      <c r="E81" s="31">
        <v>0.3</v>
      </c>
      <c r="F81" s="51">
        <v>53.623724598119502</v>
      </c>
      <c r="G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2" spans="1:7" x14ac:dyDescent="0.35">
      <c r="A82" s="46">
        <v>45971</v>
      </c>
      <c r="B82" s="40" t="s">
        <v>2</v>
      </c>
      <c r="C82" s="40" t="s">
        <v>26</v>
      </c>
      <c r="D82" s="33">
        <v>70.83</v>
      </c>
      <c r="E82" s="32">
        <v>0.3</v>
      </c>
      <c r="F82" s="32">
        <v>54.1</v>
      </c>
      <c r="G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3" spans="1:7" x14ac:dyDescent="0.35">
      <c r="A83" s="46">
        <v>46003</v>
      </c>
      <c r="B83" s="40" t="s">
        <v>2</v>
      </c>
      <c r="C83" s="40" t="s">
        <v>26</v>
      </c>
      <c r="D83" s="33">
        <v>52.31</v>
      </c>
      <c r="E83" s="32">
        <v>0.3</v>
      </c>
      <c r="F83" s="32">
        <v>54.8</v>
      </c>
      <c r="G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4" spans="1:7" x14ac:dyDescent="0.35">
      <c r="A84" s="45">
        <v>45688</v>
      </c>
      <c r="B84" s="29" t="s">
        <v>2</v>
      </c>
      <c r="C84" s="29" t="s">
        <v>26</v>
      </c>
      <c r="D84" s="30">
        <v>919.24</v>
      </c>
      <c r="E84" s="31">
        <v>0.30495</v>
      </c>
      <c r="F84" s="36">
        <v>54.632354838066767</v>
      </c>
      <c r="G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5" spans="1:7" x14ac:dyDescent="0.35">
      <c r="A85" s="47">
        <v>45911</v>
      </c>
      <c r="B85" s="39" t="s">
        <v>5</v>
      </c>
      <c r="C85" s="39" t="s">
        <v>26</v>
      </c>
      <c r="D85" s="30">
        <v>105.98</v>
      </c>
      <c r="E85" s="31">
        <v>0.31</v>
      </c>
      <c r="F85" s="53">
        <v>54.396047024246876</v>
      </c>
      <c r="G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6" spans="1:7" x14ac:dyDescent="0.35">
      <c r="A86" s="45">
        <v>46036</v>
      </c>
      <c r="B86" s="39" t="s">
        <v>2</v>
      </c>
      <c r="C86" s="39" t="s">
        <v>26</v>
      </c>
      <c r="D86" s="30">
        <v>236.77</v>
      </c>
      <c r="E86" s="29">
        <v>0.31</v>
      </c>
      <c r="F86" s="29">
        <v>54.3</v>
      </c>
      <c r="G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7" spans="1:7" x14ac:dyDescent="0.35">
      <c r="A87" s="47">
        <v>45722</v>
      </c>
      <c r="B87" s="29" t="s">
        <v>2</v>
      </c>
      <c r="C87" s="29" t="s">
        <v>26</v>
      </c>
      <c r="D87" s="30">
        <v>367.46</v>
      </c>
      <c r="E87" s="31">
        <v>0.31564999999999999</v>
      </c>
      <c r="F87" s="36">
        <v>54.093566573370651</v>
      </c>
      <c r="G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8" spans="1:7" x14ac:dyDescent="0.35">
      <c r="A88" s="47">
        <v>45852</v>
      </c>
      <c r="B88" s="29" t="s">
        <v>5</v>
      </c>
      <c r="C88" s="29" t="s">
        <v>26</v>
      </c>
      <c r="D88" s="30">
        <v>69.900000000000006</v>
      </c>
      <c r="E88" s="31">
        <v>0.32</v>
      </c>
      <c r="F88" s="51">
        <v>53.374711274060495</v>
      </c>
      <c r="G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89" spans="1:7" x14ac:dyDescent="0.35">
      <c r="A89" s="46">
        <v>45883</v>
      </c>
      <c r="B89" s="40" t="s">
        <v>2</v>
      </c>
      <c r="C89" s="40" t="s">
        <v>26</v>
      </c>
      <c r="D89" s="33">
        <v>556.08000000000004</v>
      </c>
      <c r="E89" s="34">
        <v>0.32</v>
      </c>
      <c r="F89" s="35">
        <v>53.094493091393375</v>
      </c>
      <c r="G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0" spans="1:7" x14ac:dyDescent="0.35">
      <c r="A90" s="46">
        <v>45889</v>
      </c>
      <c r="B90" s="40" t="s">
        <v>2</v>
      </c>
      <c r="C90" s="40" t="s">
        <v>26</v>
      </c>
      <c r="D90" s="33">
        <v>224</v>
      </c>
      <c r="E90" s="34">
        <v>0.32</v>
      </c>
      <c r="F90" s="35">
        <v>54.602646206842557</v>
      </c>
      <c r="G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1" spans="1:7" x14ac:dyDescent="0.35">
      <c r="A91" s="45">
        <v>45993</v>
      </c>
      <c r="B91" s="39" t="s">
        <v>2</v>
      </c>
      <c r="C91" s="39" t="s">
        <v>26</v>
      </c>
      <c r="D91" s="30">
        <v>195.78</v>
      </c>
      <c r="E91" s="29">
        <v>0.32</v>
      </c>
      <c r="F91" s="29">
        <v>53.9</v>
      </c>
      <c r="G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2" spans="1:7" x14ac:dyDescent="0.35">
      <c r="A92" s="48">
        <v>45751</v>
      </c>
      <c r="B92" s="32" t="s">
        <v>5</v>
      </c>
      <c r="C92" s="32" t="s">
        <v>26</v>
      </c>
      <c r="D92" s="33">
        <v>169.93</v>
      </c>
      <c r="E92" s="34">
        <v>0.32100000000000001</v>
      </c>
      <c r="F92" s="52">
        <v>54.288367015805314</v>
      </c>
      <c r="G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3" spans="1:7" x14ac:dyDescent="0.35">
      <c r="A93" s="46">
        <v>45822</v>
      </c>
      <c r="B93" s="32" t="s">
        <v>5</v>
      </c>
      <c r="C93" s="32" t="s">
        <v>26</v>
      </c>
      <c r="D93" s="33">
        <v>99.88</v>
      </c>
      <c r="E93" s="34">
        <v>0.33</v>
      </c>
      <c r="F93" s="52">
        <v>54.367427466150872</v>
      </c>
      <c r="G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4" spans="1:7" x14ac:dyDescent="0.35">
      <c r="A94" s="46">
        <v>45856</v>
      </c>
      <c r="B94" s="32" t="s">
        <v>2</v>
      </c>
      <c r="C94" s="32" t="s">
        <v>26</v>
      </c>
      <c r="D94" s="33">
        <v>181.16</v>
      </c>
      <c r="E94" s="34">
        <v>0.33</v>
      </c>
      <c r="F94" s="35">
        <v>53.31325148809524</v>
      </c>
      <c r="G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5" spans="1:7" x14ac:dyDescent="0.35">
      <c r="A95" s="45">
        <v>45933</v>
      </c>
      <c r="B95" s="39" t="s">
        <v>3</v>
      </c>
      <c r="C95" s="39" t="s">
        <v>26</v>
      </c>
      <c r="D95" s="30">
        <v>46.3</v>
      </c>
      <c r="E95" s="44">
        <v>0.33</v>
      </c>
      <c r="F95" s="57">
        <v>52.620268456375832</v>
      </c>
      <c r="G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6" spans="1:7" x14ac:dyDescent="0.35">
      <c r="A96" s="45">
        <v>45987</v>
      </c>
      <c r="B96" s="39" t="s">
        <v>2</v>
      </c>
      <c r="C96" s="39" t="s">
        <v>26</v>
      </c>
      <c r="D96" s="30">
        <v>107.88</v>
      </c>
      <c r="E96" s="29">
        <v>0.33</v>
      </c>
      <c r="F96" s="29">
        <v>54.4</v>
      </c>
      <c r="G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7" spans="1:7" x14ac:dyDescent="0.35">
      <c r="A97" s="46">
        <v>45818</v>
      </c>
      <c r="B97" s="32" t="s">
        <v>7</v>
      </c>
      <c r="C97" s="32" t="s">
        <v>26</v>
      </c>
      <c r="D97" s="33">
        <v>48.83</v>
      </c>
      <c r="E97" s="34">
        <v>0.34</v>
      </c>
      <c r="F97" s="35">
        <v>54.181062772538276</v>
      </c>
      <c r="G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8" spans="1:7" x14ac:dyDescent="0.35">
      <c r="A98" s="45">
        <v>45909</v>
      </c>
      <c r="B98" s="39" t="s">
        <v>2</v>
      </c>
      <c r="C98" s="39" t="s">
        <v>26</v>
      </c>
      <c r="D98" s="30">
        <v>170.74</v>
      </c>
      <c r="E98" s="31">
        <v>0.34</v>
      </c>
      <c r="F98" s="36">
        <v>53.509516601154132</v>
      </c>
      <c r="G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99" spans="1:7" x14ac:dyDescent="0.35">
      <c r="A99" s="46">
        <v>46066</v>
      </c>
      <c r="B99" s="40" t="s">
        <v>2</v>
      </c>
      <c r="C99" s="40" t="s">
        <v>26</v>
      </c>
      <c r="D99" s="33">
        <v>449.96</v>
      </c>
      <c r="E99" s="32">
        <v>0.34</v>
      </c>
      <c r="F99" s="32">
        <v>54.3</v>
      </c>
      <c r="G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0" spans="1:7" x14ac:dyDescent="0.35">
      <c r="A100" s="46">
        <v>45757</v>
      </c>
      <c r="B100" s="32" t="s">
        <v>5</v>
      </c>
      <c r="C100" s="32" t="s">
        <v>26</v>
      </c>
      <c r="D100" s="33">
        <v>132.15</v>
      </c>
      <c r="E100" s="34">
        <v>0.34240000000000004</v>
      </c>
      <c r="F100" s="52">
        <v>54.680287057063047</v>
      </c>
      <c r="G1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1" spans="1:7" x14ac:dyDescent="0.35">
      <c r="A101" s="45">
        <v>45757</v>
      </c>
      <c r="B101" s="29" t="s">
        <v>5</v>
      </c>
      <c r="C101" s="29" t="s">
        <v>26</v>
      </c>
      <c r="D101" s="30">
        <v>132.15</v>
      </c>
      <c r="E101" s="31">
        <v>0.34240000000000004</v>
      </c>
      <c r="F101" s="51">
        <v>54.680287057063047</v>
      </c>
      <c r="G1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2" spans="1:7" x14ac:dyDescent="0.35">
      <c r="A102" s="45">
        <v>45801</v>
      </c>
      <c r="B102" s="29" t="s">
        <v>5</v>
      </c>
      <c r="C102" s="29" t="s">
        <v>26</v>
      </c>
      <c r="D102" s="30">
        <v>42.43</v>
      </c>
      <c r="E102" s="31">
        <v>0.34240000000000004</v>
      </c>
      <c r="F102" s="51">
        <v>53.616668685258958</v>
      </c>
      <c r="G1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3" spans="1:7" x14ac:dyDescent="0.35">
      <c r="A103" s="45">
        <v>45877</v>
      </c>
      <c r="B103" s="39" t="s">
        <v>2</v>
      </c>
      <c r="C103" s="39" t="s">
        <v>26</v>
      </c>
      <c r="D103" s="30">
        <v>59.4</v>
      </c>
      <c r="E103" s="31">
        <v>0.35</v>
      </c>
      <c r="F103" s="36">
        <v>54.119741550695821</v>
      </c>
      <c r="G1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4" spans="1:7" x14ac:dyDescent="0.35">
      <c r="A104" s="45">
        <v>45931</v>
      </c>
      <c r="B104" s="39" t="s">
        <v>2</v>
      </c>
      <c r="C104" s="39" t="s">
        <v>26</v>
      </c>
      <c r="D104" s="30">
        <v>63.13</v>
      </c>
      <c r="E104" s="41">
        <v>0.35</v>
      </c>
      <c r="F104" s="44">
        <v>53.45</v>
      </c>
      <c r="G1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5" spans="1:7" x14ac:dyDescent="0.35">
      <c r="A105" s="46">
        <v>45969</v>
      </c>
      <c r="B105" s="40" t="s">
        <v>2</v>
      </c>
      <c r="C105" s="40" t="s">
        <v>26</v>
      </c>
      <c r="D105" s="33">
        <v>282.42</v>
      </c>
      <c r="E105" s="42">
        <v>0.35</v>
      </c>
      <c r="F105" s="43">
        <v>53.93307291666666</v>
      </c>
      <c r="G1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6" spans="1:7" x14ac:dyDescent="0.35">
      <c r="A106" s="46">
        <v>45835</v>
      </c>
      <c r="B106" s="32" t="s">
        <v>5</v>
      </c>
      <c r="C106" s="32" t="s">
        <v>26</v>
      </c>
      <c r="D106" s="33">
        <v>142.52000000000001</v>
      </c>
      <c r="E106" s="34">
        <v>0.35042500000000004</v>
      </c>
      <c r="F106" s="52">
        <v>54.459148752749456</v>
      </c>
      <c r="G1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7" spans="1:7" x14ac:dyDescent="0.35">
      <c r="A107" s="46">
        <v>46042</v>
      </c>
      <c r="B107" s="40" t="s">
        <v>2</v>
      </c>
      <c r="C107" s="40" t="s">
        <v>26</v>
      </c>
      <c r="D107" s="33">
        <v>541.75</v>
      </c>
      <c r="E107" s="42">
        <v>0.35310000000000002</v>
      </c>
      <c r="F107" s="43">
        <v>54.13224202700686</v>
      </c>
      <c r="G1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8" spans="1:7" x14ac:dyDescent="0.35">
      <c r="A108" s="45">
        <v>45958</v>
      </c>
      <c r="B108" s="39" t="s">
        <v>5</v>
      </c>
      <c r="C108" s="39" t="s">
        <v>26</v>
      </c>
      <c r="D108" s="30">
        <v>66.92</v>
      </c>
      <c r="E108" s="29">
        <v>0.36</v>
      </c>
      <c r="F108" s="29">
        <v>54.8</v>
      </c>
      <c r="G1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09" spans="1:7" x14ac:dyDescent="0.35">
      <c r="A109" s="46">
        <v>45968</v>
      </c>
      <c r="B109" s="40" t="s">
        <v>5</v>
      </c>
      <c r="C109" s="40" t="s">
        <v>26</v>
      </c>
      <c r="D109" s="33">
        <v>101.6</v>
      </c>
      <c r="E109" s="42">
        <v>0.37</v>
      </c>
      <c r="F109" s="58">
        <v>54.328391113844262</v>
      </c>
      <c r="G1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0" spans="1:7" x14ac:dyDescent="0.35">
      <c r="A110" s="46">
        <v>45981</v>
      </c>
      <c r="B110" s="40" t="s">
        <v>2</v>
      </c>
      <c r="C110" s="40" t="s">
        <v>26</v>
      </c>
      <c r="D110" s="33">
        <v>469.12</v>
      </c>
      <c r="E110" s="32">
        <v>0.38</v>
      </c>
      <c r="F110" s="32">
        <v>54.45</v>
      </c>
      <c r="G1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1" spans="1:7" x14ac:dyDescent="0.35">
      <c r="A111" s="46">
        <v>46006</v>
      </c>
      <c r="B111" s="40" t="s">
        <v>5</v>
      </c>
      <c r="C111" s="40" t="s">
        <v>26</v>
      </c>
      <c r="D111" s="33">
        <v>114.92</v>
      </c>
      <c r="E111" s="42">
        <v>0.38</v>
      </c>
      <c r="F111" s="56">
        <v>54.025888409166392</v>
      </c>
      <c r="G1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2" spans="1:7" x14ac:dyDescent="0.35">
      <c r="A112" s="45">
        <v>45885</v>
      </c>
      <c r="B112" s="39" t="s">
        <v>5</v>
      </c>
      <c r="C112" s="39" t="s">
        <v>26</v>
      </c>
      <c r="D112" s="30">
        <v>68.64</v>
      </c>
      <c r="E112" s="31">
        <v>0.39</v>
      </c>
      <c r="F112" s="51">
        <v>54.270265076209405</v>
      </c>
      <c r="G1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3" spans="1:7" x14ac:dyDescent="0.35">
      <c r="A113" s="45">
        <v>45918</v>
      </c>
      <c r="B113" s="39" t="s">
        <v>5</v>
      </c>
      <c r="C113" s="39" t="s">
        <v>26</v>
      </c>
      <c r="D113" s="30">
        <v>102.59</v>
      </c>
      <c r="E113" s="31">
        <v>0.39</v>
      </c>
      <c r="F113" s="51">
        <v>54.376747967479673</v>
      </c>
      <c r="G1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4" spans="1:7" x14ac:dyDescent="0.35">
      <c r="A114" s="47">
        <v>45720</v>
      </c>
      <c r="B114" s="29" t="s">
        <v>2</v>
      </c>
      <c r="C114" s="29" t="s">
        <v>26</v>
      </c>
      <c r="D114" s="30">
        <v>171.35333333333335</v>
      </c>
      <c r="E114" s="31">
        <v>0.39055000000000001</v>
      </c>
      <c r="F114" s="36">
        <v>53.710977835723597</v>
      </c>
      <c r="G1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5" spans="1:7" x14ac:dyDescent="0.35">
      <c r="A115" s="47">
        <v>45744</v>
      </c>
      <c r="B115" s="29" t="s">
        <v>2</v>
      </c>
      <c r="C115" s="29" t="s">
        <v>26</v>
      </c>
      <c r="D115" s="30">
        <v>306.83999999999997</v>
      </c>
      <c r="E115" s="31">
        <v>0.39055000000000001</v>
      </c>
      <c r="F115" s="36">
        <v>51.899152442938302</v>
      </c>
      <c r="G1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6" spans="1:7" x14ac:dyDescent="0.35">
      <c r="A116" s="46">
        <v>45925</v>
      </c>
      <c r="B116" s="40" t="s">
        <v>7</v>
      </c>
      <c r="C116" s="40" t="s">
        <v>26</v>
      </c>
      <c r="D116" s="33">
        <v>26.17</v>
      </c>
      <c r="E116" s="42">
        <v>0.4</v>
      </c>
      <c r="F116" s="43">
        <v>53.522378721980594</v>
      </c>
      <c r="G1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7" spans="1:7" x14ac:dyDescent="0.35">
      <c r="A117" s="45">
        <v>45989</v>
      </c>
      <c r="B117" s="39" t="s">
        <v>2</v>
      </c>
      <c r="C117" s="39" t="s">
        <v>26</v>
      </c>
      <c r="D117" s="30">
        <v>393.44</v>
      </c>
      <c r="E117" s="29">
        <v>0.4</v>
      </c>
      <c r="F117" s="29">
        <v>54.2</v>
      </c>
      <c r="G1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8" spans="1:7" x14ac:dyDescent="0.35">
      <c r="A118" s="46">
        <v>45751</v>
      </c>
      <c r="B118" s="32" t="s">
        <v>2</v>
      </c>
      <c r="C118" s="32" t="s">
        <v>26</v>
      </c>
      <c r="D118" s="33">
        <v>171.14</v>
      </c>
      <c r="E118" s="34">
        <v>0.40125</v>
      </c>
      <c r="F118" s="35">
        <v>53.991398032918511</v>
      </c>
      <c r="G1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19" spans="1:7" x14ac:dyDescent="0.35">
      <c r="A119" s="46">
        <v>45763</v>
      </c>
      <c r="B119" s="32" t="s">
        <v>5</v>
      </c>
      <c r="C119" s="32" t="s">
        <v>26</v>
      </c>
      <c r="D119" s="33">
        <v>134.77000000000001</v>
      </c>
      <c r="E119" s="34">
        <v>0.40660000000000002</v>
      </c>
      <c r="F119" s="52">
        <v>53.838355602061334</v>
      </c>
      <c r="G1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0" spans="1:7" x14ac:dyDescent="0.35">
      <c r="A120" s="46">
        <v>45950</v>
      </c>
      <c r="B120" s="40" t="s">
        <v>2</v>
      </c>
      <c r="C120" s="40" t="s">
        <v>26</v>
      </c>
      <c r="D120" s="33">
        <v>386.41</v>
      </c>
      <c r="E120" s="32">
        <v>0.41</v>
      </c>
      <c r="F120" s="32">
        <v>54.2</v>
      </c>
      <c r="G1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1" spans="1:7" x14ac:dyDescent="0.35">
      <c r="A121" s="45">
        <v>45927</v>
      </c>
      <c r="B121" s="39" t="s">
        <v>5</v>
      </c>
      <c r="C121" s="39" t="s">
        <v>26</v>
      </c>
      <c r="D121" s="30">
        <v>130.01</v>
      </c>
      <c r="E121" s="41">
        <v>0.42</v>
      </c>
      <c r="F121" s="55">
        <v>54.965111352072725</v>
      </c>
      <c r="G1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2" spans="1:7" x14ac:dyDescent="0.35">
      <c r="A122" s="46">
        <v>46039</v>
      </c>
      <c r="B122" s="40" t="s">
        <v>2</v>
      </c>
      <c r="C122" s="40" t="s">
        <v>26</v>
      </c>
      <c r="D122" s="33">
        <v>357.32</v>
      </c>
      <c r="E122" s="32">
        <v>0.42</v>
      </c>
      <c r="F122" s="32">
        <v>53.7</v>
      </c>
      <c r="G1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3" spans="1:7" x14ac:dyDescent="0.35">
      <c r="A123" s="45">
        <v>46040</v>
      </c>
      <c r="B123" s="39" t="s">
        <v>2</v>
      </c>
      <c r="C123" s="39" t="s">
        <v>26</v>
      </c>
      <c r="D123" s="30">
        <v>1096.44</v>
      </c>
      <c r="E123" s="29">
        <v>0.42</v>
      </c>
      <c r="F123" s="29">
        <v>53.7</v>
      </c>
      <c r="G1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4" spans="1:7" x14ac:dyDescent="0.35">
      <c r="A124" s="48">
        <v>45723</v>
      </c>
      <c r="B124" s="32" t="s">
        <v>2</v>
      </c>
      <c r="C124" s="32" t="s">
        <v>26</v>
      </c>
      <c r="D124" s="33">
        <v>320.08</v>
      </c>
      <c r="E124" s="34">
        <v>0.42265000000000003</v>
      </c>
      <c r="F124" s="35">
        <v>51.385230599558852</v>
      </c>
      <c r="G1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5" spans="1:7" x14ac:dyDescent="0.35">
      <c r="A125" s="45">
        <v>45799</v>
      </c>
      <c r="B125" s="29" t="s">
        <v>2</v>
      </c>
      <c r="C125" s="29" t="s">
        <v>26</v>
      </c>
      <c r="D125" s="30">
        <v>341.45</v>
      </c>
      <c r="E125" s="31">
        <v>0.42800000000000005</v>
      </c>
      <c r="F125" s="36">
        <v>54.231189427312778</v>
      </c>
      <c r="G1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6" spans="1:7" x14ac:dyDescent="0.35">
      <c r="A126" s="46">
        <v>45857</v>
      </c>
      <c r="B126" s="32" t="s">
        <v>5</v>
      </c>
      <c r="C126" s="32" t="s">
        <v>26</v>
      </c>
      <c r="D126" s="33">
        <v>73.3</v>
      </c>
      <c r="E126" s="34">
        <v>0.43</v>
      </c>
      <c r="F126" s="52">
        <v>53.825819924968734</v>
      </c>
      <c r="G1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7" spans="1:7" x14ac:dyDescent="0.35">
      <c r="A127" s="45">
        <v>45859</v>
      </c>
      <c r="B127" s="29" t="s">
        <v>5</v>
      </c>
      <c r="C127" s="29" t="s">
        <v>26</v>
      </c>
      <c r="D127" s="30">
        <v>69.23</v>
      </c>
      <c r="E127" s="31">
        <v>0.43</v>
      </c>
      <c r="F127" s="51">
        <v>54.538118391474484</v>
      </c>
      <c r="G1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8" spans="1:7" x14ac:dyDescent="0.35">
      <c r="A128" s="46">
        <v>46009</v>
      </c>
      <c r="B128" s="40" t="s">
        <v>2</v>
      </c>
      <c r="C128" s="40" t="s">
        <v>26</v>
      </c>
      <c r="D128" s="33">
        <v>499.97</v>
      </c>
      <c r="E128" s="32">
        <v>0.43</v>
      </c>
      <c r="F128" s="32">
        <v>54.8</v>
      </c>
      <c r="G1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29" spans="1:7" x14ac:dyDescent="0.35">
      <c r="A129" s="48">
        <v>45706</v>
      </c>
      <c r="B129" s="32" t="s">
        <v>2</v>
      </c>
      <c r="C129" s="32" t="s">
        <v>26</v>
      </c>
      <c r="D129" s="33">
        <v>171.28</v>
      </c>
      <c r="E129" s="34">
        <v>0.43067500000000003</v>
      </c>
      <c r="F129" s="52">
        <v>53.701935920074348</v>
      </c>
      <c r="G1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0" spans="1:7" x14ac:dyDescent="0.35">
      <c r="A130" s="45">
        <v>45821</v>
      </c>
      <c r="B130" s="29" t="s">
        <v>2</v>
      </c>
      <c r="C130" s="29" t="s">
        <v>26</v>
      </c>
      <c r="D130" s="30">
        <v>513.51</v>
      </c>
      <c r="E130" s="31">
        <v>0.44</v>
      </c>
      <c r="F130" s="36">
        <v>52.972697289035473</v>
      </c>
      <c r="G1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1" spans="1:7" x14ac:dyDescent="0.35">
      <c r="A131" s="45">
        <v>45952</v>
      </c>
      <c r="B131" s="39" t="s">
        <v>2</v>
      </c>
      <c r="C131" s="39" t="s">
        <v>26</v>
      </c>
      <c r="D131" s="30">
        <v>319.16000000000003</v>
      </c>
      <c r="E131" s="29">
        <v>0.44</v>
      </c>
      <c r="F131" s="29">
        <v>54.4</v>
      </c>
      <c r="G1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2" spans="1:7" x14ac:dyDescent="0.35">
      <c r="A132" s="46">
        <v>46007</v>
      </c>
      <c r="B132" s="40" t="s">
        <v>2</v>
      </c>
      <c r="C132" s="40" t="s">
        <v>26</v>
      </c>
      <c r="D132" s="33">
        <v>271.2</v>
      </c>
      <c r="E132" s="32">
        <v>0.44</v>
      </c>
      <c r="F132" s="32">
        <v>54.8</v>
      </c>
      <c r="G1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3" spans="1:7" x14ac:dyDescent="0.35">
      <c r="A133" s="46">
        <v>45687</v>
      </c>
      <c r="B133" s="32" t="s">
        <v>2</v>
      </c>
      <c r="C133" s="32" t="s">
        <v>26</v>
      </c>
      <c r="D133" s="33">
        <v>384</v>
      </c>
      <c r="E133" s="34">
        <v>0.44672499999999998</v>
      </c>
      <c r="F133" s="35">
        <v>54.490651568343168</v>
      </c>
      <c r="G1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4" spans="1:7" x14ac:dyDescent="0.35">
      <c r="A134" s="47">
        <v>45695</v>
      </c>
      <c r="B134" s="29" t="s">
        <v>2</v>
      </c>
      <c r="C134" s="29" t="s">
        <v>26</v>
      </c>
      <c r="D134" s="30">
        <v>339.86</v>
      </c>
      <c r="E134" s="31">
        <v>0.44940000000000002</v>
      </c>
      <c r="F134" s="51">
        <v>54.486116776644664</v>
      </c>
      <c r="G1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5" spans="1:7" x14ac:dyDescent="0.35">
      <c r="A135" s="46">
        <v>45845</v>
      </c>
      <c r="B135" s="32" t="s">
        <v>2</v>
      </c>
      <c r="C135" s="32" t="s">
        <v>26</v>
      </c>
      <c r="D135" s="33">
        <v>334.82</v>
      </c>
      <c r="E135" s="34">
        <v>0.45</v>
      </c>
      <c r="F135" s="35">
        <v>54.631533101045292</v>
      </c>
      <c r="G1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6" spans="1:7" x14ac:dyDescent="0.35">
      <c r="A136" s="45">
        <v>45891</v>
      </c>
      <c r="B136" s="39" t="s">
        <v>5</v>
      </c>
      <c r="C136" s="39" t="s">
        <v>26</v>
      </c>
      <c r="D136" s="30">
        <v>197.88</v>
      </c>
      <c r="E136" s="31">
        <v>0.45</v>
      </c>
      <c r="F136" s="51">
        <v>54.72171419042855</v>
      </c>
      <c r="G1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7" spans="1:7" x14ac:dyDescent="0.35">
      <c r="A137" s="46">
        <v>45892</v>
      </c>
      <c r="B137" s="40" t="s">
        <v>5</v>
      </c>
      <c r="C137" s="40" t="s">
        <v>26</v>
      </c>
      <c r="D137" s="33">
        <v>235.95</v>
      </c>
      <c r="E137" s="34">
        <v>0.45</v>
      </c>
      <c r="F137" s="52">
        <v>54.72171419042855</v>
      </c>
      <c r="G1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8" spans="1:7" x14ac:dyDescent="0.35">
      <c r="A138" s="46">
        <v>45939</v>
      </c>
      <c r="B138" s="40" t="s">
        <v>2</v>
      </c>
      <c r="C138" s="40" t="s">
        <v>26</v>
      </c>
      <c r="D138" s="33">
        <v>248.08</v>
      </c>
      <c r="E138" s="32">
        <v>0.45</v>
      </c>
      <c r="F138" s="32">
        <v>53.1</v>
      </c>
      <c r="G1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39" spans="1:7" x14ac:dyDescent="0.35">
      <c r="A139" s="45">
        <v>46046</v>
      </c>
      <c r="B139" s="39" t="s">
        <v>5</v>
      </c>
      <c r="C139" s="39" t="s">
        <v>26</v>
      </c>
      <c r="D139" s="30">
        <v>34</v>
      </c>
      <c r="E139" s="29">
        <v>0.45</v>
      </c>
      <c r="F139" s="29">
        <v>54.6</v>
      </c>
      <c r="G1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0" spans="1:7" x14ac:dyDescent="0.35">
      <c r="A140" s="46">
        <v>45892</v>
      </c>
      <c r="B140" s="40" t="s">
        <v>4</v>
      </c>
      <c r="C140" s="40" t="s">
        <v>26</v>
      </c>
      <c r="D140" s="33">
        <v>230.76</v>
      </c>
      <c r="E140" s="35">
        <v>0.46</v>
      </c>
      <c r="F140" s="35">
        <v>54.024685719074753</v>
      </c>
      <c r="G1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1" spans="1:7" x14ac:dyDescent="0.35">
      <c r="A141" s="45">
        <v>45988</v>
      </c>
      <c r="B141" s="39" t="s">
        <v>2</v>
      </c>
      <c r="C141" s="39" t="s">
        <v>26</v>
      </c>
      <c r="D141" s="30">
        <v>201.9</v>
      </c>
      <c r="E141" s="41">
        <v>0.46</v>
      </c>
      <c r="F141" s="44">
        <v>53.200642121236321</v>
      </c>
      <c r="G1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2" spans="1:7" x14ac:dyDescent="0.35">
      <c r="A142" s="45">
        <v>46008</v>
      </c>
      <c r="B142" s="39" t="s">
        <v>2</v>
      </c>
      <c r="C142" s="39" t="s">
        <v>26</v>
      </c>
      <c r="D142" s="30">
        <v>581.02</v>
      </c>
      <c r="E142" s="29">
        <v>0.46</v>
      </c>
      <c r="F142" s="29">
        <v>54.2</v>
      </c>
      <c r="G1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3" spans="1:7" x14ac:dyDescent="0.35">
      <c r="A143" s="47">
        <v>45709</v>
      </c>
      <c r="B143" s="29" t="s">
        <v>2</v>
      </c>
      <c r="C143" s="29" t="s">
        <v>26</v>
      </c>
      <c r="D143" s="30">
        <v>343.98</v>
      </c>
      <c r="E143" s="31">
        <v>0.46277500000000005</v>
      </c>
      <c r="F143" s="51">
        <v>53.993333333333325</v>
      </c>
      <c r="G1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4" spans="1:7" x14ac:dyDescent="0.35">
      <c r="A144" s="46">
        <v>45805</v>
      </c>
      <c r="B144" s="32" t="s">
        <v>2</v>
      </c>
      <c r="C144" s="32" t="s">
        <v>26</v>
      </c>
      <c r="D144" s="33">
        <v>379.64</v>
      </c>
      <c r="E144" s="34">
        <v>0.46545000000000003</v>
      </c>
      <c r="F144" s="35">
        <v>53.587661062256423</v>
      </c>
      <c r="G1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5" spans="1:7" x14ac:dyDescent="0.35">
      <c r="A145" s="45">
        <v>45790</v>
      </c>
      <c r="B145" s="29" t="s">
        <v>2</v>
      </c>
      <c r="C145" s="29" t="s">
        <v>26</v>
      </c>
      <c r="D145" s="30">
        <v>30.66</v>
      </c>
      <c r="E145" s="31">
        <v>0.46812500000000001</v>
      </c>
      <c r="F145" s="36">
        <v>53.663106761780377</v>
      </c>
      <c r="G1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6" spans="1:7" x14ac:dyDescent="0.35">
      <c r="A146" s="45">
        <v>45995</v>
      </c>
      <c r="B146" s="39" t="s">
        <v>5</v>
      </c>
      <c r="C146" s="39" t="s">
        <v>26</v>
      </c>
      <c r="D146" s="30">
        <v>105</v>
      </c>
      <c r="E146" s="29">
        <v>0.47</v>
      </c>
      <c r="F146" s="29">
        <v>54.7</v>
      </c>
      <c r="G1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7" spans="1:7" x14ac:dyDescent="0.35">
      <c r="A147" s="46">
        <v>45889</v>
      </c>
      <c r="B147" s="40" t="s">
        <v>5</v>
      </c>
      <c r="C147" s="40" t="s">
        <v>26</v>
      </c>
      <c r="D147" s="33">
        <v>106.84</v>
      </c>
      <c r="E147" s="34">
        <v>0.48</v>
      </c>
      <c r="F147" s="52">
        <v>54.217415152002566</v>
      </c>
      <c r="G1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8" spans="1:7" x14ac:dyDescent="0.35">
      <c r="A148" s="46">
        <v>45891</v>
      </c>
      <c r="B148" s="40" t="s">
        <v>2</v>
      </c>
      <c r="C148" s="40" t="s">
        <v>26</v>
      </c>
      <c r="D148" s="33">
        <v>197.88</v>
      </c>
      <c r="E148" s="34">
        <v>0.48</v>
      </c>
      <c r="F148" s="35">
        <v>54.154810126582277</v>
      </c>
      <c r="G1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49" spans="1:7" x14ac:dyDescent="0.35">
      <c r="A149" s="45">
        <v>45668</v>
      </c>
      <c r="B149" s="29" t="s">
        <v>5</v>
      </c>
      <c r="C149" s="29" t="s">
        <v>26</v>
      </c>
      <c r="D149" s="30">
        <v>175.59</v>
      </c>
      <c r="E149" s="31">
        <v>0.48150000000000004</v>
      </c>
      <c r="F149" s="51">
        <v>50.556950127538386</v>
      </c>
      <c r="G1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0" spans="1:7" x14ac:dyDescent="0.35">
      <c r="A150" s="46">
        <v>45757</v>
      </c>
      <c r="B150" s="32" t="s">
        <v>2</v>
      </c>
      <c r="C150" s="32" t="s">
        <v>26</v>
      </c>
      <c r="D150" s="33">
        <v>305.76</v>
      </c>
      <c r="E150" s="34">
        <v>0.48417500000000002</v>
      </c>
      <c r="F150" s="35">
        <v>53.534941615755628</v>
      </c>
      <c r="G1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1" spans="1:7" x14ac:dyDescent="0.35">
      <c r="A151" s="46">
        <v>45660</v>
      </c>
      <c r="B151" s="32" t="s">
        <v>2</v>
      </c>
      <c r="C151" s="32" t="s">
        <v>26</v>
      </c>
      <c r="D151" s="33">
        <v>132.44</v>
      </c>
      <c r="E151" s="34">
        <v>0.49</v>
      </c>
      <c r="F151" s="35">
        <v>52.856487378320409</v>
      </c>
      <c r="G1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2" spans="1:7" x14ac:dyDescent="0.35">
      <c r="A152" s="46">
        <v>45916</v>
      </c>
      <c r="B152" s="40" t="s">
        <v>5</v>
      </c>
      <c r="C152" s="40" t="s">
        <v>26</v>
      </c>
      <c r="D152" s="33">
        <v>112.44</v>
      </c>
      <c r="E152" s="34">
        <v>0.5</v>
      </c>
      <c r="F152" s="52">
        <v>53.921715446480391</v>
      </c>
      <c r="G1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3" spans="1:7" x14ac:dyDescent="0.35">
      <c r="A153" s="45">
        <v>45756</v>
      </c>
      <c r="B153" s="29" t="s">
        <v>2</v>
      </c>
      <c r="C153" s="29" t="s">
        <v>26</v>
      </c>
      <c r="D153" s="30">
        <v>173.4</v>
      </c>
      <c r="E153" s="31">
        <v>0.50824999999999998</v>
      </c>
      <c r="F153" s="36">
        <v>53.899296492455278</v>
      </c>
      <c r="G1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4" spans="1:7" x14ac:dyDescent="0.35">
      <c r="A154" s="48">
        <v>45807</v>
      </c>
      <c r="B154" s="32" t="s">
        <v>2</v>
      </c>
      <c r="C154" s="32" t="s">
        <v>26</v>
      </c>
      <c r="D154" s="33">
        <v>314.36</v>
      </c>
      <c r="E154" s="34">
        <v>0.51</v>
      </c>
      <c r="F154" s="35">
        <v>53.980767752715124</v>
      </c>
      <c r="G1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5" spans="1:7" x14ac:dyDescent="0.35">
      <c r="A155" s="45">
        <v>45895</v>
      </c>
      <c r="B155" s="39" t="s">
        <v>5</v>
      </c>
      <c r="C155" s="39" t="s">
        <v>26</v>
      </c>
      <c r="D155" s="30">
        <v>102.51</v>
      </c>
      <c r="E155" s="31">
        <v>0.51</v>
      </c>
      <c r="F155" s="51">
        <v>53.712791411042943</v>
      </c>
      <c r="G1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6" spans="1:7" x14ac:dyDescent="0.35">
      <c r="A156" s="45">
        <v>46044</v>
      </c>
      <c r="B156" s="39" t="s">
        <v>2</v>
      </c>
      <c r="C156" s="39" t="s">
        <v>26</v>
      </c>
      <c r="D156" s="30">
        <v>327.38</v>
      </c>
      <c r="E156" s="29">
        <v>0.51</v>
      </c>
      <c r="F156" s="29">
        <v>53.9</v>
      </c>
      <c r="G1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7" spans="1:7" x14ac:dyDescent="0.35">
      <c r="A157" s="47">
        <v>45742</v>
      </c>
      <c r="B157" s="29" t="s">
        <v>2</v>
      </c>
      <c r="C157" s="29" t="s">
        <v>26</v>
      </c>
      <c r="D157" s="30">
        <v>348.88</v>
      </c>
      <c r="E157" s="31">
        <v>0.51092499999999996</v>
      </c>
      <c r="F157" s="36">
        <v>50.611637057111317</v>
      </c>
      <c r="G1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8" spans="1:7" x14ac:dyDescent="0.35">
      <c r="A158" s="46">
        <v>45691</v>
      </c>
      <c r="B158" s="32" t="s">
        <v>2</v>
      </c>
      <c r="C158" s="32" t="s">
        <v>26</v>
      </c>
      <c r="D158" s="33">
        <v>312.66000000000003</v>
      </c>
      <c r="E158" s="34">
        <v>0.51895000000000002</v>
      </c>
      <c r="F158" s="35">
        <v>45.759074126012194</v>
      </c>
      <c r="G1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59" spans="1:7" x14ac:dyDescent="0.35">
      <c r="A159" s="46">
        <v>45898</v>
      </c>
      <c r="B159" s="40" t="s">
        <v>2</v>
      </c>
      <c r="C159" s="40" t="s">
        <v>26</v>
      </c>
      <c r="D159" s="33">
        <v>139.4</v>
      </c>
      <c r="E159" s="34">
        <v>0.52</v>
      </c>
      <c r="F159" s="35">
        <v>54.537267563992842</v>
      </c>
      <c r="G1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0" spans="1:7" x14ac:dyDescent="0.35">
      <c r="A160" s="47">
        <v>45707</v>
      </c>
      <c r="B160" s="29" t="s">
        <v>2</v>
      </c>
      <c r="C160" s="29" t="s">
        <v>26</v>
      </c>
      <c r="D160" s="30">
        <v>307.77999999999997</v>
      </c>
      <c r="E160" s="31">
        <v>0.52162500000000001</v>
      </c>
      <c r="F160" s="51">
        <v>52.472366802788848</v>
      </c>
      <c r="G1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1" spans="1:7" x14ac:dyDescent="0.35">
      <c r="A161" s="45">
        <v>45839</v>
      </c>
      <c r="B161" s="29" t="s">
        <v>2</v>
      </c>
      <c r="C161" s="29" t="s">
        <v>26</v>
      </c>
      <c r="D161" s="30">
        <v>115.55</v>
      </c>
      <c r="E161" s="31">
        <v>0.52162500000000001</v>
      </c>
      <c r="F161" s="36">
        <v>53.051414444111472</v>
      </c>
      <c r="G1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2" spans="1:7" x14ac:dyDescent="0.35">
      <c r="A162" s="46">
        <v>45835</v>
      </c>
      <c r="B162" s="32" t="s">
        <v>2</v>
      </c>
      <c r="C162" s="32" t="s">
        <v>26</v>
      </c>
      <c r="D162" s="33">
        <v>531.47</v>
      </c>
      <c r="E162" s="34">
        <v>0.52965000000000007</v>
      </c>
      <c r="F162" s="35">
        <v>53.509577576742331</v>
      </c>
      <c r="G1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3" spans="1:7" x14ac:dyDescent="0.35">
      <c r="A163" s="45">
        <v>45846</v>
      </c>
      <c r="B163" s="29" t="s">
        <v>2</v>
      </c>
      <c r="C163" s="29" t="s">
        <v>26</v>
      </c>
      <c r="D163" s="30">
        <v>364.02</v>
      </c>
      <c r="E163" s="31">
        <v>0.53</v>
      </c>
      <c r="F163" s="36">
        <v>54.228588253057531</v>
      </c>
      <c r="G1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4" spans="1:7" x14ac:dyDescent="0.35">
      <c r="A164" s="46">
        <v>46032</v>
      </c>
      <c r="B164" s="40" t="s">
        <v>5</v>
      </c>
      <c r="C164" s="40" t="s">
        <v>26</v>
      </c>
      <c r="D164" s="33">
        <v>31.66</v>
      </c>
      <c r="E164" s="42">
        <v>0.53232500000000005</v>
      </c>
      <c r="F164" s="58">
        <v>54.635725461936438</v>
      </c>
      <c r="G1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5" spans="1:7" x14ac:dyDescent="0.35">
      <c r="A165" s="47">
        <v>45738</v>
      </c>
      <c r="B165" s="29" t="s">
        <v>2</v>
      </c>
      <c r="C165" s="29" t="s">
        <v>26</v>
      </c>
      <c r="D165" s="30">
        <v>233.38</v>
      </c>
      <c r="E165" s="31">
        <v>0.53767500000000001</v>
      </c>
      <c r="F165" s="36">
        <v>53.916084126189283</v>
      </c>
      <c r="G1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6" spans="1:7" x14ac:dyDescent="0.35">
      <c r="A166" s="46">
        <v>45877</v>
      </c>
      <c r="B166" s="40" t="s">
        <v>5</v>
      </c>
      <c r="C166" s="40" t="s">
        <v>26</v>
      </c>
      <c r="D166" s="33">
        <v>138.88</v>
      </c>
      <c r="E166" s="34">
        <v>0.54</v>
      </c>
      <c r="F166" s="52">
        <v>54.649434967129899</v>
      </c>
      <c r="G1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7" spans="1:7" x14ac:dyDescent="0.35">
      <c r="A167" s="46">
        <v>45793</v>
      </c>
      <c r="B167" s="32" t="s">
        <v>5</v>
      </c>
      <c r="C167" s="32" t="s">
        <v>26</v>
      </c>
      <c r="D167" s="33">
        <v>129.01</v>
      </c>
      <c r="E167" s="34">
        <v>0.54302499999999998</v>
      </c>
      <c r="F167" s="52">
        <v>54.703183954125215</v>
      </c>
      <c r="G1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8" spans="1:7" x14ac:dyDescent="0.35">
      <c r="A168" s="46">
        <v>45894</v>
      </c>
      <c r="B168" s="40" t="s">
        <v>2</v>
      </c>
      <c r="C168" s="40" t="s">
        <v>26</v>
      </c>
      <c r="D168" s="33">
        <v>175.9</v>
      </c>
      <c r="E168" s="34">
        <v>0.55000000000000004</v>
      </c>
      <c r="F168" s="35">
        <v>53.860428799194423</v>
      </c>
      <c r="G1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69" spans="1:7" x14ac:dyDescent="0.35">
      <c r="A169" s="45">
        <v>45944</v>
      </c>
      <c r="B169" s="39" t="s">
        <v>2</v>
      </c>
      <c r="C169" s="39" t="s">
        <v>26</v>
      </c>
      <c r="D169" s="30">
        <v>218.69</v>
      </c>
      <c r="E169" s="29">
        <v>0.55000000000000004</v>
      </c>
      <c r="F169" s="29">
        <v>53.5</v>
      </c>
      <c r="G1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0" spans="1:7" x14ac:dyDescent="0.35">
      <c r="A170" s="45">
        <v>45952</v>
      </c>
      <c r="B170" s="39" t="s">
        <v>7</v>
      </c>
      <c r="C170" s="39" t="s">
        <v>26</v>
      </c>
      <c r="D170" s="30">
        <v>52.63</v>
      </c>
      <c r="E170" s="29">
        <v>0.55000000000000004</v>
      </c>
      <c r="F170" s="29">
        <v>54.6</v>
      </c>
      <c r="G1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1" spans="1:7" x14ac:dyDescent="0.35">
      <c r="A171" s="45">
        <v>45827</v>
      </c>
      <c r="B171" s="29" t="s">
        <v>2</v>
      </c>
      <c r="C171" s="29" t="s">
        <v>26</v>
      </c>
      <c r="D171" s="30">
        <v>163.44</v>
      </c>
      <c r="E171" s="31">
        <v>0.56000000000000005</v>
      </c>
      <c r="F171" s="36">
        <v>54.332257392753014</v>
      </c>
      <c r="G1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2" spans="1:7" x14ac:dyDescent="0.35">
      <c r="A172" s="45">
        <v>45929</v>
      </c>
      <c r="B172" s="39" t="s">
        <v>2</v>
      </c>
      <c r="C172" s="39" t="s">
        <v>26</v>
      </c>
      <c r="D172" s="30">
        <v>327.06</v>
      </c>
      <c r="E172" s="41">
        <v>0.56000000000000005</v>
      </c>
      <c r="F172" s="44">
        <v>53.037119053569945</v>
      </c>
      <c r="G1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3" spans="1:7" x14ac:dyDescent="0.35">
      <c r="A173" s="46">
        <v>45679</v>
      </c>
      <c r="B173" s="32" t="s">
        <v>2</v>
      </c>
      <c r="C173" s="32" t="s">
        <v>26</v>
      </c>
      <c r="D173" s="33">
        <v>353.98</v>
      </c>
      <c r="E173" s="34">
        <v>0.56977500000000003</v>
      </c>
      <c r="F173" s="35">
        <v>54.71208097648109</v>
      </c>
      <c r="G1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4" spans="1:7" x14ac:dyDescent="0.35">
      <c r="A174" s="48">
        <v>45700</v>
      </c>
      <c r="B174" s="32" t="s">
        <v>5</v>
      </c>
      <c r="C174" s="32" t="s">
        <v>26</v>
      </c>
      <c r="D174" s="33">
        <v>137.22</v>
      </c>
      <c r="E174" s="34">
        <v>0.56977500000000003</v>
      </c>
      <c r="F174" s="52">
        <v>54.128181097316784</v>
      </c>
      <c r="G1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5" spans="1:7" x14ac:dyDescent="0.35">
      <c r="A175" s="45">
        <v>45955</v>
      </c>
      <c r="B175" s="39" t="s">
        <v>5</v>
      </c>
      <c r="C175" s="39" t="s">
        <v>26</v>
      </c>
      <c r="D175" s="30">
        <v>66</v>
      </c>
      <c r="E175" s="29">
        <v>0.56999999999999995</v>
      </c>
      <c r="F175" s="29">
        <v>54.4</v>
      </c>
      <c r="G1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6" spans="1:7" x14ac:dyDescent="0.35">
      <c r="A176" s="45">
        <v>46010</v>
      </c>
      <c r="B176" s="39" t="s">
        <v>2</v>
      </c>
      <c r="C176" s="39" t="s">
        <v>26</v>
      </c>
      <c r="D176" s="30">
        <v>407.11</v>
      </c>
      <c r="E176" s="29">
        <v>0.56999999999999995</v>
      </c>
      <c r="F176" s="29">
        <v>54</v>
      </c>
      <c r="G1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7" spans="1:7" x14ac:dyDescent="0.35">
      <c r="A177" s="45">
        <v>45685</v>
      </c>
      <c r="B177" s="29" t="s">
        <v>2</v>
      </c>
      <c r="C177" s="29" t="s">
        <v>26</v>
      </c>
      <c r="D177" s="30">
        <v>384</v>
      </c>
      <c r="E177" s="31">
        <v>0.57245000000000001</v>
      </c>
      <c r="F177" s="36">
        <v>53.564164217209445</v>
      </c>
      <c r="G1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8" spans="1:7" x14ac:dyDescent="0.35">
      <c r="A178" s="48">
        <v>45701</v>
      </c>
      <c r="B178" s="32" t="s">
        <v>2</v>
      </c>
      <c r="C178" s="32" t="s">
        <v>26</v>
      </c>
      <c r="D178" s="33">
        <v>176.24</v>
      </c>
      <c r="E178" s="34">
        <v>0.57245000000000001</v>
      </c>
      <c r="F178" s="52">
        <v>54.408684367541767</v>
      </c>
      <c r="G1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79" spans="1:7" x14ac:dyDescent="0.35">
      <c r="A179" s="47">
        <v>45752</v>
      </c>
      <c r="B179" s="29" t="s">
        <v>5</v>
      </c>
      <c r="C179" s="29" t="s">
        <v>26</v>
      </c>
      <c r="D179" s="30">
        <v>123.01</v>
      </c>
      <c r="E179" s="31">
        <v>0.57780000000000009</v>
      </c>
      <c r="F179" s="51">
        <v>54.096652123534717</v>
      </c>
      <c r="G1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0" spans="1:7" x14ac:dyDescent="0.35">
      <c r="A180" s="45">
        <v>45870</v>
      </c>
      <c r="B180" s="39" t="s">
        <v>2</v>
      </c>
      <c r="C180" s="39" t="s">
        <v>26</v>
      </c>
      <c r="D180" s="30">
        <v>76.69</v>
      </c>
      <c r="E180" s="31">
        <v>0.57780000000000009</v>
      </c>
      <c r="F180" s="36">
        <v>53.693442752886206</v>
      </c>
      <c r="G1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1" spans="1:7" x14ac:dyDescent="0.35">
      <c r="A181" s="46">
        <v>45665</v>
      </c>
      <c r="B181" s="32" t="s">
        <v>2</v>
      </c>
      <c r="C181" s="32" t="s">
        <v>26</v>
      </c>
      <c r="D181" s="33">
        <v>421.38</v>
      </c>
      <c r="E181" s="34">
        <v>0.57999999999999996</v>
      </c>
      <c r="F181" s="35">
        <v>53.510697325668581</v>
      </c>
      <c r="G1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2" spans="1:7" x14ac:dyDescent="0.35">
      <c r="A182" s="45">
        <v>45899</v>
      </c>
      <c r="B182" s="39" t="s">
        <v>2</v>
      </c>
      <c r="C182" s="39" t="s">
        <v>26</v>
      </c>
      <c r="D182" s="30">
        <v>261.02999999999997</v>
      </c>
      <c r="E182" s="31">
        <v>0.57999999999999996</v>
      </c>
      <c r="F182" s="36">
        <v>52.433509364445811</v>
      </c>
      <c r="G1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3" spans="1:7" x14ac:dyDescent="0.35">
      <c r="A183" s="45">
        <v>45906</v>
      </c>
      <c r="B183" s="39" t="s">
        <v>2</v>
      </c>
      <c r="C183" s="39" t="s">
        <v>26</v>
      </c>
      <c r="D183" s="30">
        <v>153.87</v>
      </c>
      <c r="E183" s="31">
        <v>0.57999999999999996</v>
      </c>
      <c r="F183" s="36">
        <v>53.246301849075458</v>
      </c>
      <c r="G1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4" spans="1:7" x14ac:dyDescent="0.35">
      <c r="A184" s="46">
        <v>45755</v>
      </c>
      <c r="B184" s="32" t="s">
        <v>5</v>
      </c>
      <c r="C184" s="32" t="s">
        <v>26</v>
      </c>
      <c r="D184" s="33">
        <v>98.96</v>
      </c>
      <c r="E184" s="34">
        <v>0.58850000000000013</v>
      </c>
      <c r="F184" s="52">
        <v>53.951055287295858</v>
      </c>
      <c r="G1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5" spans="1:7" x14ac:dyDescent="0.35">
      <c r="A185" s="45">
        <v>45755</v>
      </c>
      <c r="B185" s="29" t="s">
        <v>5</v>
      </c>
      <c r="C185" s="29" t="s">
        <v>26</v>
      </c>
      <c r="D185" s="30">
        <v>98.96</v>
      </c>
      <c r="E185" s="31">
        <v>0.58850000000000013</v>
      </c>
      <c r="F185" s="51">
        <v>53.951055287295858</v>
      </c>
      <c r="G1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6" spans="1:7" x14ac:dyDescent="0.35">
      <c r="A186" s="46">
        <v>45786</v>
      </c>
      <c r="B186" s="32" t="s">
        <v>2</v>
      </c>
      <c r="C186" s="32" t="s">
        <v>26</v>
      </c>
      <c r="D186" s="33">
        <v>383.45</v>
      </c>
      <c r="E186" s="34">
        <v>0.58850000000000013</v>
      </c>
      <c r="F186" s="35">
        <v>53.855278472152783</v>
      </c>
      <c r="G1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7" spans="1:7" x14ac:dyDescent="0.35">
      <c r="A187" s="46">
        <v>45859</v>
      </c>
      <c r="B187" s="32" t="s">
        <v>2</v>
      </c>
      <c r="C187" s="32" t="s">
        <v>26</v>
      </c>
      <c r="D187" s="33">
        <v>95.16</v>
      </c>
      <c r="E187" s="34">
        <v>0.59</v>
      </c>
      <c r="F187" s="35">
        <v>54.090544047916147</v>
      </c>
      <c r="G1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8" spans="1:7" x14ac:dyDescent="0.35">
      <c r="A188" s="46">
        <v>45779</v>
      </c>
      <c r="B188" s="32" t="s">
        <v>2</v>
      </c>
      <c r="C188" s="32" t="s">
        <v>26</v>
      </c>
      <c r="D188" s="33">
        <v>521.71</v>
      </c>
      <c r="E188" s="34">
        <v>0.59117500000000001</v>
      </c>
      <c r="F188" s="35">
        <v>53.137420493864411</v>
      </c>
      <c r="G1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89" spans="1:7" x14ac:dyDescent="0.35">
      <c r="A189" s="45">
        <v>45776</v>
      </c>
      <c r="B189" s="29" t="s">
        <v>5</v>
      </c>
      <c r="C189" s="29" t="s">
        <v>26</v>
      </c>
      <c r="D189" s="30">
        <v>101.82</v>
      </c>
      <c r="E189" s="31">
        <v>0.59920000000000007</v>
      </c>
      <c r="F189" s="51">
        <v>54.503464938049561</v>
      </c>
      <c r="G1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0" spans="1:7" x14ac:dyDescent="0.35">
      <c r="A190" s="45">
        <v>45783</v>
      </c>
      <c r="B190" s="29" t="s">
        <v>2</v>
      </c>
      <c r="C190" s="29" t="s">
        <v>26</v>
      </c>
      <c r="D190" s="30">
        <v>365.51</v>
      </c>
      <c r="E190" s="31">
        <v>0.59920000000000007</v>
      </c>
      <c r="F190" s="36">
        <v>53.351687430167594</v>
      </c>
      <c r="G1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1" spans="1:7" x14ac:dyDescent="0.35">
      <c r="A191" s="45">
        <v>45856</v>
      </c>
      <c r="B191" s="29" t="s">
        <v>5</v>
      </c>
      <c r="C191" s="29" t="s">
        <v>26</v>
      </c>
      <c r="D191" s="30">
        <v>66.989999999999995</v>
      </c>
      <c r="E191" s="31">
        <v>0.6</v>
      </c>
      <c r="F191" s="51">
        <v>53.652336981655615</v>
      </c>
      <c r="G1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2" spans="1:7" x14ac:dyDescent="0.35">
      <c r="A192" s="45">
        <v>45864</v>
      </c>
      <c r="B192" s="29" t="s">
        <v>5</v>
      </c>
      <c r="C192" s="29" t="s">
        <v>26</v>
      </c>
      <c r="D192" s="30">
        <v>405.39</v>
      </c>
      <c r="E192" s="31">
        <v>0.6</v>
      </c>
      <c r="F192" s="51">
        <v>53.246617766911164</v>
      </c>
      <c r="G1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3" spans="1:7" x14ac:dyDescent="0.35">
      <c r="A193" s="45">
        <v>45972</v>
      </c>
      <c r="B193" s="39" t="s">
        <v>2</v>
      </c>
      <c r="C193" s="39" t="s">
        <v>26</v>
      </c>
      <c r="D193" s="30">
        <v>448.12</v>
      </c>
      <c r="E193" s="29">
        <v>0.6</v>
      </c>
      <c r="F193" s="29">
        <v>54.7</v>
      </c>
      <c r="G1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4" spans="1:7" x14ac:dyDescent="0.35">
      <c r="A194" s="45">
        <v>46035</v>
      </c>
      <c r="B194" s="39" t="s">
        <v>5</v>
      </c>
      <c r="C194" s="39" t="s">
        <v>26</v>
      </c>
      <c r="D194" s="30">
        <v>76.56</v>
      </c>
      <c r="E194" s="29">
        <v>0.6</v>
      </c>
      <c r="F194" s="29">
        <v>53.9</v>
      </c>
      <c r="G1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5" spans="1:7" x14ac:dyDescent="0.35">
      <c r="A195" s="46">
        <v>45793</v>
      </c>
      <c r="B195" s="32" t="s">
        <v>2</v>
      </c>
      <c r="C195" s="32" t="s">
        <v>26</v>
      </c>
      <c r="D195" s="33">
        <v>217.84</v>
      </c>
      <c r="E195" s="34">
        <v>0.60455000000000003</v>
      </c>
      <c r="F195" s="35">
        <v>53.911916230629906</v>
      </c>
      <c r="G1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6" spans="1:7" x14ac:dyDescent="0.35">
      <c r="A196" s="45">
        <v>45819</v>
      </c>
      <c r="B196" s="29" t="s">
        <v>7</v>
      </c>
      <c r="C196" s="29" t="s">
        <v>26</v>
      </c>
      <c r="D196" s="30">
        <v>24.39</v>
      </c>
      <c r="E196" s="31">
        <v>0.61</v>
      </c>
      <c r="F196" s="36">
        <v>53.96837952679865</v>
      </c>
      <c r="G1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7" spans="1:7" x14ac:dyDescent="0.35">
      <c r="A197" s="46">
        <v>45840</v>
      </c>
      <c r="B197" s="32" t="s">
        <v>2</v>
      </c>
      <c r="C197" s="32" t="s">
        <v>26</v>
      </c>
      <c r="D197" s="33">
        <v>135.74</v>
      </c>
      <c r="E197" s="34">
        <v>0.61257500000000009</v>
      </c>
      <c r="F197" s="35">
        <v>53.503010494752623</v>
      </c>
      <c r="G1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8" spans="1:7" x14ac:dyDescent="0.35">
      <c r="A198" s="46">
        <v>46030</v>
      </c>
      <c r="B198" s="40" t="s">
        <v>2</v>
      </c>
      <c r="C198" s="40" t="s">
        <v>26</v>
      </c>
      <c r="D198" s="33">
        <v>413</v>
      </c>
      <c r="E198" s="32">
        <v>0.62</v>
      </c>
      <c r="F198" s="32">
        <v>53.4</v>
      </c>
      <c r="G1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199" spans="1:7" x14ac:dyDescent="0.35">
      <c r="A199" s="46">
        <v>46057</v>
      </c>
      <c r="B199" s="40" t="s">
        <v>2</v>
      </c>
      <c r="C199" s="40" t="s">
        <v>26</v>
      </c>
      <c r="D199" s="33">
        <v>535.4</v>
      </c>
      <c r="E199" s="32">
        <v>0.62</v>
      </c>
      <c r="F199" s="32">
        <v>53.9</v>
      </c>
      <c r="G1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0" spans="1:7" x14ac:dyDescent="0.35">
      <c r="A200" s="48">
        <v>45685</v>
      </c>
      <c r="B200" s="32" t="s">
        <v>5</v>
      </c>
      <c r="C200" s="32" t="s">
        <v>26</v>
      </c>
      <c r="D200" s="33">
        <v>204.96</v>
      </c>
      <c r="E200" s="34">
        <v>0.62060000000000004</v>
      </c>
      <c r="F200" s="52">
        <v>53.839142438160785</v>
      </c>
      <c r="G2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1" spans="1:7" x14ac:dyDescent="0.35">
      <c r="A201" s="48">
        <v>45726</v>
      </c>
      <c r="B201" s="32" t="s">
        <v>2</v>
      </c>
      <c r="C201" s="32" t="s">
        <v>26</v>
      </c>
      <c r="D201" s="33">
        <v>304.92</v>
      </c>
      <c r="E201" s="34">
        <v>0.62327500000000002</v>
      </c>
      <c r="F201" s="35">
        <v>54.1185296482412</v>
      </c>
      <c r="G2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2" spans="1:7" x14ac:dyDescent="0.35">
      <c r="A202" s="48">
        <v>45745</v>
      </c>
      <c r="B202" s="32" t="s">
        <v>9</v>
      </c>
      <c r="C202" s="32" t="s">
        <v>26</v>
      </c>
      <c r="D202" s="33">
        <v>170.94</v>
      </c>
      <c r="E202" s="34">
        <v>0.62327500000000002</v>
      </c>
      <c r="F202" s="52">
        <v>51.373637551512708</v>
      </c>
      <c r="G2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3" spans="1:7" x14ac:dyDescent="0.35">
      <c r="A203" s="45">
        <v>45840</v>
      </c>
      <c r="B203" s="29" t="s">
        <v>5</v>
      </c>
      <c r="C203" s="29" t="s">
        <v>26</v>
      </c>
      <c r="D203" s="30">
        <v>138.88</v>
      </c>
      <c r="E203" s="31">
        <v>0.62595000000000001</v>
      </c>
      <c r="F203" s="51">
        <v>53.830027623863757</v>
      </c>
      <c r="G2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4" spans="1:7" x14ac:dyDescent="0.35">
      <c r="A204" s="47">
        <v>45882</v>
      </c>
      <c r="B204" s="39" t="s">
        <v>2</v>
      </c>
      <c r="C204" s="39" t="s">
        <v>26</v>
      </c>
      <c r="D204" s="30">
        <v>197.65</v>
      </c>
      <c r="E204" s="31">
        <v>0.63</v>
      </c>
      <c r="F204" s="36">
        <v>54.422924488944517</v>
      </c>
      <c r="G2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5" spans="1:7" x14ac:dyDescent="0.35">
      <c r="A205" s="46">
        <v>45946</v>
      </c>
      <c r="B205" s="40" t="s">
        <v>2</v>
      </c>
      <c r="C205" s="40" t="s">
        <v>26</v>
      </c>
      <c r="D205" s="33">
        <v>233.13</v>
      </c>
      <c r="E205" s="32">
        <v>0.63</v>
      </c>
      <c r="F205" s="32">
        <v>53.55</v>
      </c>
      <c r="G2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6" spans="1:7" x14ac:dyDescent="0.35">
      <c r="A206" s="46">
        <v>45997</v>
      </c>
      <c r="B206" s="40" t="s">
        <v>5</v>
      </c>
      <c r="C206" s="40" t="s">
        <v>26</v>
      </c>
      <c r="D206" s="33">
        <v>69.38</v>
      </c>
      <c r="E206" s="32">
        <v>0.63</v>
      </c>
      <c r="F206" s="32">
        <v>54.9</v>
      </c>
      <c r="G2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7" spans="1:7" x14ac:dyDescent="0.35">
      <c r="A207" s="46">
        <v>45785</v>
      </c>
      <c r="B207" s="32" t="s">
        <v>5</v>
      </c>
      <c r="C207" s="32" t="s">
        <v>26</v>
      </c>
      <c r="D207" s="33">
        <v>98.5</v>
      </c>
      <c r="E207" s="34">
        <v>0.64200000000000002</v>
      </c>
      <c r="F207" s="52">
        <v>53.760672377321946</v>
      </c>
      <c r="G2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8" spans="1:7" x14ac:dyDescent="0.35">
      <c r="A208" s="46">
        <v>45847</v>
      </c>
      <c r="B208" s="32" t="s">
        <v>2</v>
      </c>
      <c r="C208" s="32" t="s">
        <v>26</v>
      </c>
      <c r="D208" s="33">
        <v>293.41000000000003</v>
      </c>
      <c r="E208" s="34">
        <v>0.65</v>
      </c>
      <c r="F208" s="35">
        <v>54.113757424947828</v>
      </c>
      <c r="G2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09" spans="1:7" x14ac:dyDescent="0.35">
      <c r="A209" s="46">
        <v>45983</v>
      </c>
      <c r="B209" s="40" t="s">
        <v>2</v>
      </c>
      <c r="C209" s="40" t="s">
        <v>26</v>
      </c>
      <c r="D209" s="33">
        <v>226</v>
      </c>
      <c r="E209" s="42">
        <v>0.65</v>
      </c>
      <c r="F209" s="43">
        <v>54.218294620110889</v>
      </c>
      <c r="G2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0" spans="1:7" x14ac:dyDescent="0.35">
      <c r="A210" s="45">
        <v>46048</v>
      </c>
      <c r="B210" s="39" t="s">
        <v>2</v>
      </c>
      <c r="C210" s="39" t="s">
        <v>26</v>
      </c>
      <c r="D210" s="30">
        <v>254.86</v>
      </c>
      <c r="E210" s="29">
        <v>0.65</v>
      </c>
      <c r="F210" s="29">
        <v>54.1</v>
      </c>
      <c r="G2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1" spans="1:7" x14ac:dyDescent="0.35">
      <c r="A211" s="48">
        <v>45726</v>
      </c>
      <c r="B211" s="32" t="s">
        <v>5</v>
      </c>
      <c r="C211" s="32" t="s">
        <v>26</v>
      </c>
      <c r="D211" s="33">
        <v>34.31</v>
      </c>
      <c r="E211" s="34">
        <v>0.65537500000000004</v>
      </c>
      <c r="F211" s="52">
        <v>54.40226174920128</v>
      </c>
      <c r="G2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2" spans="1:7" x14ac:dyDescent="0.35">
      <c r="A212" s="47">
        <v>45743</v>
      </c>
      <c r="B212" s="29" t="s">
        <v>5</v>
      </c>
      <c r="C212" s="29" t="s">
        <v>26</v>
      </c>
      <c r="D212" s="30">
        <v>127.35</v>
      </c>
      <c r="E212" s="31">
        <v>0.65537500000000004</v>
      </c>
      <c r="F212" s="51">
        <v>53.576802359437757</v>
      </c>
      <c r="G2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3" spans="1:7" x14ac:dyDescent="0.35">
      <c r="A213" s="46">
        <v>45679</v>
      </c>
      <c r="B213" s="32" t="s">
        <v>5</v>
      </c>
      <c r="C213" s="32" t="s">
        <v>26</v>
      </c>
      <c r="D213" s="33">
        <v>137.03</v>
      </c>
      <c r="E213" s="34">
        <v>0.66875000000000007</v>
      </c>
      <c r="F213" s="52">
        <v>54.694103403130917</v>
      </c>
      <c r="G2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4" spans="1:7" x14ac:dyDescent="0.35">
      <c r="A214" s="46">
        <v>45906</v>
      </c>
      <c r="B214" s="40" t="s">
        <v>5</v>
      </c>
      <c r="C214" s="40" t="s">
        <v>26</v>
      </c>
      <c r="D214" s="33">
        <v>105.01</v>
      </c>
      <c r="E214" s="34">
        <v>0.67</v>
      </c>
      <c r="F214" s="52">
        <v>53.024447421299399</v>
      </c>
      <c r="G2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5" spans="1:7" x14ac:dyDescent="0.35">
      <c r="A215" s="46">
        <v>45677</v>
      </c>
      <c r="B215" s="32" t="s">
        <v>2</v>
      </c>
      <c r="C215" s="32" t="s">
        <v>26</v>
      </c>
      <c r="D215" s="33">
        <v>238.56</v>
      </c>
      <c r="E215" s="34">
        <v>0.67410000000000003</v>
      </c>
      <c r="F215" s="35">
        <v>53.769369386994128</v>
      </c>
      <c r="G2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6" spans="1:7" x14ac:dyDescent="0.35">
      <c r="A216" s="46">
        <v>45901</v>
      </c>
      <c r="B216" s="40" t="s">
        <v>2</v>
      </c>
      <c r="C216" s="40" t="s">
        <v>26</v>
      </c>
      <c r="D216" s="33">
        <v>32.85</v>
      </c>
      <c r="E216" s="34">
        <v>0.68</v>
      </c>
      <c r="F216" s="35">
        <v>53.900250584697623</v>
      </c>
      <c r="G2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7" spans="1:7" x14ac:dyDescent="0.35">
      <c r="A217" s="46">
        <v>46063</v>
      </c>
      <c r="B217" s="40" t="s">
        <v>2</v>
      </c>
      <c r="C217" s="40" t="s">
        <v>26</v>
      </c>
      <c r="D217" s="33">
        <v>420.04</v>
      </c>
      <c r="E217" s="32">
        <v>0.68</v>
      </c>
      <c r="F217" s="32">
        <v>54</v>
      </c>
      <c r="G2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8" spans="1:7" x14ac:dyDescent="0.35">
      <c r="A218" s="45">
        <v>45799</v>
      </c>
      <c r="B218" s="29" t="s">
        <v>5</v>
      </c>
      <c r="C218" s="29" t="s">
        <v>26</v>
      </c>
      <c r="D218" s="30">
        <v>40.64</v>
      </c>
      <c r="E218" s="31">
        <v>0.68212499999999998</v>
      </c>
      <c r="F218" s="51">
        <v>54.119485154706062</v>
      </c>
      <c r="G2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19" spans="1:7" x14ac:dyDescent="0.35">
      <c r="A219" s="45">
        <v>45762</v>
      </c>
      <c r="B219" s="29" t="s">
        <v>2</v>
      </c>
      <c r="C219" s="29" t="s">
        <v>26</v>
      </c>
      <c r="D219" s="30">
        <v>329.44</v>
      </c>
      <c r="E219" s="31">
        <v>0.68480000000000008</v>
      </c>
      <c r="F219" s="36">
        <v>53.881596208780294</v>
      </c>
      <c r="G2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0" spans="1:7" x14ac:dyDescent="0.35">
      <c r="A220" s="45">
        <v>45825</v>
      </c>
      <c r="B220" s="29" t="s">
        <v>2</v>
      </c>
      <c r="C220" s="29" t="s">
        <v>26</v>
      </c>
      <c r="D220" s="30">
        <v>255.4</v>
      </c>
      <c r="E220" s="31">
        <v>0.69</v>
      </c>
      <c r="F220" s="36">
        <v>53.004157446036636</v>
      </c>
      <c r="G2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1" spans="1:7" x14ac:dyDescent="0.35">
      <c r="A221" s="46">
        <v>45926</v>
      </c>
      <c r="B221" s="40" t="s">
        <v>2</v>
      </c>
      <c r="C221" s="40" t="s">
        <v>26</v>
      </c>
      <c r="D221" s="33">
        <v>454.67</v>
      </c>
      <c r="E221" s="42">
        <v>0.69</v>
      </c>
      <c r="F221" s="43">
        <v>52.94983896940419</v>
      </c>
      <c r="G2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2" spans="1:7" x14ac:dyDescent="0.35">
      <c r="A222" s="46">
        <v>46056</v>
      </c>
      <c r="B222" s="40" t="s">
        <v>2</v>
      </c>
      <c r="C222" s="40" t="s">
        <v>26</v>
      </c>
      <c r="D222" s="33">
        <v>454.21</v>
      </c>
      <c r="E222" s="32">
        <v>0.69</v>
      </c>
      <c r="F222" s="32">
        <v>53.8</v>
      </c>
      <c r="G2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3" spans="1:7" x14ac:dyDescent="0.35">
      <c r="A223" s="45">
        <v>45772</v>
      </c>
      <c r="B223" s="29" t="s">
        <v>2</v>
      </c>
      <c r="C223" s="29" t="s">
        <v>26</v>
      </c>
      <c r="D223" s="30">
        <v>439.68</v>
      </c>
      <c r="E223" s="31">
        <v>0.69015000000000004</v>
      </c>
      <c r="F223" s="36">
        <v>53.54810229853571</v>
      </c>
      <c r="G2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4" spans="1:7" x14ac:dyDescent="0.35">
      <c r="A224" s="46">
        <v>45667</v>
      </c>
      <c r="B224" s="32" t="s">
        <v>2</v>
      </c>
      <c r="C224" s="32" t="s">
        <v>26</v>
      </c>
      <c r="D224" s="33">
        <v>335.36</v>
      </c>
      <c r="E224" s="34">
        <v>0.69817499999999999</v>
      </c>
      <c r="F224" s="35">
        <v>54.131824304533701</v>
      </c>
      <c r="G2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5" spans="1:7" x14ac:dyDescent="0.35">
      <c r="A225" s="46">
        <v>45860</v>
      </c>
      <c r="B225" s="32" t="s">
        <v>5</v>
      </c>
      <c r="C225" s="32" t="s">
        <v>26</v>
      </c>
      <c r="D225" s="33">
        <v>65.599999999999994</v>
      </c>
      <c r="E225" s="34">
        <v>0.7</v>
      </c>
      <c r="F225" s="52">
        <v>53.638463842889237</v>
      </c>
      <c r="G2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6" spans="1:7" x14ac:dyDescent="0.35">
      <c r="A226" s="45">
        <v>45932</v>
      </c>
      <c r="B226" s="39" t="s">
        <v>5</v>
      </c>
      <c r="C226" s="39" t="s">
        <v>26</v>
      </c>
      <c r="D226" s="30">
        <v>145.44</v>
      </c>
      <c r="E226" s="41">
        <v>0.7</v>
      </c>
      <c r="F226" s="57">
        <v>54.65727908455181</v>
      </c>
      <c r="G2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7" spans="1:7" x14ac:dyDescent="0.35">
      <c r="A227" s="46">
        <v>45934</v>
      </c>
      <c r="B227" s="40" t="s">
        <v>5</v>
      </c>
      <c r="C227" s="40" t="s">
        <v>26</v>
      </c>
      <c r="D227" s="33">
        <v>102.37</v>
      </c>
      <c r="E227" s="42">
        <v>0.7</v>
      </c>
      <c r="F227" s="58">
        <v>54.65727908455181</v>
      </c>
      <c r="G2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8" spans="1:7" x14ac:dyDescent="0.35">
      <c r="A228" s="46">
        <v>45992</v>
      </c>
      <c r="B228" s="40" t="s">
        <v>2</v>
      </c>
      <c r="C228" s="40" t="s">
        <v>26</v>
      </c>
      <c r="D228" s="33">
        <v>402.66</v>
      </c>
      <c r="E228" s="32">
        <v>0.7</v>
      </c>
      <c r="F228" s="32">
        <v>53.8</v>
      </c>
      <c r="G2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29" spans="1:7" x14ac:dyDescent="0.35">
      <c r="A229" s="45">
        <v>46058</v>
      </c>
      <c r="B229" s="39" t="s">
        <v>3</v>
      </c>
      <c r="C229" s="39" t="s">
        <v>26</v>
      </c>
      <c r="D229" s="30">
        <v>91.5</v>
      </c>
      <c r="E229" s="29">
        <v>0.7</v>
      </c>
      <c r="F229" s="29">
        <v>54</v>
      </c>
      <c r="G2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0" spans="1:7" x14ac:dyDescent="0.35">
      <c r="A230" s="48">
        <v>45843</v>
      </c>
      <c r="B230" s="32" t="s">
        <v>5</v>
      </c>
      <c r="C230" s="32" t="s">
        <v>26</v>
      </c>
      <c r="D230" s="33">
        <v>33.5</v>
      </c>
      <c r="E230" s="34">
        <v>0.70085000000000008</v>
      </c>
      <c r="F230" s="52">
        <v>54.129320779758913</v>
      </c>
      <c r="G2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1" spans="1:7" x14ac:dyDescent="0.35">
      <c r="A231" s="46">
        <v>45784</v>
      </c>
      <c r="B231" s="32" t="s">
        <v>2</v>
      </c>
      <c r="C231" s="32" t="s">
        <v>26</v>
      </c>
      <c r="D231" s="33">
        <v>264.04000000000002</v>
      </c>
      <c r="E231" s="34">
        <v>0.70887500000000003</v>
      </c>
      <c r="F231" s="35">
        <v>54.47185123541729</v>
      </c>
      <c r="G2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2" spans="1:7" x14ac:dyDescent="0.35">
      <c r="A232" s="45">
        <v>45762</v>
      </c>
      <c r="B232" s="29" t="s">
        <v>5</v>
      </c>
      <c r="C232" s="29" t="s">
        <v>26</v>
      </c>
      <c r="D232" s="30">
        <v>32.19</v>
      </c>
      <c r="E232" s="31">
        <v>0.71155000000000013</v>
      </c>
      <c r="F232" s="51">
        <v>53.41834378243513</v>
      </c>
      <c r="G2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3" spans="1:7" x14ac:dyDescent="0.35">
      <c r="A233" s="45">
        <v>45834</v>
      </c>
      <c r="B233" s="29" t="s">
        <v>2</v>
      </c>
      <c r="C233" s="29" t="s">
        <v>26</v>
      </c>
      <c r="D233" s="30">
        <v>458.83</v>
      </c>
      <c r="E233" s="31">
        <v>0.72</v>
      </c>
      <c r="F233" s="36">
        <v>54.274572047670631</v>
      </c>
      <c r="G2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4" spans="1:7" x14ac:dyDescent="0.35">
      <c r="A234" s="46">
        <v>45863</v>
      </c>
      <c r="B234" s="32" t="s">
        <v>5</v>
      </c>
      <c r="C234" s="32" t="s">
        <v>26</v>
      </c>
      <c r="D234" s="33">
        <v>72.260000000000005</v>
      </c>
      <c r="E234" s="34">
        <v>0.72</v>
      </c>
      <c r="F234" s="52">
        <v>53.320394545315253</v>
      </c>
      <c r="G2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5" spans="1:7" x14ac:dyDescent="0.35">
      <c r="A235" s="46">
        <v>45881</v>
      </c>
      <c r="B235" s="40" t="s">
        <v>3</v>
      </c>
      <c r="C235" s="40" t="s">
        <v>26</v>
      </c>
      <c r="D235" s="33">
        <v>230.42</v>
      </c>
      <c r="E235" s="35">
        <v>0.72</v>
      </c>
      <c r="F235" s="35">
        <v>54.436666666666667</v>
      </c>
      <c r="G2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6" spans="1:7" x14ac:dyDescent="0.35">
      <c r="A236" s="46">
        <v>45902</v>
      </c>
      <c r="B236" s="40" t="s">
        <v>5</v>
      </c>
      <c r="C236" s="40" t="s">
        <v>26</v>
      </c>
      <c r="D236" s="33">
        <v>103.15</v>
      </c>
      <c r="E236" s="34">
        <v>0.72</v>
      </c>
      <c r="F236" s="52">
        <v>54.125197848636184</v>
      </c>
      <c r="G2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7" spans="1:7" x14ac:dyDescent="0.35">
      <c r="A237" s="46">
        <v>45932</v>
      </c>
      <c r="B237" s="40" t="s">
        <v>2</v>
      </c>
      <c r="C237" s="40" t="s">
        <v>26</v>
      </c>
      <c r="D237" s="33">
        <v>202</v>
      </c>
      <c r="E237" s="42">
        <v>0.72</v>
      </c>
      <c r="F237" s="43">
        <v>54</v>
      </c>
      <c r="G2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8" spans="1:7" x14ac:dyDescent="0.35">
      <c r="A238" s="46">
        <v>45979</v>
      </c>
      <c r="B238" s="40" t="s">
        <v>2</v>
      </c>
      <c r="C238" s="40" t="s">
        <v>26</v>
      </c>
      <c r="D238" s="33">
        <v>169.67</v>
      </c>
      <c r="E238" s="32">
        <v>0.72</v>
      </c>
      <c r="F238" s="32">
        <v>53.9</v>
      </c>
      <c r="G2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39" spans="1:7" x14ac:dyDescent="0.35">
      <c r="A239" s="48">
        <v>45737</v>
      </c>
      <c r="B239" s="32" t="s">
        <v>5</v>
      </c>
      <c r="C239" s="32" t="s">
        <v>26</v>
      </c>
      <c r="D239" s="33">
        <v>32.590000000000003</v>
      </c>
      <c r="E239" s="34">
        <v>0.72760000000000014</v>
      </c>
      <c r="F239" s="52">
        <v>53.800710068256826</v>
      </c>
      <c r="G2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0" spans="1:7" x14ac:dyDescent="0.35">
      <c r="A240" s="45">
        <v>45748</v>
      </c>
      <c r="B240" s="29" t="s">
        <v>2</v>
      </c>
      <c r="C240" s="29" t="s">
        <v>26</v>
      </c>
      <c r="D240" s="30">
        <v>430.88</v>
      </c>
      <c r="E240" s="31">
        <v>0.72760000000000014</v>
      </c>
      <c r="F240" s="36">
        <v>53.301382532927555</v>
      </c>
      <c r="G2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1" spans="1:7" x14ac:dyDescent="0.35">
      <c r="A241" s="46">
        <v>45832</v>
      </c>
      <c r="B241" s="32" t="s">
        <v>3</v>
      </c>
      <c r="C241" s="32" t="s">
        <v>26</v>
      </c>
      <c r="D241" s="33">
        <v>22.08</v>
      </c>
      <c r="E241" s="35">
        <v>0.73</v>
      </c>
      <c r="F241" s="35">
        <v>54.064967046135415</v>
      </c>
      <c r="G2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2" spans="1:7" x14ac:dyDescent="0.35">
      <c r="A242" s="46">
        <v>45945</v>
      </c>
      <c r="B242" s="40" t="s">
        <v>2</v>
      </c>
      <c r="C242" s="40" t="s">
        <v>26</v>
      </c>
      <c r="D242" s="33">
        <v>433.54</v>
      </c>
      <c r="E242" s="42">
        <v>0.73</v>
      </c>
      <c r="F242" s="43">
        <v>53.461155388069265</v>
      </c>
      <c r="G2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3" spans="1:7" x14ac:dyDescent="0.35">
      <c r="A243" s="46">
        <v>45968</v>
      </c>
      <c r="B243" s="40" t="s">
        <v>3</v>
      </c>
      <c r="C243" s="40" t="s">
        <v>26</v>
      </c>
      <c r="D243" s="33">
        <v>95.28</v>
      </c>
      <c r="E243" s="43">
        <v>0.73</v>
      </c>
      <c r="F243" s="43">
        <v>53.779450045829513</v>
      </c>
      <c r="G2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4" spans="1:7" x14ac:dyDescent="0.35">
      <c r="A244" s="46">
        <v>45827</v>
      </c>
      <c r="B244" s="40" t="s">
        <v>8</v>
      </c>
      <c r="C244" s="40" t="s">
        <v>27</v>
      </c>
      <c r="D244" s="33">
        <v>333.27</v>
      </c>
      <c r="E244" s="42">
        <v>0.74</v>
      </c>
      <c r="F244" s="56">
        <v>53.055641537693461</v>
      </c>
      <c r="G2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5" spans="1:7" x14ac:dyDescent="0.35">
      <c r="A245" s="46">
        <v>45800</v>
      </c>
      <c r="B245" s="32" t="s">
        <v>5</v>
      </c>
      <c r="C245" s="32" t="s">
        <v>26</v>
      </c>
      <c r="D245" s="33">
        <v>106.89</v>
      </c>
      <c r="E245" s="34">
        <v>0.74097500000000005</v>
      </c>
      <c r="F245" s="52">
        <v>54.503827783489719</v>
      </c>
      <c r="G2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6" spans="1:7" x14ac:dyDescent="0.35">
      <c r="A246" s="46">
        <v>45771</v>
      </c>
      <c r="B246" s="32" t="s">
        <v>5</v>
      </c>
      <c r="C246" s="32" t="s">
        <v>26</v>
      </c>
      <c r="D246" s="33">
        <v>132.75</v>
      </c>
      <c r="E246" s="34">
        <v>0.74365000000000003</v>
      </c>
      <c r="F246" s="52">
        <v>52.208983182730933</v>
      </c>
      <c r="G2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7" spans="1:7" x14ac:dyDescent="0.35">
      <c r="A247" s="45">
        <v>45940</v>
      </c>
      <c r="B247" s="39" t="s">
        <v>2</v>
      </c>
      <c r="C247" s="39" t="s">
        <v>26</v>
      </c>
      <c r="D247" s="30">
        <v>397.67</v>
      </c>
      <c r="E247" s="29">
        <v>0.75</v>
      </c>
      <c r="F247" s="29">
        <v>52.3</v>
      </c>
      <c r="G2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8" spans="1:7" x14ac:dyDescent="0.35">
      <c r="A248" s="45">
        <v>45792</v>
      </c>
      <c r="B248" s="29" t="s">
        <v>2</v>
      </c>
      <c r="C248" s="29" t="s">
        <v>26</v>
      </c>
      <c r="D248" s="30">
        <v>264.04000000000002</v>
      </c>
      <c r="E248" s="31">
        <v>0.76505000000000001</v>
      </c>
      <c r="F248" s="36">
        <v>53.120485732215499</v>
      </c>
      <c r="G2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49" spans="1:7" x14ac:dyDescent="0.35">
      <c r="A249" s="46">
        <v>45693</v>
      </c>
      <c r="B249" s="32" t="s">
        <v>2</v>
      </c>
      <c r="C249" s="32" t="s">
        <v>26</v>
      </c>
      <c r="D249" s="33">
        <v>403.26</v>
      </c>
      <c r="E249" s="34">
        <v>0.7677250000000001</v>
      </c>
      <c r="F249" s="35">
        <v>52.805100498802872</v>
      </c>
      <c r="G2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0" spans="1:7" x14ac:dyDescent="0.35">
      <c r="A250" s="46">
        <v>45899</v>
      </c>
      <c r="B250" s="40" t="s">
        <v>3</v>
      </c>
      <c r="C250" s="40" t="s">
        <v>26</v>
      </c>
      <c r="D250" s="33">
        <v>113.14</v>
      </c>
      <c r="E250" s="35">
        <v>0.77</v>
      </c>
      <c r="F250" s="35">
        <v>54.754362724613451</v>
      </c>
      <c r="G2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1" spans="1:7" x14ac:dyDescent="0.35">
      <c r="A251" s="45">
        <v>46045</v>
      </c>
      <c r="B251" s="39" t="s">
        <v>2</v>
      </c>
      <c r="C251" s="39" t="s">
        <v>26</v>
      </c>
      <c r="D251" s="30">
        <v>440.39</v>
      </c>
      <c r="E251" s="29">
        <v>0.77</v>
      </c>
      <c r="F251" s="29">
        <v>52</v>
      </c>
      <c r="G2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2" spans="1:7" x14ac:dyDescent="0.35">
      <c r="A252" s="45">
        <v>45777</v>
      </c>
      <c r="B252" s="29" t="s">
        <v>2</v>
      </c>
      <c r="C252" s="29" t="s">
        <v>26</v>
      </c>
      <c r="D252" s="30">
        <v>612</v>
      </c>
      <c r="E252" s="31">
        <v>0.77842500000000003</v>
      </c>
      <c r="F252" s="36">
        <v>52.956198025725392</v>
      </c>
      <c r="G2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3" spans="1:7" x14ac:dyDescent="0.35">
      <c r="A253" s="45">
        <v>45819</v>
      </c>
      <c r="B253" s="29" t="s">
        <v>2</v>
      </c>
      <c r="C253" s="29" t="s">
        <v>26</v>
      </c>
      <c r="D253" s="30">
        <v>575.25</v>
      </c>
      <c r="E253" s="31">
        <v>0.78</v>
      </c>
      <c r="F253" s="36">
        <v>53.698975356679632</v>
      </c>
      <c r="G2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4" spans="1:7" x14ac:dyDescent="0.35">
      <c r="A254" s="46">
        <v>45825</v>
      </c>
      <c r="B254" s="32" t="s">
        <v>5</v>
      </c>
      <c r="C254" s="32" t="s">
        <v>26</v>
      </c>
      <c r="D254" s="33">
        <v>96.4</v>
      </c>
      <c r="E254" s="34">
        <v>0.78</v>
      </c>
      <c r="F254" s="52">
        <v>53.907718658243617</v>
      </c>
      <c r="G2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5" spans="1:7" x14ac:dyDescent="0.35">
      <c r="A255" s="46">
        <v>45973</v>
      </c>
      <c r="B255" s="40" t="s">
        <v>2</v>
      </c>
      <c r="C255" s="40" t="s">
        <v>26</v>
      </c>
      <c r="D255" s="33">
        <v>421.31</v>
      </c>
      <c r="E255" s="32">
        <v>0.78</v>
      </c>
      <c r="F255" s="32">
        <v>53.7</v>
      </c>
      <c r="G2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6" spans="1:7" x14ac:dyDescent="0.35">
      <c r="A256" s="45">
        <v>46050</v>
      </c>
      <c r="B256" s="39" t="s">
        <v>2</v>
      </c>
      <c r="C256" s="39" t="s">
        <v>26</v>
      </c>
      <c r="D256" s="30">
        <v>991.57</v>
      </c>
      <c r="E256" s="29">
        <v>0.78</v>
      </c>
      <c r="F256" s="29">
        <v>53.4</v>
      </c>
      <c r="G2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7" spans="1:7" x14ac:dyDescent="0.35">
      <c r="A257" s="48">
        <v>45715</v>
      </c>
      <c r="B257" s="32" t="s">
        <v>2</v>
      </c>
      <c r="C257" s="32" t="s">
        <v>26</v>
      </c>
      <c r="D257" s="33">
        <v>375.94</v>
      </c>
      <c r="E257" s="34">
        <v>0.79180000000000006</v>
      </c>
      <c r="F257" s="35">
        <v>51.025267057278633</v>
      </c>
      <c r="G2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8" spans="1:7" x14ac:dyDescent="0.35">
      <c r="A258" s="46">
        <v>45670</v>
      </c>
      <c r="B258" s="32" t="s">
        <v>2</v>
      </c>
      <c r="C258" s="32" t="s">
        <v>26</v>
      </c>
      <c r="D258" s="33">
        <v>268.16000000000003</v>
      </c>
      <c r="E258" s="34">
        <v>0.79447500000000015</v>
      </c>
      <c r="F258" s="35">
        <v>52.694549299278485</v>
      </c>
      <c r="G2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59" spans="1:7" x14ac:dyDescent="0.35">
      <c r="A259" s="46">
        <v>45966</v>
      </c>
      <c r="B259" s="40" t="s">
        <v>2</v>
      </c>
      <c r="C259" s="40" t="s">
        <v>26</v>
      </c>
      <c r="D259" s="33">
        <v>1120.46</v>
      </c>
      <c r="E259" s="32">
        <v>0.8</v>
      </c>
      <c r="F259" s="32">
        <v>53</v>
      </c>
      <c r="G2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0" spans="1:7" x14ac:dyDescent="0.35">
      <c r="A260" s="45">
        <v>45761</v>
      </c>
      <c r="B260" s="29" t="s">
        <v>7</v>
      </c>
      <c r="C260" s="29" t="s">
        <v>26</v>
      </c>
      <c r="D260" s="30">
        <v>99.24</v>
      </c>
      <c r="E260" s="31">
        <v>0.80517499999999997</v>
      </c>
      <c r="F260" s="36">
        <v>54.041231030476766</v>
      </c>
      <c r="G2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1" spans="1:7" x14ac:dyDescent="0.35">
      <c r="A261" s="47">
        <v>45698</v>
      </c>
      <c r="B261" s="29" t="s">
        <v>2</v>
      </c>
      <c r="C261" s="29" t="s">
        <v>26</v>
      </c>
      <c r="D261" s="30">
        <v>141.78</v>
      </c>
      <c r="E261" s="31">
        <v>0.80785000000000007</v>
      </c>
      <c r="F261" s="51">
        <v>52.304092683996792</v>
      </c>
      <c r="G2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2" spans="1:7" x14ac:dyDescent="0.35">
      <c r="A262" s="46">
        <v>46051</v>
      </c>
      <c r="B262" s="40" t="s">
        <v>2</v>
      </c>
      <c r="C262" s="40" t="s">
        <v>26</v>
      </c>
      <c r="D262" s="33">
        <v>336.43</v>
      </c>
      <c r="E262" s="32">
        <v>0.81</v>
      </c>
      <c r="F262" s="32">
        <v>52.2</v>
      </c>
      <c r="G2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3" spans="1:7" x14ac:dyDescent="0.35">
      <c r="A263" s="45">
        <v>46041</v>
      </c>
      <c r="B263" s="39" t="s">
        <v>18</v>
      </c>
      <c r="C263" s="39" t="s">
        <v>27</v>
      </c>
      <c r="D263" s="30">
        <v>392.14</v>
      </c>
      <c r="E263" s="29">
        <v>0.82</v>
      </c>
      <c r="F263" s="29">
        <v>52.8</v>
      </c>
      <c r="G2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4" spans="1:7" x14ac:dyDescent="0.35">
      <c r="A264" s="48">
        <v>45721</v>
      </c>
      <c r="B264" s="32" t="s">
        <v>2</v>
      </c>
      <c r="C264" s="32" t="s">
        <v>26</v>
      </c>
      <c r="D264" s="33">
        <v>375.32</v>
      </c>
      <c r="E264" s="34">
        <v>0.82390000000000008</v>
      </c>
      <c r="F264" s="35">
        <v>52.78926398077693</v>
      </c>
      <c r="G2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5" spans="1:7" x14ac:dyDescent="0.35">
      <c r="A265" s="47">
        <v>45731</v>
      </c>
      <c r="B265" s="29" t="s">
        <v>2</v>
      </c>
      <c r="C265" s="29" t="s">
        <v>26</v>
      </c>
      <c r="D265" s="30">
        <v>315.33999999999997</v>
      </c>
      <c r="E265" s="31">
        <v>0.82390000000000008</v>
      </c>
      <c r="F265" s="36">
        <v>54.372969125902166</v>
      </c>
      <c r="G2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6" spans="1:7" x14ac:dyDescent="0.35">
      <c r="A266" s="47">
        <v>45841</v>
      </c>
      <c r="B266" s="29" t="s">
        <v>5</v>
      </c>
      <c r="C266" s="29" t="s">
        <v>26</v>
      </c>
      <c r="D266" s="30">
        <v>153.88</v>
      </c>
      <c r="E266" s="31">
        <v>0.83727499999999999</v>
      </c>
      <c r="F266" s="51">
        <v>53.698272958503338</v>
      </c>
      <c r="G2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7" spans="1:7" x14ac:dyDescent="0.35">
      <c r="A267" s="46">
        <v>45803</v>
      </c>
      <c r="B267" s="32" t="s">
        <v>2</v>
      </c>
      <c r="C267" s="32" t="s">
        <v>26</v>
      </c>
      <c r="D267" s="33">
        <v>526.34</v>
      </c>
      <c r="E267" s="34">
        <v>0.84262500000000007</v>
      </c>
      <c r="F267" s="35">
        <v>53.99024057738572</v>
      </c>
      <c r="G2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8" spans="1:7" x14ac:dyDescent="0.35">
      <c r="A268" s="45">
        <v>45758</v>
      </c>
      <c r="B268" s="29" t="s">
        <v>2</v>
      </c>
      <c r="C268" s="29" t="s">
        <v>26</v>
      </c>
      <c r="D268" s="30">
        <v>309.72000000000003</v>
      </c>
      <c r="E268" s="31">
        <v>0.85600000000000009</v>
      </c>
      <c r="F268" s="36">
        <v>53.751565199919632</v>
      </c>
      <c r="G2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69" spans="1:7" x14ac:dyDescent="0.35">
      <c r="A269" s="45">
        <v>45678</v>
      </c>
      <c r="B269" s="29" t="s">
        <v>2</v>
      </c>
      <c r="C269" s="29" t="s">
        <v>26</v>
      </c>
      <c r="D269" s="30">
        <v>238.56</v>
      </c>
      <c r="E269" s="31">
        <v>0.85867500000000008</v>
      </c>
      <c r="F269" s="36">
        <v>53.179898211297072</v>
      </c>
      <c r="G2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0" spans="1:7" x14ac:dyDescent="0.35">
      <c r="A270" s="45">
        <v>46003</v>
      </c>
      <c r="B270" s="39" t="s">
        <v>5</v>
      </c>
      <c r="C270" s="39" t="s">
        <v>26</v>
      </c>
      <c r="D270" s="30">
        <v>101.96</v>
      </c>
      <c r="E270" s="29">
        <v>0.86</v>
      </c>
      <c r="F270" s="29">
        <v>54</v>
      </c>
      <c r="G2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1" spans="1:7" x14ac:dyDescent="0.35">
      <c r="A271" s="48">
        <v>45737</v>
      </c>
      <c r="B271" s="32" t="s">
        <v>2</v>
      </c>
      <c r="C271" s="32" t="s">
        <v>26</v>
      </c>
      <c r="D271" s="33">
        <v>347.98</v>
      </c>
      <c r="E271" s="34">
        <v>0.86402500000000004</v>
      </c>
      <c r="F271" s="35">
        <v>52.007483291583164</v>
      </c>
      <c r="G2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2" spans="1:7" x14ac:dyDescent="0.35">
      <c r="A272" s="48">
        <v>45695</v>
      </c>
      <c r="B272" s="32" t="s">
        <v>5</v>
      </c>
      <c r="C272" s="32" t="s">
        <v>26</v>
      </c>
      <c r="D272" s="33">
        <v>70.989999999999995</v>
      </c>
      <c r="E272" s="34">
        <v>0.86670000000000014</v>
      </c>
      <c r="F272" s="52">
        <v>54.478677681329081</v>
      </c>
      <c r="G2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3" spans="1:7" x14ac:dyDescent="0.35">
      <c r="A273" s="45">
        <v>45833</v>
      </c>
      <c r="B273" s="29" t="s">
        <v>3</v>
      </c>
      <c r="C273" s="29" t="s">
        <v>26</v>
      </c>
      <c r="D273" s="30">
        <v>43.5</v>
      </c>
      <c r="E273" s="36">
        <v>0.87</v>
      </c>
      <c r="F273" s="36">
        <v>54.766169344767299</v>
      </c>
      <c r="G2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4" spans="1:7" x14ac:dyDescent="0.35">
      <c r="A274" s="46">
        <v>45814</v>
      </c>
      <c r="B274" s="32" t="s">
        <v>5</v>
      </c>
      <c r="C274" s="32" t="s">
        <v>26</v>
      </c>
      <c r="D274" s="33">
        <v>106.83</v>
      </c>
      <c r="E274" s="34">
        <v>0.88</v>
      </c>
      <c r="F274" s="52">
        <v>54.360346205059919</v>
      </c>
      <c r="G2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5" spans="1:7" x14ac:dyDescent="0.35">
      <c r="A275" s="46">
        <v>45822</v>
      </c>
      <c r="B275" s="32" t="s">
        <v>2</v>
      </c>
      <c r="C275" s="32" t="s">
        <v>26</v>
      </c>
      <c r="D275" s="33">
        <v>376.29</v>
      </c>
      <c r="E275" s="34">
        <v>0.88</v>
      </c>
      <c r="F275" s="35">
        <v>53.440532889258954</v>
      </c>
      <c r="G2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6" spans="1:7" x14ac:dyDescent="0.35">
      <c r="A276" s="45">
        <v>45822</v>
      </c>
      <c r="B276" s="29" t="s">
        <v>2</v>
      </c>
      <c r="C276" s="29" t="s">
        <v>26</v>
      </c>
      <c r="D276" s="30">
        <v>376.29</v>
      </c>
      <c r="E276" s="31">
        <v>0.88</v>
      </c>
      <c r="F276" s="36">
        <v>53.440532889258954</v>
      </c>
      <c r="G2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7" spans="1:7" x14ac:dyDescent="0.35">
      <c r="A277" s="46">
        <v>45800</v>
      </c>
      <c r="B277" s="32" t="s">
        <v>2</v>
      </c>
      <c r="C277" s="32" t="s">
        <v>26</v>
      </c>
      <c r="D277" s="33">
        <v>589.66</v>
      </c>
      <c r="E277" s="34">
        <v>0.88542500000000002</v>
      </c>
      <c r="F277" s="35">
        <v>52.950541975556</v>
      </c>
      <c r="G2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8" spans="1:7" x14ac:dyDescent="0.35">
      <c r="A278" s="46">
        <v>45915</v>
      </c>
      <c r="B278" s="40" t="s">
        <v>2</v>
      </c>
      <c r="C278" s="40" t="s">
        <v>26</v>
      </c>
      <c r="D278" s="33">
        <v>79.010000000000005</v>
      </c>
      <c r="E278" s="34">
        <v>0.89</v>
      </c>
      <c r="F278" s="35">
        <v>53.209930168758831</v>
      </c>
      <c r="G2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79" spans="1:7" x14ac:dyDescent="0.35">
      <c r="A279" s="45">
        <v>46001</v>
      </c>
      <c r="B279" s="39" t="s">
        <v>5</v>
      </c>
      <c r="C279" s="39" t="s">
        <v>26</v>
      </c>
      <c r="D279" s="30">
        <v>70.78</v>
      </c>
      <c r="E279" s="29">
        <v>0.89</v>
      </c>
      <c r="F279" s="29">
        <v>54.7</v>
      </c>
      <c r="G2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0" spans="1:7" x14ac:dyDescent="0.35">
      <c r="A280" s="46">
        <v>46002</v>
      </c>
      <c r="B280" s="40" t="s">
        <v>5</v>
      </c>
      <c r="C280" s="40" t="s">
        <v>26</v>
      </c>
      <c r="D280" s="33">
        <v>32.799999999999997</v>
      </c>
      <c r="E280" s="32">
        <v>0.89</v>
      </c>
      <c r="F280" s="32">
        <v>54.7</v>
      </c>
      <c r="G2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1" spans="1:7" x14ac:dyDescent="0.35">
      <c r="A281" s="48">
        <v>45748</v>
      </c>
      <c r="B281" s="32" t="s">
        <v>5</v>
      </c>
      <c r="C281" s="32" t="s">
        <v>26</v>
      </c>
      <c r="D281" s="33">
        <v>36.56</v>
      </c>
      <c r="E281" s="34">
        <v>0.89077500000000009</v>
      </c>
      <c r="F281" s="52">
        <v>53.510555255214051</v>
      </c>
      <c r="G2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2" spans="1:7" x14ac:dyDescent="0.35">
      <c r="A282" s="47">
        <v>45687</v>
      </c>
      <c r="B282" s="29" t="s">
        <v>5</v>
      </c>
      <c r="C282" s="29" t="s">
        <v>26</v>
      </c>
      <c r="D282" s="30">
        <v>207.27</v>
      </c>
      <c r="E282" s="31">
        <v>0.89344999999999997</v>
      </c>
      <c r="F282" s="51">
        <v>53.837209263147372</v>
      </c>
      <c r="G2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3" spans="1:7" x14ac:dyDescent="0.35">
      <c r="A283" s="48">
        <v>45743</v>
      </c>
      <c r="B283" s="32" t="s">
        <v>2</v>
      </c>
      <c r="C283" s="32" t="s">
        <v>26</v>
      </c>
      <c r="D283" s="33">
        <v>433.44</v>
      </c>
      <c r="E283" s="34">
        <v>0.89344999999999997</v>
      </c>
      <c r="F283" s="35">
        <v>52.400790977443606</v>
      </c>
      <c r="G2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4" spans="1:7" x14ac:dyDescent="0.35">
      <c r="A284" s="45">
        <v>45974</v>
      </c>
      <c r="B284" s="39" t="s">
        <v>3</v>
      </c>
      <c r="C284" s="39" t="s">
        <v>26</v>
      </c>
      <c r="D284" s="30">
        <v>48.72</v>
      </c>
      <c r="E284" s="29">
        <v>0.9</v>
      </c>
      <c r="F284" s="29">
        <v>54.3</v>
      </c>
      <c r="G2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5" spans="1:7" x14ac:dyDescent="0.35">
      <c r="A285" s="46">
        <v>46029</v>
      </c>
      <c r="B285" s="40" t="s">
        <v>22</v>
      </c>
      <c r="C285" s="40" t="s">
        <v>29</v>
      </c>
      <c r="D285" s="33">
        <v>446.12</v>
      </c>
      <c r="E285" s="32">
        <v>0.9</v>
      </c>
      <c r="F285" s="32">
        <v>51.4</v>
      </c>
      <c r="G2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6" spans="1:7" x14ac:dyDescent="0.35">
      <c r="A286" s="46">
        <v>45755</v>
      </c>
      <c r="B286" s="32" t="s">
        <v>2</v>
      </c>
      <c r="C286" s="32" t="s">
        <v>26</v>
      </c>
      <c r="D286" s="33">
        <v>313.26</v>
      </c>
      <c r="E286" s="34">
        <v>0.90147500000000003</v>
      </c>
      <c r="F286" s="35">
        <v>53.892999799879917</v>
      </c>
      <c r="G2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7" spans="1:7" x14ac:dyDescent="0.35">
      <c r="A287" s="46">
        <v>46037</v>
      </c>
      <c r="B287" s="40" t="s">
        <v>2</v>
      </c>
      <c r="C287" s="40" t="s">
        <v>26</v>
      </c>
      <c r="D287" s="33">
        <v>236.77</v>
      </c>
      <c r="E287" s="42">
        <v>0.90147500000000003</v>
      </c>
      <c r="F287" s="43">
        <v>53.585026357607973</v>
      </c>
      <c r="G2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8" spans="1:7" x14ac:dyDescent="0.35">
      <c r="A288" s="46">
        <v>45807</v>
      </c>
      <c r="B288" s="32" t="s">
        <v>2</v>
      </c>
      <c r="C288" s="32" t="s">
        <v>26</v>
      </c>
      <c r="D288" s="33">
        <v>461.9</v>
      </c>
      <c r="E288" s="34">
        <v>0.91</v>
      </c>
      <c r="F288" s="35">
        <v>53.031076718255946</v>
      </c>
      <c r="G2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89" spans="1:7" x14ac:dyDescent="0.35">
      <c r="A289" s="45">
        <v>45750</v>
      </c>
      <c r="B289" s="29" t="s">
        <v>2</v>
      </c>
      <c r="C289" s="29" t="s">
        <v>26</v>
      </c>
      <c r="D289" s="30">
        <v>272.7</v>
      </c>
      <c r="E289" s="31">
        <v>0.91485000000000005</v>
      </c>
      <c r="F289" s="36">
        <v>53.139824998741823</v>
      </c>
      <c r="G2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0" spans="1:7" x14ac:dyDescent="0.35">
      <c r="A290" s="45">
        <v>45768</v>
      </c>
      <c r="B290" s="29" t="s">
        <v>2</v>
      </c>
      <c r="C290" s="29" t="s">
        <v>26</v>
      </c>
      <c r="D290" s="30">
        <v>198.26</v>
      </c>
      <c r="E290" s="31">
        <v>0.91485000000000005</v>
      </c>
      <c r="F290" s="36">
        <v>53.418905818474492</v>
      </c>
      <c r="G2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1" spans="1:7" x14ac:dyDescent="0.35">
      <c r="A291" s="45">
        <v>45675</v>
      </c>
      <c r="B291" s="29" t="s">
        <v>5</v>
      </c>
      <c r="C291" s="29" t="s">
        <v>26</v>
      </c>
      <c r="D291" s="30">
        <v>108.22</v>
      </c>
      <c r="E291" s="31">
        <v>0.91752500000000015</v>
      </c>
      <c r="F291" s="51">
        <v>54.260870846971365</v>
      </c>
      <c r="G2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2" spans="1:7" x14ac:dyDescent="0.35">
      <c r="A292" s="45">
        <v>45773</v>
      </c>
      <c r="B292" s="29" t="s">
        <v>5</v>
      </c>
      <c r="C292" s="29" t="s">
        <v>26</v>
      </c>
      <c r="D292" s="30">
        <v>32.21</v>
      </c>
      <c r="E292" s="31">
        <v>0.91752500000000015</v>
      </c>
      <c r="F292" s="51">
        <v>53.553461576576581</v>
      </c>
      <c r="G2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3" spans="1:7" x14ac:dyDescent="0.35">
      <c r="A293" s="46">
        <v>45960</v>
      </c>
      <c r="B293" s="40" t="s">
        <v>17</v>
      </c>
      <c r="C293" s="40" t="s">
        <v>27</v>
      </c>
      <c r="D293" s="33">
        <v>170.32</v>
      </c>
      <c r="E293" s="32">
        <v>0.92</v>
      </c>
      <c r="F293" s="32">
        <v>54.5</v>
      </c>
      <c r="G2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4" spans="1:7" x14ac:dyDescent="0.35">
      <c r="A294" s="45">
        <v>45687</v>
      </c>
      <c r="B294" s="29" t="s">
        <v>2</v>
      </c>
      <c r="C294" s="29" t="s">
        <v>26</v>
      </c>
      <c r="D294" s="30">
        <v>384</v>
      </c>
      <c r="E294" s="31">
        <v>0.92020000000000002</v>
      </c>
      <c r="F294" s="36">
        <v>53.222832305538887</v>
      </c>
      <c r="G2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5" spans="1:7" x14ac:dyDescent="0.35">
      <c r="A295" s="45">
        <v>45675</v>
      </c>
      <c r="B295" s="29" t="s">
        <v>2</v>
      </c>
      <c r="C295" s="29" t="s">
        <v>26</v>
      </c>
      <c r="D295" s="30">
        <v>163.68</v>
      </c>
      <c r="E295" s="31">
        <v>0.92287500000000011</v>
      </c>
      <c r="F295" s="36">
        <v>54.329460115731258</v>
      </c>
      <c r="G2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6" spans="1:7" x14ac:dyDescent="0.35">
      <c r="A296" s="46">
        <v>46015</v>
      </c>
      <c r="B296" s="40" t="s">
        <v>2</v>
      </c>
      <c r="C296" s="40" t="s">
        <v>26</v>
      </c>
      <c r="D296" s="33">
        <v>303.94</v>
      </c>
      <c r="E296" s="32">
        <v>0.93</v>
      </c>
      <c r="F296" s="32">
        <v>53.3</v>
      </c>
      <c r="G2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7" spans="1:7" x14ac:dyDescent="0.35">
      <c r="A297" s="45">
        <v>46016</v>
      </c>
      <c r="B297" s="39" t="s">
        <v>2</v>
      </c>
      <c r="C297" s="39" t="s">
        <v>26</v>
      </c>
      <c r="D297" s="30">
        <v>65.599999999999994</v>
      </c>
      <c r="E297" s="29">
        <v>0.93</v>
      </c>
      <c r="F297" s="29">
        <v>53.3</v>
      </c>
      <c r="G2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8" spans="1:7" x14ac:dyDescent="0.35">
      <c r="A298" s="48">
        <v>45744</v>
      </c>
      <c r="B298" s="32" t="s">
        <v>5</v>
      </c>
      <c r="C298" s="32" t="s">
        <v>26</v>
      </c>
      <c r="D298" s="33">
        <v>129.58000000000001</v>
      </c>
      <c r="E298" s="34">
        <v>0.93625000000000003</v>
      </c>
      <c r="F298" s="52">
        <v>52.134552103475833</v>
      </c>
      <c r="G2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299" spans="1:7" x14ac:dyDescent="0.35">
      <c r="A299" s="45">
        <v>45996</v>
      </c>
      <c r="B299" s="39" t="s">
        <v>5</v>
      </c>
      <c r="C299" s="39" t="s">
        <v>26</v>
      </c>
      <c r="D299" s="30">
        <v>35.83</v>
      </c>
      <c r="E299" s="29">
        <v>0.94</v>
      </c>
      <c r="F299" s="29">
        <v>53.8</v>
      </c>
      <c r="G2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0" spans="1:7" x14ac:dyDescent="0.35">
      <c r="A300" s="46">
        <v>46037</v>
      </c>
      <c r="B300" s="40" t="s">
        <v>18</v>
      </c>
      <c r="C300" s="40" t="s">
        <v>27</v>
      </c>
      <c r="D300" s="33">
        <v>250</v>
      </c>
      <c r="E300" s="32">
        <v>0.94</v>
      </c>
      <c r="F300" s="32">
        <v>54</v>
      </c>
      <c r="G3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1" spans="1:7" x14ac:dyDescent="0.35">
      <c r="A301" s="46">
        <v>46064</v>
      </c>
      <c r="B301" s="40" t="s">
        <v>2</v>
      </c>
      <c r="C301" s="40" t="s">
        <v>26</v>
      </c>
      <c r="D301" s="33">
        <v>492.84</v>
      </c>
      <c r="E301" s="32">
        <v>0.94</v>
      </c>
      <c r="F301" s="32">
        <v>52.6</v>
      </c>
      <c r="G3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2" spans="1:7" x14ac:dyDescent="0.35">
      <c r="A302" s="45">
        <v>45785</v>
      </c>
      <c r="B302" s="29" t="s">
        <v>2</v>
      </c>
      <c r="C302" s="29" t="s">
        <v>26</v>
      </c>
      <c r="D302" s="30">
        <v>217.84</v>
      </c>
      <c r="E302" s="31">
        <v>0.9416000000000001</v>
      </c>
      <c r="F302" s="36">
        <v>53.895272709143484</v>
      </c>
      <c r="G3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3" spans="1:7" x14ac:dyDescent="0.35">
      <c r="A303" s="46">
        <v>45895</v>
      </c>
      <c r="B303" s="40" t="s">
        <v>4</v>
      </c>
      <c r="C303" s="40" t="s">
        <v>26</v>
      </c>
      <c r="D303" s="33">
        <v>100.97</v>
      </c>
      <c r="E303" s="35">
        <v>0.96</v>
      </c>
      <c r="F303" s="35">
        <v>53.901843856276805</v>
      </c>
      <c r="G3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4" spans="1:7" x14ac:dyDescent="0.35">
      <c r="A304" s="45">
        <v>46048</v>
      </c>
      <c r="B304" s="39" t="s">
        <v>5</v>
      </c>
      <c r="C304" s="39" t="s">
        <v>26</v>
      </c>
      <c r="D304" s="30">
        <v>31.35</v>
      </c>
      <c r="E304" s="29">
        <v>0.96</v>
      </c>
      <c r="F304" s="29">
        <v>54.3</v>
      </c>
      <c r="G3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5" spans="1:7" x14ac:dyDescent="0.35">
      <c r="A305" s="45">
        <v>45787</v>
      </c>
      <c r="B305" s="29" t="s">
        <v>2</v>
      </c>
      <c r="C305" s="29" t="s">
        <v>26</v>
      </c>
      <c r="D305" s="30">
        <v>187.64</v>
      </c>
      <c r="E305" s="31">
        <v>0.96032499999999998</v>
      </c>
      <c r="F305" s="36">
        <v>53.056382302460491</v>
      </c>
      <c r="G3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6" spans="1:7" x14ac:dyDescent="0.35">
      <c r="A306" s="46">
        <v>45791</v>
      </c>
      <c r="B306" s="32" t="s">
        <v>2</v>
      </c>
      <c r="C306" s="32" t="s">
        <v>26</v>
      </c>
      <c r="D306" s="33">
        <v>365.51</v>
      </c>
      <c r="E306" s="34">
        <v>0.96300000000000008</v>
      </c>
      <c r="F306" s="35">
        <v>53.521842999001997</v>
      </c>
      <c r="G3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7" spans="1:7" x14ac:dyDescent="0.35">
      <c r="A307" s="46">
        <v>45775</v>
      </c>
      <c r="B307" s="32" t="s">
        <v>5</v>
      </c>
      <c r="C307" s="32" t="s">
        <v>26</v>
      </c>
      <c r="D307" s="33">
        <v>133.81</v>
      </c>
      <c r="E307" s="34">
        <v>0.96835000000000004</v>
      </c>
      <c r="F307" s="52">
        <v>53.631246756777188</v>
      </c>
      <c r="G3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8" spans="1:7" x14ac:dyDescent="0.35">
      <c r="A308" s="46">
        <v>45881</v>
      </c>
      <c r="B308" s="40" t="s">
        <v>2</v>
      </c>
      <c r="C308" s="40" t="s">
        <v>26</v>
      </c>
      <c r="D308" s="33">
        <v>313.49</v>
      </c>
      <c r="E308" s="34">
        <v>0.97</v>
      </c>
      <c r="F308" s="35">
        <v>52.145416145963509</v>
      </c>
      <c r="G3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09" spans="1:7" x14ac:dyDescent="0.35">
      <c r="A309" s="45">
        <v>45948</v>
      </c>
      <c r="B309" s="39" t="s">
        <v>2</v>
      </c>
      <c r="C309" s="39" t="s">
        <v>26</v>
      </c>
      <c r="D309" s="30">
        <v>79.39</v>
      </c>
      <c r="E309" s="29">
        <v>0.97499999999999998</v>
      </c>
      <c r="F309" s="29">
        <v>53.3</v>
      </c>
      <c r="G3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0" spans="1:7" x14ac:dyDescent="0.35">
      <c r="A310" s="46">
        <v>45841</v>
      </c>
      <c r="B310" s="32" t="s">
        <v>2</v>
      </c>
      <c r="C310" s="32" t="s">
        <v>26</v>
      </c>
      <c r="D310" s="33">
        <v>686.89</v>
      </c>
      <c r="E310" s="34">
        <v>0.97637499999999999</v>
      </c>
      <c r="F310" s="35">
        <v>52.014806023735908</v>
      </c>
      <c r="G3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1" spans="1:7" x14ac:dyDescent="0.35">
      <c r="A311" s="46">
        <v>45871</v>
      </c>
      <c r="B311" s="40" t="s">
        <v>2</v>
      </c>
      <c r="C311" s="40" t="s">
        <v>26</v>
      </c>
      <c r="D311" s="33">
        <v>135.18</v>
      </c>
      <c r="E311" s="34">
        <v>0.98</v>
      </c>
      <c r="F311" s="35">
        <v>52.915027117229876</v>
      </c>
      <c r="G3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2" spans="1:7" x14ac:dyDescent="0.35">
      <c r="A312" s="46">
        <v>45950</v>
      </c>
      <c r="B312" s="40" t="s">
        <v>16</v>
      </c>
      <c r="C312" s="40" t="s">
        <v>27</v>
      </c>
      <c r="D312" s="33">
        <v>291.7</v>
      </c>
      <c r="E312" s="32">
        <v>0.98</v>
      </c>
      <c r="F312" s="32">
        <v>54.4</v>
      </c>
      <c r="G3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3" spans="1:7" x14ac:dyDescent="0.35">
      <c r="A313" s="45">
        <v>45954</v>
      </c>
      <c r="B313" s="39" t="s">
        <v>2</v>
      </c>
      <c r="C313" s="39" t="s">
        <v>26</v>
      </c>
      <c r="D313" s="30">
        <v>562.28</v>
      </c>
      <c r="E313" s="29">
        <v>0.98</v>
      </c>
      <c r="F313" s="29">
        <v>54.3</v>
      </c>
      <c r="G3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4" spans="1:7" x14ac:dyDescent="0.35">
      <c r="A314" s="46">
        <v>46010</v>
      </c>
      <c r="B314" s="40" t="s">
        <v>5</v>
      </c>
      <c r="C314" s="40" t="s">
        <v>26</v>
      </c>
      <c r="D314" s="33">
        <v>107.18</v>
      </c>
      <c r="E314" s="42">
        <v>0.98</v>
      </c>
      <c r="F314" s="56">
        <v>54.7437971184453</v>
      </c>
      <c r="G3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5" spans="1:7" x14ac:dyDescent="0.35">
      <c r="A315" s="46">
        <v>46035</v>
      </c>
      <c r="B315" s="40" t="s">
        <v>2</v>
      </c>
      <c r="C315" s="40" t="s">
        <v>26</v>
      </c>
      <c r="D315" s="33">
        <v>341.58</v>
      </c>
      <c r="E315" s="32">
        <v>0.98</v>
      </c>
      <c r="F315" s="32">
        <v>53.6</v>
      </c>
      <c r="G3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6" spans="1:7" x14ac:dyDescent="0.35">
      <c r="A316" s="45">
        <v>45682</v>
      </c>
      <c r="B316" s="29" t="s">
        <v>2</v>
      </c>
      <c r="C316" s="29" t="s">
        <v>26</v>
      </c>
      <c r="D316" s="30">
        <v>577</v>
      </c>
      <c r="E316" s="31">
        <v>0.98707500000000004</v>
      </c>
      <c r="F316" s="36">
        <v>53.445766301260257</v>
      </c>
      <c r="G3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7" spans="1:7" x14ac:dyDescent="0.35">
      <c r="A317" s="46">
        <v>45769</v>
      </c>
      <c r="B317" s="32" t="s">
        <v>2</v>
      </c>
      <c r="C317" s="32" t="s">
        <v>26</v>
      </c>
      <c r="D317" s="33">
        <v>218.9</v>
      </c>
      <c r="E317" s="34">
        <v>0.98707500000000004</v>
      </c>
      <c r="F317" s="35">
        <v>53.430914541800639</v>
      </c>
      <c r="G3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8" spans="1:7" x14ac:dyDescent="0.35">
      <c r="A318" s="45">
        <v>45996</v>
      </c>
      <c r="B318" s="39" t="s">
        <v>3</v>
      </c>
      <c r="C318" s="39" t="s">
        <v>26</v>
      </c>
      <c r="D318" s="30">
        <v>42.68</v>
      </c>
      <c r="E318" s="29">
        <v>1</v>
      </c>
      <c r="F318" s="29">
        <v>54.1</v>
      </c>
      <c r="G3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19" spans="1:7" x14ac:dyDescent="0.35">
      <c r="A319" s="48">
        <v>45730</v>
      </c>
      <c r="B319" s="32" t="s">
        <v>5</v>
      </c>
      <c r="C319" s="32" t="s">
        <v>26</v>
      </c>
      <c r="D319" s="33">
        <v>139.86000000000001</v>
      </c>
      <c r="E319" s="34">
        <v>1.0004500000000001</v>
      </c>
      <c r="F319" s="52">
        <v>53.232941947284026</v>
      </c>
      <c r="G3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0" spans="1:7" x14ac:dyDescent="0.35">
      <c r="A320" s="48">
        <v>45745</v>
      </c>
      <c r="B320" s="32" t="s">
        <v>2</v>
      </c>
      <c r="C320" s="32" t="s">
        <v>26</v>
      </c>
      <c r="D320" s="33">
        <v>0</v>
      </c>
      <c r="E320" s="34">
        <v>1.008475</v>
      </c>
      <c r="F320" s="35">
        <v>52.914989035087721</v>
      </c>
      <c r="G3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1" spans="1:7" x14ac:dyDescent="0.35">
      <c r="A321" s="45">
        <v>45801</v>
      </c>
      <c r="B321" s="29" t="s">
        <v>2</v>
      </c>
      <c r="C321" s="29" t="s">
        <v>26</v>
      </c>
      <c r="D321" s="30">
        <v>306.66000000000003</v>
      </c>
      <c r="E321" s="31">
        <v>1.008475</v>
      </c>
      <c r="F321" s="36">
        <v>53.869752338541147</v>
      </c>
      <c r="G3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2" spans="1:7" x14ac:dyDescent="0.35">
      <c r="A322" s="45">
        <v>45969</v>
      </c>
      <c r="B322" s="39" t="s">
        <v>5</v>
      </c>
      <c r="C322" s="39" t="s">
        <v>26</v>
      </c>
      <c r="D322" s="30">
        <v>32.06</v>
      </c>
      <c r="E322" s="41">
        <v>1.01</v>
      </c>
      <c r="F322" s="57">
        <v>54.116678784128702</v>
      </c>
      <c r="G3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3" spans="1:7" x14ac:dyDescent="0.35">
      <c r="A323" s="45">
        <v>45843</v>
      </c>
      <c r="B323" s="29" t="s">
        <v>2</v>
      </c>
      <c r="C323" s="29" t="s">
        <v>26</v>
      </c>
      <c r="D323" s="30">
        <v>294.65999999999997</v>
      </c>
      <c r="E323" s="31">
        <v>1.01115</v>
      </c>
      <c r="F323" s="36">
        <v>53.012244714798562</v>
      </c>
      <c r="G3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4" spans="1:7" x14ac:dyDescent="0.35">
      <c r="A324" s="47">
        <v>45724</v>
      </c>
      <c r="B324" s="29" t="s">
        <v>2</v>
      </c>
      <c r="C324" s="29" t="s">
        <v>26</v>
      </c>
      <c r="D324" s="30">
        <v>316.08</v>
      </c>
      <c r="E324" s="31">
        <v>1.013825</v>
      </c>
      <c r="F324" s="36">
        <v>52.471303038565829</v>
      </c>
      <c r="G3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5" spans="1:7" x14ac:dyDescent="0.35">
      <c r="A325" s="47">
        <v>45750</v>
      </c>
      <c r="B325" s="29" t="s">
        <v>5</v>
      </c>
      <c r="C325" s="29" t="s">
        <v>26</v>
      </c>
      <c r="D325" s="30">
        <v>136.05000000000001</v>
      </c>
      <c r="E325" s="31">
        <v>1.0165</v>
      </c>
      <c r="F325" s="51">
        <v>52.170275364038616</v>
      </c>
      <c r="G3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6" spans="1:7" x14ac:dyDescent="0.35">
      <c r="A326" s="46">
        <v>45674</v>
      </c>
      <c r="B326" s="32" t="s">
        <v>2</v>
      </c>
      <c r="C326" s="32" t="s">
        <v>26</v>
      </c>
      <c r="D326" s="33">
        <v>384.74</v>
      </c>
      <c r="E326" s="34">
        <v>1.0245250000000001</v>
      </c>
      <c r="F326" s="35">
        <v>52.869248490865772</v>
      </c>
      <c r="G3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7" spans="1:7" x14ac:dyDescent="0.35">
      <c r="A327" s="46">
        <v>45931</v>
      </c>
      <c r="B327" s="40" t="s">
        <v>7</v>
      </c>
      <c r="C327" s="40" t="s">
        <v>26</v>
      </c>
      <c r="D327" s="33">
        <v>98.38</v>
      </c>
      <c r="E327" s="42">
        <v>1.03</v>
      </c>
      <c r="F327" s="58">
        <v>53.053905364878375</v>
      </c>
      <c r="G3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8" spans="1:7" x14ac:dyDescent="0.35">
      <c r="A328" s="45">
        <v>45951</v>
      </c>
      <c r="B328" s="39" t="s">
        <v>16</v>
      </c>
      <c r="C328" s="39" t="s">
        <v>27</v>
      </c>
      <c r="D328" s="30">
        <v>436.72</v>
      </c>
      <c r="E328" s="29">
        <v>1.03</v>
      </c>
      <c r="F328" s="29">
        <v>54.1</v>
      </c>
      <c r="G3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29" spans="1:7" x14ac:dyDescent="0.35">
      <c r="A329" s="46">
        <v>46046</v>
      </c>
      <c r="B329" s="40" t="s">
        <v>22</v>
      </c>
      <c r="C329" s="40" t="s">
        <v>29</v>
      </c>
      <c r="D329" s="33">
        <v>412.24</v>
      </c>
      <c r="E329" s="32">
        <v>1.04</v>
      </c>
      <c r="F329" s="32">
        <v>53.9</v>
      </c>
      <c r="G3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0" spans="1:7" x14ac:dyDescent="0.35">
      <c r="A330" s="48">
        <v>45717</v>
      </c>
      <c r="B330" s="32" t="s">
        <v>2</v>
      </c>
      <c r="C330" s="32" t="s">
        <v>26</v>
      </c>
      <c r="D330" s="33">
        <v>0</v>
      </c>
      <c r="E330" s="34">
        <v>1.040575</v>
      </c>
      <c r="F330" s="35">
        <v>52.240906839384778</v>
      </c>
      <c r="G3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1" spans="1:7" x14ac:dyDescent="0.35">
      <c r="A331" s="47">
        <v>45717</v>
      </c>
      <c r="B331" s="29" t="s">
        <v>2</v>
      </c>
      <c r="C331" s="29" t="s">
        <v>26</v>
      </c>
      <c r="D331" s="30">
        <v>171.35333333333335</v>
      </c>
      <c r="E331" s="31">
        <v>1.040575</v>
      </c>
      <c r="F331" s="36">
        <v>52.240906839384778</v>
      </c>
      <c r="G3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2" spans="1:7" x14ac:dyDescent="0.35">
      <c r="A332" s="47">
        <v>45705</v>
      </c>
      <c r="B332" s="29" t="s">
        <v>2</v>
      </c>
      <c r="C332" s="29" t="s">
        <v>26</v>
      </c>
      <c r="D332" s="30">
        <v>104.7</v>
      </c>
      <c r="E332" s="31">
        <v>1.04325</v>
      </c>
      <c r="F332" s="51">
        <v>51.753285000000005</v>
      </c>
      <c r="G3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3" spans="1:7" x14ac:dyDescent="0.35">
      <c r="A333" s="47">
        <v>45728</v>
      </c>
      <c r="B333" s="29" t="s">
        <v>5</v>
      </c>
      <c r="C333" s="29" t="s">
        <v>26</v>
      </c>
      <c r="D333" s="30">
        <v>35.1</v>
      </c>
      <c r="E333" s="31">
        <v>1.045925</v>
      </c>
      <c r="F333" s="51">
        <v>53.992918235294113</v>
      </c>
      <c r="G3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4" spans="1:7" x14ac:dyDescent="0.35">
      <c r="A334" s="45">
        <v>45965</v>
      </c>
      <c r="B334" s="39" t="s">
        <v>2</v>
      </c>
      <c r="C334" s="39" t="s">
        <v>26</v>
      </c>
      <c r="D334" s="30">
        <v>103.36</v>
      </c>
      <c r="E334" s="41">
        <v>1.06</v>
      </c>
      <c r="F334" s="44">
        <v>53.674339985573461</v>
      </c>
      <c r="G3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5" spans="1:7" x14ac:dyDescent="0.35">
      <c r="A335" s="46">
        <v>46011</v>
      </c>
      <c r="B335" s="40" t="s">
        <v>2</v>
      </c>
      <c r="C335" s="40" t="s">
        <v>26</v>
      </c>
      <c r="D335" s="33">
        <v>323.26</v>
      </c>
      <c r="E335" s="32">
        <v>1.06</v>
      </c>
      <c r="F335" s="32">
        <v>54.2</v>
      </c>
      <c r="G3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6" spans="1:7" x14ac:dyDescent="0.35">
      <c r="A336" s="45">
        <v>46012</v>
      </c>
      <c r="B336" s="39" t="s">
        <v>2</v>
      </c>
      <c r="C336" s="39" t="s">
        <v>26</v>
      </c>
      <c r="D336" s="30">
        <v>173.58</v>
      </c>
      <c r="E336" s="29">
        <v>1.06</v>
      </c>
      <c r="F336" s="29">
        <v>54.2</v>
      </c>
      <c r="G3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7" spans="1:7" x14ac:dyDescent="0.35">
      <c r="A337" s="46">
        <v>45670</v>
      </c>
      <c r="B337" s="32" t="s">
        <v>5</v>
      </c>
      <c r="C337" s="32" t="s">
        <v>26</v>
      </c>
      <c r="D337" s="33">
        <v>136.03</v>
      </c>
      <c r="E337" s="34">
        <v>1.0646500000000001</v>
      </c>
      <c r="F337" s="52">
        <v>53.988205064377681</v>
      </c>
      <c r="G3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8" spans="1:7" x14ac:dyDescent="0.35">
      <c r="A338" s="45">
        <v>45919</v>
      </c>
      <c r="B338" s="39" t="s">
        <v>3</v>
      </c>
      <c r="C338" s="39" t="s">
        <v>26</v>
      </c>
      <c r="D338" s="30">
        <v>84.9</v>
      </c>
      <c r="E338" s="36">
        <v>1.07</v>
      </c>
      <c r="F338" s="36">
        <v>54.09865880619013</v>
      </c>
      <c r="G3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39" spans="1:7" x14ac:dyDescent="0.35">
      <c r="A339" s="46">
        <v>45827</v>
      </c>
      <c r="B339" s="32" t="s">
        <v>7</v>
      </c>
      <c r="C339" s="32" t="s">
        <v>26</v>
      </c>
      <c r="D339" s="33">
        <v>43.54</v>
      </c>
      <c r="E339" s="34">
        <v>1.08</v>
      </c>
      <c r="F339" s="35">
        <v>54.650418935902806</v>
      </c>
      <c r="G3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0" spans="1:7" x14ac:dyDescent="0.35">
      <c r="A340" s="46">
        <v>45678</v>
      </c>
      <c r="B340" s="32" t="s">
        <v>3</v>
      </c>
      <c r="C340" s="32" t="s">
        <v>26</v>
      </c>
      <c r="D340" s="33">
        <v>45</v>
      </c>
      <c r="E340" s="35">
        <v>1.0807</v>
      </c>
      <c r="F340" s="35">
        <v>53.737128211691719</v>
      </c>
      <c r="G3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1" spans="1:7" x14ac:dyDescent="0.35">
      <c r="A341" s="45">
        <v>45668</v>
      </c>
      <c r="B341" s="29" t="s">
        <v>2</v>
      </c>
      <c r="C341" s="29" t="s">
        <v>26</v>
      </c>
      <c r="D341" s="30">
        <v>342.56</v>
      </c>
      <c r="E341" s="31">
        <v>1.0807</v>
      </c>
      <c r="F341" s="36">
        <v>51.203112652908999</v>
      </c>
      <c r="G3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2" spans="1:7" x14ac:dyDescent="0.35">
      <c r="A342" s="47">
        <v>45734</v>
      </c>
      <c r="B342" s="29" t="s">
        <v>2</v>
      </c>
      <c r="C342" s="29" t="s">
        <v>26</v>
      </c>
      <c r="D342" s="30">
        <v>209.26</v>
      </c>
      <c r="E342" s="31">
        <v>1.08605</v>
      </c>
      <c r="F342" s="36">
        <v>53.122610132158592</v>
      </c>
      <c r="G3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3" spans="1:7" x14ac:dyDescent="0.35">
      <c r="A343" s="47">
        <v>45846</v>
      </c>
      <c r="B343" s="29" t="s">
        <v>5</v>
      </c>
      <c r="C343" s="29" t="s">
        <v>26</v>
      </c>
      <c r="D343" s="30">
        <v>74.63</v>
      </c>
      <c r="E343" s="31">
        <v>1.0900000000000001</v>
      </c>
      <c r="F343" s="51">
        <v>53.832395145457788</v>
      </c>
      <c r="G3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4" spans="1:7" x14ac:dyDescent="0.35">
      <c r="A344" s="45">
        <v>45899</v>
      </c>
      <c r="B344" s="39" t="s">
        <v>6</v>
      </c>
      <c r="C344" s="39" t="s">
        <v>26</v>
      </c>
      <c r="D344" s="30">
        <v>290.02</v>
      </c>
      <c r="E344" s="31">
        <v>1.0900000000000001</v>
      </c>
      <c r="F344" s="51">
        <v>54.391513311148088</v>
      </c>
      <c r="G3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5" spans="1:7" x14ac:dyDescent="0.35">
      <c r="A345" s="45">
        <v>46038</v>
      </c>
      <c r="B345" s="39" t="s">
        <v>2</v>
      </c>
      <c r="C345" s="39" t="s">
        <v>26</v>
      </c>
      <c r="D345" s="30">
        <v>296.25</v>
      </c>
      <c r="E345" s="29">
        <v>1.0900000000000001</v>
      </c>
      <c r="F345" s="29">
        <v>52.6</v>
      </c>
      <c r="G3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6" spans="1:7" x14ac:dyDescent="0.35">
      <c r="A346" s="47">
        <v>45736</v>
      </c>
      <c r="B346" s="29" t="s">
        <v>2</v>
      </c>
      <c r="C346" s="29" t="s">
        <v>26</v>
      </c>
      <c r="D346" s="30">
        <v>316.06</v>
      </c>
      <c r="E346" s="31">
        <v>1.0914000000000001</v>
      </c>
      <c r="F346" s="36">
        <v>52.60522664089175</v>
      </c>
      <c r="G3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7" spans="1:7" x14ac:dyDescent="0.35">
      <c r="A347" s="46">
        <v>45913</v>
      </c>
      <c r="B347" s="40" t="s">
        <v>2</v>
      </c>
      <c r="C347" s="40" t="s">
        <v>26</v>
      </c>
      <c r="D347" s="33">
        <v>203.06</v>
      </c>
      <c r="E347" s="34">
        <v>1.1000000000000001</v>
      </c>
      <c r="F347" s="35">
        <v>53.352047375910267</v>
      </c>
      <c r="G3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8" spans="1:7" x14ac:dyDescent="0.35">
      <c r="A348" s="46">
        <v>45951</v>
      </c>
      <c r="B348" s="40" t="s">
        <v>3</v>
      </c>
      <c r="C348" s="40" t="s">
        <v>26</v>
      </c>
      <c r="D348" s="33">
        <v>69.02</v>
      </c>
      <c r="E348" s="32">
        <v>1.1000000000000001</v>
      </c>
      <c r="F348" s="32">
        <v>54.1</v>
      </c>
      <c r="G3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49" spans="1:7" x14ac:dyDescent="0.35">
      <c r="A349" s="46">
        <v>45976</v>
      </c>
      <c r="B349" s="40" t="s">
        <v>17</v>
      </c>
      <c r="C349" s="40" t="s">
        <v>27</v>
      </c>
      <c r="D349" s="33">
        <v>206.22</v>
      </c>
      <c r="E349" s="32">
        <v>1.1000000000000001</v>
      </c>
      <c r="F349" s="32">
        <v>54</v>
      </c>
      <c r="G3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0" spans="1:7" x14ac:dyDescent="0.35">
      <c r="A350" s="46">
        <v>46001</v>
      </c>
      <c r="B350" s="40" t="s">
        <v>3</v>
      </c>
      <c r="C350" s="40" t="s">
        <v>26</v>
      </c>
      <c r="D350" s="33">
        <v>65.239999999999995</v>
      </c>
      <c r="E350" s="32">
        <v>1.1000000000000001</v>
      </c>
      <c r="F350" s="32">
        <v>54.2</v>
      </c>
      <c r="G3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1" spans="1:7" x14ac:dyDescent="0.35">
      <c r="A351" s="45">
        <v>45880</v>
      </c>
      <c r="B351" s="39" t="s">
        <v>3</v>
      </c>
      <c r="C351" s="39" t="s">
        <v>26</v>
      </c>
      <c r="D351" s="30">
        <v>88.4</v>
      </c>
      <c r="E351" s="36">
        <v>1.1100000000000001</v>
      </c>
      <c r="F351" s="36">
        <v>54.10233411137046</v>
      </c>
      <c r="G3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2" spans="1:7" x14ac:dyDescent="0.35">
      <c r="A352" s="45">
        <v>45979</v>
      </c>
      <c r="B352" s="39" t="s">
        <v>20</v>
      </c>
      <c r="C352" s="39" t="s">
        <v>29</v>
      </c>
      <c r="D352" s="30">
        <v>25.9</v>
      </c>
      <c r="E352" s="29">
        <v>1.1100000000000001</v>
      </c>
      <c r="F352" s="29">
        <v>54</v>
      </c>
      <c r="G3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3" spans="1:7" x14ac:dyDescent="0.35">
      <c r="A353" s="46">
        <v>45671</v>
      </c>
      <c r="B353" s="32" t="s">
        <v>3</v>
      </c>
      <c r="C353" s="32" t="s">
        <v>26</v>
      </c>
      <c r="D353" s="33">
        <v>45.38</v>
      </c>
      <c r="E353" s="35">
        <v>1.1128</v>
      </c>
      <c r="F353" s="35">
        <v>53.765728847777147</v>
      </c>
      <c r="G3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4" spans="1:7" x14ac:dyDescent="0.35">
      <c r="A354" s="45">
        <v>45929</v>
      </c>
      <c r="B354" s="39" t="s">
        <v>8</v>
      </c>
      <c r="C354" s="39" t="s">
        <v>27</v>
      </c>
      <c r="D354" s="30">
        <v>1259.973</v>
      </c>
      <c r="E354" s="41">
        <v>1.1200000000000001</v>
      </c>
      <c r="F354" s="57">
        <v>54.180475237618801</v>
      </c>
      <c r="G3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5" spans="1:7" x14ac:dyDescent="0.35">
      <c r="A355" s="46">
        <v>45930</v>
      </c>
      <c r="B355" s="40" t="s">
        <v>8</v>
      </c>
      <c r="C355" s="40" t="s">
        <v>27</v>
      </c>
      <c r="D355" s="33">
        <v>906.2</v>
      </c>
      <c r="E355" s="32">
        <v>1.1200000000000001</v>
      </c>
      <c r="F355" s="32">
        <v>54.2</v>
      </c>
      <c r="G3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6" spans="1:7" x14ac:dyDescent="0.35">
      <c r="A356" s="45">
        <v>45980</v>
      </c>
      <c r="B356" s="39" t="s">
        <v>21</v>
      </c>
      <c r="C356" s="39" t="s">
        <v>27</v>
      </c>
      <c r="D356" s="30">
        <v>125.18</v>
      </c>
      <c r="E356" s="29">
        <v>1.1200000000000001</v>
      </c>
      <c r="F356" s="29">
        <v>54.2</v>
      </c>
      <c r="G3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7" spans="1:7" x14ac:dyDescent="0.35">
      <c r="A357" s="46">
        <v>45981</v>
      </c>
      <c r="B357" s="40" t="s">
        <v>21</v>
      </c>
      <c r="C357" s="40" t="s">
        <v>27</v>
      </c>
      <c r="D357" s="33">
        <v>164.86</v>
      </c>
      <c r="E357" s="32">
        <v>1.1299999999999999</v>
      </c>
      <c r="F357" s="32">
        <v>53.7</v>
      </c>
      <c r="G3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8" spans="1:7" x14ac:dyDescent="0.35">
      <c r="A358" s="45">
        <v>45995</v>
      </c>
      <c r="B358" s="39" t="s">
        <v>2</v>
      </c>
      <c r="C358" s="39" t="s">
        <v>26</v>
      </c>
      <c r="D358" s="30">
        <v>392.68</v>
      </c>
      <c r="E358" s="29">
        <v>1.1299999999999999</v>
      </c>
      <c r="F358" s="29">
        <v>52.6</v>
      </c>
      <c r="G3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59" spans="1:7" x14ac:dyDescent="0.35">
      <c r="A359" s="45">
        <v>45996</v>
      </c>
      <c r="B359" s="39" t="s">
        <v>6</v>
      </c>
      <c r="C359" s="39" t="s">
        <v>26</v>
      </c>
      <c r="D359" s="30">
        <v>221.8</v>
      </c>
      <c r="E359" s="29">
        <v>1.1299999999999999</v>
      </c>
      <c r="F359" s="29">
        <v>53.9</v>
      </c>
      <c r="G3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0" spans="1:7" x14ac:dyDescent="0.35">
      <c r="A360" s="46">
        <v>45894</v>
      </c>
      <c r="B360" s="40" t="s">
        <v>7</v>
      </c>
      <c r="C360" s="40" t="s">
        <v>26</v>
      </c>
      <c r="D360" s="33">
        <v>70.41</v>
      </c>
      <c r="E360" s="34">
        <v>1.1399999999999999</v>
      </c>
      <c r="F360" s="35">
        <v>53.729415164909895</v>
      </c>
      <c r="G3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1" spans="1:7" x14ac:dyDescent="0.35">
      <c r="A361" s="48">
        <v>45894</v>
      </c>
      <c r="B361" s="40" t="s">
        <v>7</v>
      </c>
      <c r="C361" s="40" t="s">
        <v>26</v>
      </c>
      <c r="D361" s="33">
        <v>70.41</v>
      </c>
      <c r="E361" s="34">
        <v>1.1399999999999999</v>
      </c>
      <c r="F361" s="35">
        <v>53.729415164909895</v>
      </c>
      <c r="G3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2" spans="1:7" x14ac:dyDescent="0.35">
      <c r="A362" s="45">
        <v>45981</v>
      </c>
      <c r="B362" s="39" t="s">
        <v>19</v>
      </c>
      <c r="C362" s="39" t="s">
        <v>29</v>
      </c>
      <c r="D362" s="30">
        <v>219.06</v>
      </c>
      <c r="E362" s="29">
        <v>1.1399999999999999</v>
      </c>
      <c r="F362" s="29">
        <v>54.3</v>
      </c>
      <c r="G3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3" spans="1:7" x14ac:dyDescent="0.35">
      <c r="A363" s="46">
        <v>45672</v>
      </c>
      <c r="B363" s="32" t="s">
        <v>2</v>
      </c>
      <c r="C363" s="32" t="s">
        <v>26</v>
      </c>
      <c r="D363" s="33">
        <v>314.39999999999998</v>
      </c>
      <c r="E363" s="34">
        <v>1.1449</v>
      </c>
      <c r="F363" s="35">
        <v>52.810565278738757</v>
      </c>
      <c r="G3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4" spans="1:7" x14ac:dyDescent="0.35">
      <c r="A364" s="47">
        <v>45689</v>
      </c>
      <c r="B364" s="29" t="s">
        <v>5</v>
      </c>
      <c r="C364" s="29" t="s">
        <v>26</v>
      </c>
      <c r="D364" s="30">
        <v>166.74</v>
      </c>
      <c r="E364" s="31">
        <v>1.1449</v>
      </c>
      <c r="F364" s="51">
        <v>53.909926903281956</v>
      </c>
      <c r="G3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5" spans="1:7" x14ac:dyDescent="0.35">
      <c r="A365" s="45">
        <v>45797</v>
      </c>
      <c r="B365" s="29" t="s">
        <v>5</v>
      </c>
      <c r="C365" s="29" t="s">
        <v>26</v>
      </c>
      <c r="D365" s="30">
        <v>70.040000000000006</v>
      </c>
      <c r="E365" s="31">
        <v>1.1449</v>
      </c>
      <c r="F365" s="51">
        <v>54.300937635746607</v>
      </c>
      <c r="G3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6" spans="1:7" x14ac:dyDescent="0.35">
      <c r="A366" s="46">
        <v>45822</v>
      </c>
      <c r="B366" s="32" t="s">
        <v>7</v>
      </c>
      <c r="C366" s="32" t="s">
        <v>26</v>
      </c>
      <c r="D366" s="33">
        <v>0</v>
      </c>
      <c r="E366" s="34">
        <v>1.1499999999999999</v>
      </c>
      <c r="F366" s="35">
        <v>53.028276093710637</v>
      </c>
      <c r="G3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7" spans="1:7" x14ac:dyDescent="0.35">
      <c r="A367" s="45">
        <v>45953</v>
      </c>
      <c r="B367" s="39" t="s">
        <v>5</v>
      </c>
      <c r="C367" s="39" t="s">
        <v>26</v>
      </c>
      <c r="D367" s="30">
        <v>70.239999999999995</v>
      </c>
      <c r="E367" s="29">
        <v>1.1499999999999999</v>
      </c>
      <c r="F367" s="29">
        <v>53.4</v>
      </c>
      <c r="G3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8" spans="1:7" x14ac:dyDescent="0.35">
      <c r="A368" s="45">
        <v>45870</v>
      </c>
      <c r="B368" s="39" t="s">
        <v>5</v>
      </c>
      <c r="C368" s="39" t="s">
        <v>26</v>
      </c>
      <c r="D368" s="30">
        <v>37.340000000000003</v>
      </c>
      <c r="E368" s="31">
        <v>1.15025</v>
      </c>
      <c r="F368" s="51">
        <v>53.472972878323105</v>
      </c>
      <c r="G3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69" spans="1:7" x14ac:dyDescent="0.35">
      <c r="A369" s="45">
        <v>45754</v>
      </c>
      <c r="B369" s="29" t="s">
        <v>2</v>
      </c>
      <c r="C369" s="29" t="s">
        <v>26</v>
      </c>
      <c r="D369" s="30">
        <v>140.02000000000001</v>
      </c>
      <c r="E369" s="31">
        <v>1.1582750000000002</v>
      </c>
      <c r="F369" s="36">
        <v>51.674409316087356</v>
      </c>
      <c r="G3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0" spans="1:7" x14ac:dyDescent="0.35">
      <c r="A370" s="46">
        <v>45958</v>
      </c>
      <c r="B370" s="40" t="s">
        <v>16</v>
      </c>
      <c r="C370" s="40" t="s">
        <v>27</v>
      </c>
      <c r="D370" s="33">
        <v>567.66600000000005</v>
      </c>
      <c r="E370" s="32">
        <v>1.1599999999999999</v>
      </c>
      <c r="F370" s="32">
        <v>53.1</v>
      </c>
      <c r="G3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1" spans="1:7" x14ac:dyDescent="0.35">
      <c r="A371" s="46">
        <v>45989</v>
      </c>
      <c r="B371" s="40" t="s">
        <v>19</v>
      </c>
      <c r="C371" s="40" t="s">
        <v>29</v>
      </c>
      <c r="D371" s="33">
        <v>1014.14</v>
      </c>
      <c r="E371" s="32">
        <v>1.17</v>
      </c>
      <c r="F371" s="32">
        <v>54.1</v>
      </c>
      <c r="G3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2" spans="1:7" x14ac:dyDescent="0.35">
      <c r="A372" s="45">
        <v>45990</v>
      </c>
      <c r="B372" s="39" t="s">
        <v>19</v>
      </c>
      <c r="C372" s="39" t="s">
        <v>29</v>
      </c>
      <c r="D372" s="30">
        <v>255.83199999999999</v>
      </c>
      <c r="E372" s="29">
        <v>1.17</v>
      </c>
      <c r="F372" s="29">
        <v>54.1</v>
      </c>
      <c r="G3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3" spans="1:7" x14ac:dyDescent="0.35">
      <c r="A373" s="46">
        <v>45854</v>
      </c>
      <c r="B373" s="32" t="s">
        <v>2</v>
      </c>
      <c r="C373" s="32" t="s">
        <v>26</v>
      </c>
      <c r="D373" s="33">
        <v>236.08</v>
      </c>
      <c r="E373" s="34">
        <v>1.18</v>
      </c>
      <c r="F373" s="35">
        <v>52.619022630370615</v>
      </c>
      <c r="G3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4" spans="1:7" x14ac:dyDescent="0.35">
      <c r="A374" s="46">
        <v>45888</v>
      </c>
      <c r="B374" s="40" t="s">
        <v>3</v>
      </c>
      <c r="C374" s="40" t="s">
        <v>26</v>
      </c>
      <c r="D374" s="33">
        <v>69.64</v>
      </c>
      <c r="E374" s="35">
        <v>1.18</v>
      </c>
      <c r="F374" s="35">
        <v>53.81831218274111</v>
      </c>
      <c r="G3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5" spans="1:7" x14ac:dyDescent="0.35">
      <c r="A375" s="45">
        <v>45975</v>
      </c>
      <c r="B375" s="39" t="s">
        <v>17</v>
      </c>
      <c r="C375" s="39" t="s">
        <v>27</v>
      </c>
      <c r="D375" s="30">
        <v>163.56</v>
      </c>
      <c r="E375" s="29">
        <v>1.18</v>
      </c>
      <c r="F375" s="29">
        <v>54.4</v>
      </c>
      <c r="G3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6" spans="1:7" x14ac:dyDescent="0.35">
      <c r="A376" s="45">
        <v>45666</v>
      </c>
      <c r="B376" s="29" t="s">
        <v>5</v>
      </c>
      <c r="C376" s="29" t="s">
        <v>26</v>
      </c>
      <c r="D376" s="30">
        <v>138.26</v>
      </c>
      <c r="E376" s="31">
        <v>1.18235</v>
      </c>
      <c r="F376" s="51">
        <v>53.658707638999211</v>
      </c>
      <c r="G3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7" spans="1:7" x14ac:dyDescent="0.35">
      <c r="A377" s="47">
        <v>45736</v>
      </c>
      <c r="B377" s="29" t="s">
        <v>5</v>
      </c>
      <c r="C377" s="29" t="s">
        <v>26</v>
      </c>
      <c r="D377" s="30">
        <v>30.84</v>
      </c>
      <c r="E377" s="31">
        <v>1.185025</v>
      </c>
      <c r="F377" s="51">
        <v>54.112520762393594</v>
      </c>
      <c r="G3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8" spans="1:7" x14ac:dyDescent="0.35">
      <c r="A378" s="45">
        <v>45967</v>
      </c>
      <c r="B378" s="39" t="s">
        <v>2</v>
      </c>
      <c r="C378" s="39" t="s">
        <v>26</v>
      </c>
      <c r="D378" s="30">
        <v>135.66999999999999</v>
      </c>
      <c r="E378" s="29">
        <v>1.19</v>
      </c>
      <c r="F378" s="29">
        <v>52.4</v>
      </c>
      <c r="G3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79" spans="1:7" x14ac:dyDescent="0.35">
      <c r="A379" s="47">
        <v>45719</v>
      </c>
      <c r="B379" s="29" t="s">
        <v>5</v>
      </c>
      <c r="C379" s="29" t="s">
        <v>26</v>
      </c>
      <c r="D379" s="30">
        <v>63.09</v>
      </c>
      <c r="E379" s="31">
        <v>1.1957249999999999</v>
      </c>
      <c r="F379" s="51">
        <v>53.921298712166767</v>
      </c>
      <c r="G3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0" spans="1:7" x14ac:dyDescent="0.35">
      <c r="A380" s="45">
        <v>45811</v>
      </c>
      <c r="B380" s="29" t="s">
        <v>6</v>
      </c>
      <c r="C380" s="29" t="s">
        <v>26</v>
      </c>
      <c r="D380" s="30">
        <v>35.9</v>
      </c>
      <c r="E380" s="31">
        <v>1.2</v>
      </c>
      <c r="F380" s="51">
        <v>54.374465015428235</v>
      </c>
      <c r="G3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1" spans="1:7" x14ac:dyDescent="0.35">
      <c r="A381" s="45">
        <v>45923</v>
      </c>
      <c r="B381" s="39" t="s">
        <v>2</v>
      </c>
      <c r="C381" s="39" t="s">
        <v>26</v>
      </c>
      <c r="D381" s="30">
        <v>162.52000000000001</v>
      </c>
      <c r="E381" s="31">
        <v>1.2</v>
      </c>
      <c r="F381" s="36">
        <v>51.839671678428971</v>
      </c>
      <c r="G3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2" spans="1:7" x14ac:dyDescent="0.35">
      <c r="A382" s="46">
        <v>45948</v>
      </c>
      <c r="B382" s="40" t="s">
        <v>3</v>
      </c>
      <c r="C382" s="40" t="s">
        <v>26</v>
      </c>
      <c r="D382" s="33">
        <v>44.69</v>
      </c>
      <c r="E382" s="32">
        <v>1.2</v>
      </c>
      <c r="F382" s="32">
        <v>54.2</v>
      </c>
      <c r="G3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3" spans="1:7" x14ac:dyDescent="0.35">
      <c r="A383" s="46">
        <v>45975</v>
      </c>
      <c r="B383" s="40" t="s">
        <v>3</v>
      </c>
      <c r="C383" s="40" t="s">
        <v>26</v>
      </c>
      <c r="D383" s="33">
        <v>70.180000000000007</v>
      </c>
      <c r="E383" s="32">
        <v>1.2</v>
      </c>
      <c r="F383" s="32">
        <v>54.6</v>
      </c>
      <c r="G3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4" spans="1:7" x14ac:dyDescent="0.35">
      <c r="A384" s="45">
        <v>45783</v>
      </c>
      <c r="B384" s="29" t="s">
        <v>5</v>
      </c>
      <c r="C384" s="29" t="s">
        <v>26</v>
      </c>
      <c r="D384" s="30">
        <v>116.53</v>
      </c>
      <c r="E384" s="31">
        <v>1.2064250000000001</v>
      </c>
      <c r="F384" s="51">
        <v>53.64552721439356</v>
      </c>
      <c r="G3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5" spans="1:7" x14ac:dyDescent="0.35">
      <c r="A385" s="47">
        <v>45716</v>
      </c>
      <c r="B385" s="29" t="s">
        <v>2</v>
      </c>
      <c r="C385" s="29" t="s">
        <v>26</v>
      </c>
      <c r="D385" s="30">
        <v>561.46</v>
      </c>
      <c r="E385" s="31">
        <v>1.2091000000000001</v>
      </c>
      <c r="F385" s="36">
        <v>51.102900340068011</v>
      </c>
      <c r="G3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6" spans="1:7" x14ac:dyDescent="0.35">
      <c r="A386" s="48">
        <v>45733</v>
      </c>
      <c r="B386" s="32" t="s">
        <v>2</v>
      </c>
      <c r="C386" s="32" t="s">
        <v>26</v>
      </c>
      <c r="D386" s="33">
        <v>210.2</v>
      </c>
      <c r="E386" s="34">
        <v>1.211775</v>
      </c>
      <c r="F386" s="35">
        <v>52.634813077557759</v>
      </c>
      <c r="G3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7" spans="1:7" x14ac:dyDescent="0.35">
      <c r="A387" s="45">
        <v>45770</v>
      </c>
      <c r="B387" s="29" t="s">
        <v>2</v>
      </c>
      <c r="C387" s="29" t="s">
        <v>26</v>
      </c>
      <c r="D387" s="30">
        <v>200.62</v>
      </c>
      <c r="E387" s="31">
        <v>1.2251500000000002</v>
      </c>
      <c r="F387" s="36">
        <v>53.435731145468203</v>
      </c>
      <c r="G3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8" spans="1:7" x14ac:dyDescent="0.35">
      <c r="A388" s="46">
        <v>45771</v>
      </c>
      <c r="B388" s="32" t="s">
        <v>7</v>
      </c>
      <c r="C388" s="32" t="s">
        <v>26</v>
      </c>
      <c r="D388" s="33">
        <v>25.15</v>
      </c>
      <c r="E388" s="34">
        <v>1.2304999999999999</v>
      </c>
      <c r="F388" s="35">
        <v>53.687001571157118</v>
      </c>
      <c r="G3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89" spans="1:7" x14ac:dyDescent="0.35">
      <c r="A389" s="45">
        <v>45895</v>
      </c>
      <c r="B389" s="39" t="s">
        <v>2</v>
      </c>
      <c r="C389" s="39" t="s">
        <v>26</v>
      </c>
      <c r="D389" s="30">
        <v>232.8</v>
      </c>
      <c r="E389" s="31">
        <v>1.25</v>
      </c>
      <c r="F389" s="36">
        <v>52.912129094412322</v>
      </c>
      <c r="G3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0" spans="1:7" x14ac:dyDescent="0.35">
      <c r="A390" s="45">
        <v>45961</v>
      </c>
      <c r="B390" s="39" t="s">
        <v>16</v>
      </c>
      <c r="C390" s="39" t="s">
        <v>27</v>
      </c>
      <c r="D390" s="30">
        <v>314.22000000000003</v>
      </c>
      <c r="E390" s="29">
        <v>1.25</v>
      </c>
      <c r="F390" s="29">
        <v>53.28</v>
      </c>
      <c r="G3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1" spans="1:7" x14ac:dyDescent="0.35">
      <c r="A391" s="45">
        <v>45918</v>
      </c>
      <c r="B391" s="39" t="s">
        <v>8</v>
      </c>
      <c r="C391" s="39" t="s">
        <v>27</v>
      </c>
      <c r="D391" s="30">
        <v>327.88600000000002</v>
      </c>
      <c r="E391" s="29">
        <v>1.26</v>
      </c>
      <c r="F391" s="29">
        <v>54.2</v>
      </c>
      <c r="G3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2" spans="1:7" x14ac:dyDescent="0.35">
      <c r="A392" s="46">
        <v>45919</v>
      </c>
      <c r="B392" s="40" t="s">
        <v>8</v>
      </c>
      <c r="C392" s="40" t="s">
        <v>27</v>
      </c>
      <c r="D392" s="33">
        <v>175.982</v>
      </c>
      <c r="E392" s="32">
        <v>1.26</v>
      </c>
      <c r="F392" s="32">
        <v>54.2</v>
      </c>
      <c r="G3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3" spans="1:7" x14ac:dyDescent="0.35">
      <c r="A393" s="45">
        <v>46013</v>
      </c>
      <c r="B393" s="39" t="s">
        <v>4</v>
      </c>
      <c r="C393" s="39" t="s">
        <v>26</v>
      </c>
      <c r="D393" s="30">
        <v>79.8</v>
      </c>
      <c r="E393" s="44">
        <v>1.26</v>
      </c>
      <c r="F393" s="44">
        <v>53.50766038675409</v>
      </c>
      <c r="G3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4" spans="1:7" x14ac:dyDescent="0.35">
      <c r="A394" s="46">
        <v>45782</v>
      </c>
      <c r="B394" s="32" t="s">
        <v>3</v>
      </c>
      <c r="C394" s="32" t="s">
        <v>26</v>
      </c>
      <c r="D394" s="33">
        <v>135.44</v>
      </c>
      <c r="E394" s="35">
        <v>1.2652750000000001</v>
      </c>
      <c r="F394" s="35">
        <v>54.336938655846751</v>
      </c>
      <c r="G3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5" spans="1:7" x14ac:dyDescent="0.35">
      <c r="A395" s="45">
        <v>45951</v>
      </c>
      <c r="B395" s="39" t="s">
        <v>2</v>
      </c>
      <c r="C395" s="39" t="s">
        <v>26</v>
      </c>
      <c r="D395" s="30">
        <v>396.68</v>
      </c>
      <c r="E395" s="29">
        <v>1.27</v>
      </c>
      <c r="F395" s="29">
        <v>51.7</v>
      </c>
      <c r="G3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6" spans="1:7" x14ac:dyDescent="0.35">
      <c r="A396" s="46">
        <v>45997</v>
      </c>
      <c r="B396" s="40" t="s">
        <v>18</v>
      </c>
      <c r="C396" s="40" t="s">
        <v>27</v>
      </c>
      <c r="D396" s="33">
        <v>600</v>
      </c>
      <c r="E396" s="32">
        <v>1.28</v>
      </c>
      <c r="F396" s="32">
        <v>54</v>
      </c>
      <c r="G3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7" spans="1:7" x14ac:dyDescent="0.35">
      <c r="A397" s="46">
        <v>46000</v>
      </c>
      <c r="B397" s="40" t="s">
        <v>18</v>
      </c>
      <c r="C397" s="40" t="s">
        <v>27</v>
      </c>
      <c r="D397" s="33">
        <v>724.72</v>
      </c>
      <c r="E397" s="32">
        <v>1.28</v>
      </c>
      <c r="F397" s="32">
        <v>54</v>
      </c>
      <c r="G3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8" spans="1:7" x14ac:dyDescent="0.35">
      <c r="A398" s="47">
        <v>45694</v>
      </c>
      <c r="B398" s="29" t="s">
        <v>6</v>
      </c>
      <c r="C398" s="29" t="s">
        <v>26</v>
      </c>
      <c r="D398" s="30">
        <v>536.69000000000005</v>
      </c>
      <c r="E398" s="31">
        <v>1.2947</v>
      </c>
      <c r="F398" s="51">
        <v>53.805380507695382</v>
      </c>
      <c r="G3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399" spans="1:7" x14ac:dyDescent="0.35">
      <c r="A399" s="48">
        <v>45694</v>
      </c>
      <c r="B399" s="32" t="s">
        <v>6</v>
      </c>
      <c r="C399" s="32" t="s">
        <v>26</v>
      </c>
      <c r="D399" s="33">
        <v>536.69000000000005</v>
      </c>
      <c r="E399" s="34">
        <v>1.2947</v>
      </c>
      <c r="F399" s="52">
        <v>53.805380507695382</v>
      </c>
      <c r="G3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0" spans="1:7" x14ac:dyDescent="0.35">
      <c r="A400" s="48">
        <v>45696</v>
      </c>
      <c r="B400" s="32" t="s">
        <v>2</v>
      </c>
      <c r="C400" s="32" t="s">
        <v>26</v>
      </c>
      <c r="D400" s="33">
        <v>265.94</v>
      </c>
      <c r="E400" s="34">
        <v>1.2973749999999999</v>
      </c>
      <c r="F400" s="52">
        <v>53.080095038015209</v>
      </c>
      <c r="G4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1" spans="1:7" x14ac:dyDescent="0.35">
      <c r="A401" s="45">
        <v>45969</v>
      </c>
      <c r="B401" s="39" t="s">
        <v>3</v>
      </c>
      <c r="C401" s="39" t="s">
        <v>26</v>
      </c>
      <c r="D401" s="30">
        <v>48.78</v>
      </c>
      <c r="E401" s="29">
        <v>1.3</v>
      </c>
      <c r="F401" s="29">
        <v>52.9</v>
      </c>
      <c r="G4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2" spans="1:7" x14ac:dyDescent="0.35">
      <c r="A402" s="45">
        <v>45973</v>
      </c>
      <c r="B402" s="39" t="s">
        <v>4</v>
      </c>
      <c r="C402" s="39" t="s">
        <v>26</v>
      </c>
      <c r="D402" s="30">
        <v>74.510000000000005</v>
      </c>
      <c r="E402" s="29">
        <v>1.3</v>
      </c>
      <c r="F402" s="29">
        <v>54</v>
      </c>
      <c r="G4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3" spans="1:7" x14ac:dyDescent="0.35">
      <c r="A403" s="45">
        <v>46002</v>
      </c>
      <c r="B403" s="39" t="s">
        <v>3</v>
      </c>
      <c r="C403" s="39" t="s">
        <v>26</v>
      </c>
      <c r="D403" s="30">
        <v>89.9</v>
      </c>
      <c r="E403" s="29">
        <v>1.3</v>
      </c>
      <c r="F403" s="29">
        <v>54.2</v>
      </c>
      <c r="G4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4" spans="1:7" x14ac:dyDescent="0.35">
      <c r="A404" s="45">
        <v>46063</v>
      </c>
      <c r="B404" s="39" t="s">
        <v>4</v>
      </c>
      <c r="C404" s="39" t="s">
        <v>26</v>
      </c>
      <c r="D404" s="30">
        <v>146.79</v>
      </c>
      <c r="E404" s="29">
        <v>1.3</v>
      </c>
      <c r="F404" s="29">
        <v>53.9</v>
      </c>
      <c r="G4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5" spans="1:7" x14ac:dyDescent="0.35">
      <c r="A405" s="45">
        <v>46065</v>
      </c>
      <c r="B405" s="39" t="s">
        <v>2</v>
      </c>
      <c r="C405" s="39" t="s">
        <v>26</v>
      </c>
      <c r="D405" s="30">
        <v>476.33</v>
      </c>
      <c r="E405" s="29">
        <v>1.3</v>
      </c>
      <c r="F405" s="29">
        <v>53.4</v>
      </c>
      <c r="G4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6" spans="1:7" x14ac:dyDescent="0.35">
      <c r="A406" s="48">
        <v>45710</v>
      </c>
      <c r="B406" s="32" t="s">
        <v>2</v>
      </c>
      <c r="C406" s="32" t="s">
        <v>26</v>
      </c>
      <c r="D406" s="33">
        <v>371.42</v>
      </c>
      <c r="E406" s="34">
        <v>1.3000500000000001</v>
      </c>
      <c r="F406" s="52">
        <v>53.308034960796142</v>
      </c>
      <c r="G4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7" spans="1:7" x14ac:dyDescent="0.35">
      <c r="A407" s="45">
        <v>45777</v>
      </c>
      <c r="B407" s="29" t="s">
        <v>3</v>
      </c>
      <c r="C407" s="29" t="s">
        <v>26</v>
      </c>
      <c r="D407" s="30">
        <v>64.459999999999994</v>
      </c>
      <c r="E407" s="36">
        <v>1.3000500000000001</v>
      </c>
      <c r="F407" s="36">
        <v>54.212069166165115</v>
      </c>
      <c r="G4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8" spans="1:7" x14ac:dyDescent="0.35">
      <c r="A408" s="46">
        <v>45791</v>
      </c>
      <c r="B408" s="32" t="s">
        <v>5</v>
      </c>
      <c r="C408" s="32" t="s">
        <v>26</v>
      </c>
      <c r="D408" s="33">
        <v>102.87</v>
      </c>
      <c r="E408" s="34">
        <v>1.3080750000000001</v>
      </c>
      <c r="F408" s="52">
        <v>52.048095332136448</v>
      </c>
      <c r="G4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09" spans="1:7" x14ac:dyDescent="0.35">
      <c r="A409" s="45">
        <v>45785</v>
      </c>
      <c r="B409" s="29" t="s">
        <v>3</v>
      </c>
      <c r="C409" s="29" t="s">
        <v>26</v>
      </c>
      <c r="D409" s="30">
        <v>65.98</v>
      </c>
      <c r="E409" s="36">
        <v>1.3161</v>
      </c>
      <c r="F409" s="36">
        <v>53.700735504788504</v>
      </c>
      <c r="G4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0" spans="1:7" x14ac:dyDescent="0.35">
      <c r="A410" s="45">
        <v>45912</v>
      </c>
      <c r="B410" s="39" t="s">
        <v>2</v>
      </c>
      <c r="C410" s="39" t="s">
        <v>26</v>
      </c>
      <c r="D410" s="30">
        <v>252.09</v>
      </c>
      <c r="E410" s="31">
        <v>1.32</v>
      </c>
      <c r="F410" s="36">
        <v>53.002691795639876</v>
      </c>
      <c r="G4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1" spans="1:7" x14ac:dyDescent="0.35">
      <c r="A411" s="45">
        <v>45945</v>
      </c>
      <c r="B411" s="39" t="s">
        <v>16</v>
      </c>
      <c r="C411" s="39" t="s">
        <v>27</v>
      </c>
      <c r="D411" s="30">
        <v>340.56</v>
      </c>
      <c r="E411" s="29">
        <v>1.32</v>
      </c>
      <c r="F411" s="29">
        <v>54</v>
      </c>
      <c r="G4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2" spans="1:7" x14ac:dyDescent="0.35">
      <c r="A412" s="45">
        <v>45958</v>
      </c>
      <c r="B412" s="39" t="s">
        <v>17</v>
      </c>
      <c r="C412" s="39" t="s">
        <v>27</v>
      </c>
      <c r="D412" s="30">
        <v>199.3</v>
      </c>
      <c r="E412" s="29">
        <v>1.32</v>
      </c>
      <c r="F412" s="29">
        <v>53.9</v>
      </c>
      <c r="G4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3" spans="1:7" x14ac:dyDescent="0.35">
      <c r="A413" s="48">
        <v>45699</v>
      </c>
      <c r="B413" s="32" t="s">
        <v>2</v>
      </c>
      <c r="C413" s="32" t="s">
        <v>26</v>
      </c>
      <c r="D413" s="33">
        <v>212.44</v>
      </c>
      <c r="E413" s="34">
        <v>1.329475</v>
      </c>
      <c r="F413" s="52">
        <v>52.890569989236013</v>
      </c>
      <c r="G4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4" spans="1:7" x14ac:dyDescent="0.35">
      <c r="A414" s="45">
        <v>45660</v>
      </c>
      <c r="B414" s="29" t="s">
        <v>6</v>
      </c>
      <c r="C414" s="29" t="s">
        <v>26</v>
      </c>
      <c r="D414" s="30">
        <v>132.44</v>
      </c>
      <c r="E414" s="31">
        <v>1.33</v>
      </c>
      <c r="F414" s="51">
        <v>53.530085517024951</v>
      </c>
      <c r="G4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5" spans="1:7" x14ac:dyDescent="0.35">
      <c r="A415" s="45">
        <v>45950</v>
      </c>
      <c r="B415" s="39" t="s">
        <v>17</v>
      </c>
      <c r="C415" s="39" t="s">
        <v>27</v>
      </c>
      <c r="D415" s="30">
        <v>154.66</v>
      </c>
      <c r="E415" s="29">
        <v>1.33</v>
      </c>
      <c r="F415" s="29">
        <v>53.4</v>
      </c>
      <c r="G4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6" spans="1:7" x14ac:dyDescent="0.35">
      <c r="A416" s="47">
        <v>45733</v>
      </c>
      <c r="B416" s="29" t="s">
        <v>5</v>
      </c>
      <c r="C416" s="29" t="s">
        <v>26</v>
      </c>
      <c r="D416" s="30">
        <v>31.71</v>
      </c>
      <c r="E416" s="31">
        <v>1.3375000000000001</v>
      </c>
      <c r="F416" s="51">
        <v>53.820609455719556</v>
      </c>
      <c r="G4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7" spans="1:7" x14ac:dyDescent="0.35">
      <c r="A417" s="45">
        <v>46036</v>
      </c>
      <c r="B417" s="39" t="s">
        <v>18</v>
      </c>
      <c r="C417" s="39" t="s">
        <v>27</v>
      </c>
      <c r="D417" s="30">
        <v>280.3</v>
      </c>
      <c r="E417" s="29">
        <v>1.34</v>
      </c>
      <c r="F417" s="29">
        <v>52.8</v>
      </c>
      <c r="G4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8" spans="1:7" x14ac:dyDescent="0.35">
      <c r="A418" s="48">
        <v>45904</v>
      </c>
      <c r="B418" s="40" t="s">
        <v>5</v>
      </c>
      <c r="C418" s="40" t="s">
        <v>26</v>
      </c>
      <c r="D418" s="33">
        <v>100.19</v>
      </c>
      <c r="E418" s="34">
        <v>1.36</v>
      </c>
      <c r="F418" s="54">
        <v>53.42</v>
      </c>
      <c r="G4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19" spans="1:7" x14ac:dyDescent="0.35">
      <c r="A419" s="46">
        <v>45833</v>
      </c>
      <c r="B419" s="40" t="s">
        <v>8</v>
      </c>
      <c r="C419" s="40" t="s">
        <v>27</v>
      </c>
      <c r="D419" s="33">
        <v>605.85</v>
      </c>
      <c r="E419" s="42">
        <v>1.36</v>
      </c>
      <c r="F419" s="56">
        <v>53.890532889258957</v>
      </c>
      <c r="G4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0" spans="1:7" x14ac:dyDescent="0.35">
      <c r="A420" s="45">
        <v>45834</v>
      </c>
      <c r="B420" s="39" t="s">
        <v>8</v>
      </c>
      <c r="C420" s="39" t="s">
        <v>27</v>
      </c>
      <c r="D420" s="30">
        <v>989.28</v>
      </c>
      <c r="E420" s="41">
        <v>1.36</v>
      </c>
      <c r="F420" s="55">
        <v>53.890532889258957</v>
      </c>
      <c r="G4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1" spans="1:7" x14ac:dyDescent="0.35">
      <c r="A421" s="46">
        <v>45835</v>
      </c>
      <c r="B421" s="40" t="s">
        <v>8</v>
      </c>
      <c r="C421" s="40" t="s">
        <v>27</v>
      </c>
      <c r="D421" s="33">
        <v>792.26</v>
      </c>
      <c r="E421" s="42">
        <v>1.36</v>
      </c>
      <c r="F421" s="56">
        <v>53.890532889258957</v>
      </c>
      <c r="G4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2" spans="1:7" x14ac:dyDescent="0.35">
      <c r="A422" s="45">
        <v>45836</v>
      </c>
      <c r="B422" s="39" t="s">
        <v>8</v>
      </c>
      <c r="C422" s="39" t="s">
        <v>27</v>
      </c>
      <c r="D422" s="30">
        <v>366.40800000000002</v>
      </c>
      <c r="E422" s="41">
        <v>1.36</v>
      </c>
      <c r="F422" s="55">
        <v>53.890532889258957</v>
      </c>
      <c r="G4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3" spans="1:7" x14ac:dyDescent="0.35">
      <c r="A423" s="45">
        <v>45986</v>
      </c>
      <c r="B423" s="39" t="s">
        <v>16</v>
      </c>
      <c r="C423" s="39" t="s">
        <v>27</v>
      </c>
      <c r="D423" s="30">
        <v>157.12</v>
      </c>
      <c r="E423" s="29">
        <v>1.36</v>
      </c>
      <c r="F423" s="29">
        <v>52.8</v>
      </c>
      <c r="G4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4" spans="1:7" x14ac:dyDescent="0.35">
      <c r="A424" s="46">
        <v>45771</v>
      </c>
      <c r="B424" s="32" t="s">
        <v>6</v>
      </c>
      <c r="C424" s="32" t="s">
        <v>26</v>
      </c>
      <c r="D424" s="33">
        <v>34.020000000000003</v>
      </c>
      <c r="E424" s="34">
        <v>1.361575</v>
      </c>
      <c r="F424" s="52">
        <v>54.218675337668834</v>
      </c>
      <c r="G4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5" spans="1:7" x14ac:dyDescent="0.35">
      <c r="A425" s="46">
        <v>46001</v>
      </c>
      <c r="B425" s="40" t="s">
        <v>6</v>
      </c>
      <c r="C425" s="40" t="s">
        <v>26</v>
      </c>
      <c r="D425" s="33">
        <v>216.02</v>
      </c>
      <c r="E425" s="32">
        <v>1.37</v>
      </c>
      <c r="F425" s="32">
        <v>54.1</v>
      </c>
      <c r="G4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6" spans="1:7" x14ac:dyDescent="0.35">
      <c r="A426" s="46">
        <v>45776</v>
      </c>
      <c r="B426" s="32" t="s">
        <v>2</v>
      </c>
      <c r="C426" s="32" t="s">
        <v>26</v>
      </c>
      <c r="D426" s="33">
        <v>234.58</v>
      </c>
      <c r="E426" s="34">
        <v>1.3776250000000001</v>
      </c>
      <c r="F426" s="35">
        <v>52.993271949034437</v>
      </c>
      <c r="G4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7" spans="1:7" x14ac:dyDescent="0.35">
      <c r="A427" s="45">
        <v>45769</v>
      </c>
      <c r="B427" s="29" t="s">
        <v>5</v>
      </c>
      <c r="C427" s="29" t="s">
        <v>26</v>
      </c>
      <c r="D427" s="30">
        <v>166.7</v>
      </c>
      <c r="E427" s="31">
        <v>1.38565</v>
      </c>
      <c r="F427" s="51">
        <v>53.029485492173386</v>
      </c>
      <c r="G4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8" spans="1:7" x14ac:dyDescent="0.35">
      <c r="A428" s="46">
        <v>45798</v>
      </c>
      <c r="B428" s="32" t="s">
        <v>5</v>
      </c>
      <c r="C428" s="32" t="s">
        <v>26</v>
      </c>
      <c r="D428" s="33">
        <v>113.64</v>
      </c>
      <c r="E428" s="34">
        <v>1.38565</v>
      </c>
      <c r="F428" s="35">
        <v>53.191650545218096</v>
      </c>
      <c r="G4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29" spans="1:7" x14ac:dyDescent="0.35">
      <c r="A429" s="45">
        <v>45862</v>
      </c>
      <c r="B429" s="29" t="s">
        <v>5</v>
      </c>
      <c r="C429" s="29" t="s">
        <v>26</v>
      </c>
      <c r="D429" s="30">
        <v>105.49</v>
      </c>
      <c r="E429" s="31">
        <v>1.39</v>
      </c>
      <c r="F429" s="51">
        <v>53.551462327949714</v>
      </c>
      <c r="G4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0" spans="1:7" x14ac:dyDescent="0.35">
      <c r="A430" s="45">
        <v>45904</v>
      </c>
      <c r="B430" s="39" t="s">
        <v>4</v>
      </c>
      <c r="C430" s="39" t="s">
        <v>26</v>
      </c>
      <c r="D430" s="30">
        <v>176.41</v>
      </c>
      <c r="E430" s="36">
        <v>1.39</v>
      </c>
      <c r="F430" s="36">
        <v>53.70331114808652</v>
      </c>
      <c r="G4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1" spans="1:7" x14ac:dyDescent="0.35">
      <c r="A431" s="45">
        <v>45794</v>
      </c>
      <c r="B431" s="29" t="s">
        <v>2</v>
      </c>
      <c r="C431" s="29" t="s">
        <v>26</v>
      </c>
      <c r="D431" s="30">
        <v>383.45</v>
      </c>
      <c r="E431" s="31">
        <v>1.39635</v>
      </c>
      <c r="F431" s="36">
        <v>52.180193150139388</v>
      </c>
      <c r="G4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2" spans="1:7" x14ac:dyDescent="0.35">
      <c r="A432" s="45">
        <v>46011</v>
      </c>
      <c r="B432" s="39" t="s">
        <v>3</v>
      </c>
      <c r="C432" s="39" t="s">
        <v>26</v>
      </c>
      <c r="D432" s="30">
        <v>68.08</v>
      </c>
      <c r="E432" s="29">
        <v>1.4</v>
      </c>
      <c r="F432" s="29">
        <v>53.5</v>
      </c>
      <c r="G4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3" spans="1:7" x14ac:dyDescent="0.35">
      <c r="A433" s="46">
        <v>46012</v>
      </c>
      <c r="B433" s="40" t="s">
        <v>3</v>
      </c>
      <c r="C433" s="40" t="s">
        <v>26</v>
      </c>
      <c r="D433" s="33">
        <v>44.78</v>
      </c>
      <c r="E433" s="32">
        <v>1.4</v>
      </c>
      <c r="F433" s="32">
        <v>53.5</v>
      </c>
      <c r="G4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4" spans="1:7" x14ac:dyDescent="0.35">
      <c r="A434" s="45">
        <v>46013</v>
      </c>
      <c r="B434" s="39" t="s">
        <v>3</v>
      </c>
      <c r="C434" s="39" t="s">
        <v>26</v>
      </c>
      <c r="D434" s="30">
        <v>0</v>
      </c>
      <c r="E434" s="29">
        <v>1.4</v>
      </c>
      <c r="F434" s="29">
        <v>54.4</v>
      </c>
      <c r="G4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5" spans="1:7" x14ac:dyDescent="0.35">
      <c r="A435" s="46">
        <v>45937</v>
      </c>
      <c r="B435" s="40" t="s">
        <v>2</v>
      </c>
      <c r="C435" s="40" t="s">
        <v>26</v>
      </c>
      <c r="D435" s="33">
        <v>256.14999999999998</v>
      </c>
      <c r="E435" s="32">
        <v>1.41</v>
      </c>
      <c r="F435" s="32">
        <v>53.7</v>
      </c>
      <c r="G4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6" spans="1:7" x14ac:dyDescent="0.35">
      <c r="A436" s="46">
        <v>45946</v>
      </c>
      <c r="B436" s="40" t="s">
        <v>16</v>
      </c>
      <c r="C436" s="40" t="s">
        <v>27</v>
      </c>
      <c r="D436" s="33">
        <v>608.9</v>
      </c>
      <c r="E436" s="42">
        <v>1.41</v>
      </c>
      <c r="F436" s="56">
        <v>53.917905822175413</v>
      </c>
      <c r="G4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7" spans="1:7" x14ac:dyDescent="0.35">
      <c r="A437" s="45">
        <v>45805</v>
      </c>
      <c r="B437" s="29" t="s">
        <v>5</v>
      </c>
      <c r="C437" s="29" t="s">
        <v>26</v>
      </c>
      <c r="D437" s="30">
        <v>103.44</v>
      </c>
      <c r="E437" s="31">
        <v>1.4177500000000001</v>
      </c>
      <c r="F437" s="51">
        <v>53.106144327220946</v>
      </c>
      <c r="G4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8" spans="1:7" x14ac:dyDescent="0.35">
      <c r="A438" s="46">
        <v>45947</v>
      </c>
      <c r="B438" s="40" t="s">
        <v>16</v>
      </c>
      <c r="C438" s="40" t="s">
        <v>27</v>
      </c>
      <c r="D438" s="33">
        <v>429.56</v>
      </c>
      <c r="E438" s="32">
        <v>1.42</v>
      </c>
      <c r="F438" s="32">
        <v>53.8</v>
      </c>
      <c r="G4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39" spans="1:7" x14ac:dyDescent="0.35">
      <c r="A439" s="45">
        <v>45671</v>
      </c>
      <c r="B439" s="29" t="s">
        <v>6</v>
      </c>
      <c r="C439" s="29" t="s">
        <v>26</v>
      </c>
      <c r="D439" s="30">
        <v>268.16000000000003</v>
      </c>
      <c r="E439" s="31">
        <v>1.42845</v>
      </c>
      <c r="F439" s="51">
        <v>52.498818029756542</v>
      </c>
      <c r="G4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0" spans="1:7" x14ac:dyDescent="0.35">
      <c r="A440" s="48">
        <v>45692</v>
      </c>
      <c r="B440" s="32" t="s">
        <v>3</v>
      </c>
      <c r="C440" s="32" t="s">
        <v>26</v>
      </c>
      <c r="D440" s="33">
        <v>85.5</v>
      </c>
      <c r="E440" s="34">
        <v>1.42845</v>
      </c>
      <c r="F440" s="52">
        <v>53.743275000000004</v>
      </c>
      <c r="G4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1" spans="1:7" x14ac:dyDescent="0.35">
      <c r="A441" s="45">
        <v>45834</v>
      </c>
      <c r="B441" s="29" t="s">
        <v>5</v>
      </c>
      <c r="C441" s="29" t="s">
        <v>26</v>
      </c>
      <c r="D441" s="30">
        <v>144.44999999999999</v>
      </c>
      <c r="E441" s="31">
        <v>1.43</v>
      </c>
      <c r="F441" s="51">
        <v>52.873333333333335</v>
      </c>
      <c r="G4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2" spans="1:7" x14ac:dyDescent="0.35">
      <c r="A442" s="46">
        <v>45952</v>
      </c>
      <c r="B442" s="40" t="s">
        <v>4</v>
      </c>
      <c r="C442" s="40" t="s">
        <v>26</v>
      </c>
      <c r="D442" s="33">
        <v>156.74</v>
      </c>
      <c r="E442" s="32">
        <v>1.43</v>
      </c>
      <c r="F442" s="32">
        <v>54.4</v>
      </c>
      <c r="G4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3" spans="1:7" x14ac:dyDescent="0.35">
      <c r="A443" s="46">
        <v>45751</v>
      </c>
      <c r="B443" s="32" t="s">
        <v>4</v>
      </c>
      <c r="C443" s="32" t="s">
        <v>26</v>
      </c>
      <c r="D443" s="33">
        <v>70.7</v>
      </c>
      <c r="E443" s="35">
        <v>1.431125</v>
      </c>
      <c r="F443" s="35">
        <v>53.988805442583732</v>
      </c>
      <c r="G4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4" spans="1:7" x14ac:dyDescent="0.35">
      <c r="A444" s="46">
        <v>45813</v>
      </c>
      <c r="B444" s="32" t="s">
        <v>6</v>
      </c>
      <c r="C444" s="32" t="s">
        <v>26</v>
      </c>
      <c r="D444" s="33">
        <v>202.41</v>
      </c>
      <c r="E444" s="34">
        <v>1.44</v>
      </c>
      <c r="F444" s="52">
        <v>53.349515161898232</v>
      </c>
      <c r="G4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5" spans="1:7" x14ac:dyDescent="0.35">
      <c r="A445" s="46">
        <v>45854</v>
      </c>
      <c r="B445" s="32" t="s">
        <v>4</v>
      </c>
      <c r="C445" s="32" t="s">
        <v>26</v>
      </c>
      <c r="D445" s="33">
        <v>104.73</v>
      </c>
      <c r="E445" s="35">
        <v>1.44</v>
      </c>
      <c r="F445" s="35">
        <v>53.87</v>
      </c>
      <c r="G4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6" spans="1:7" x14ac:dyDescent="0.35">
      <c r="A446" s="45">
        <v>45946</v>
      </c>
      <c r="B446" s="39" t="s">
        <v>3</v>
      </c>
      <c r="C446" s="39" t="s">
        <v>26</v>
      </c>
      <c r="D446" s="30">
        <v>69.040000000000006</v>
      </c>
      <c r="E446" s="44">
        <v>1.44</v>
      </c>
      <c r="F446" s="44">
        <v>52.505081274382313</v>
      </c>
      <c r="G4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7" spans="1:7" x14ac:dyDescent="0.35">
      <c r="A447" s="46">
        <v>45952</v>
      </c>
      <c r="B447" s="40" t="s">
        <v>3</v>
      </c>
      <c r="C447" s="40" t="s">
        <v>26</v>
      </c>
      <c r="D447" s="33">
        <v>24.32</v>
      </c>
      <c r="E447" s="32">
        <v>1.44</v>
      </c>
      <c r="F447" s="32">
        <v>53.8</v>
      </c>
      <c r="G4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8" spans="1:7" x14ac:dyDescent="0.35">
      <c r="A448" s="45">
        <v>45749</v>
      </c>
      <c r="B448" s="29" t="s">
        <v>3</v>
      </c>
      <c r="C448" s="29" t="s">
        <v>26</v>
      </c>
      <c r="D448" s="30">
        <v>69.02</v>
      </c>
      <c r="E448" s="36">
        <v>1.4418249999999999</v>
      </c>
      <c r="F448" s="36">
        <v>53.195253081513457</v>
      </c>
      <c r="G4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49" spans="1:7" x14ac:dyDescent="0.35">
      <c r="A449" s="47">
        <v>45702</v>
      </c>
      <c r="B449" s="29" t="s">
        <v>2</v>
      </c>
      <c r="C449" s="29" t="s">
        <v>26</v>
      </c>
      <c r="D449" s="30">
        <v>316.62</v>
      </c>
      <c r="E449" s="31">
        <v>1.457875</v>
      </c>
      <c r="F449" s="51">
        <v>51.908430845771143</v>
      </c>
      <c r="G4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0" spans="1:7" x14ac:dyDescent="0.35">
      <c r="A450" s="46">
        <v>45920</v>
      </c>
      <c r="B450" s="40" t="s">
        <v>2</v>
      </c>
      <c r="C450" s="40" t="s">
        <v>26</v>
      </c>
      <c r="D450" s="33">
        <v>234.7</v>
      </c>
      <c r="E450" s="34">
        <v>1.46</v>
      </c>
      <c r="F450" s="35">
        <v>52.64479638358705</v>
      </c>
      <c r="G4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1" spans="1:7" x14ac:dyDescent="0.35">
      <c r="A451" s="48">
        <v>45701</v>
      </c>
      <c r="B451" s="32" t="s">
        <v>6</v>
      </c>
      <c r="C451" s="32" t="s">
        <v>26</v>
      </c>
      <c r="D451" s="33">
        <v>419.5</v>
      </c>
      <c r="E451" s="34">
        <v>1.46055</v>
      </c>
      <c r="F451" s="52">
        <v>53.886686704739006</v>
      </c>
      <c r="G4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2" spans="1:7" x14ac:dyDescent="0.35">
      <c r="A452" s="45">
        <v>45792</v>
      </c>
      <c r="B452" s="29" t="s">
        <v>5</v>
      </c>
      <c r="C452" s="29" t="s">
        <v>26</v>
      </c>
      <c r="D452" s="30">
        <v>96.55</v>
      </c>
      <c r="E452" s="31">
        <v>1.4659000000000002</v>
      </c>
      <c r="F452" s="51">
        <v>53.088142089638239</v>
      </c>
      <c r="G4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3" spans="1:7" x14ac:dyDescent="0.35">
      <c r="A453" s="45">
        <v>46039</v>
      </c>
      <c r="B453" s="39" t="s">
        <v>3</v>
      </c>
      <c r="C453" s="39" t="s">
        <v>26</v>
      </c>
      <c r="D453" s="30">
        <v>50.04</v>
      </c>
      <c r="E453" s="44">
        <v>1.4659000000000002</v>
      </c>
      <c r="F453" s="44">
        <v>53.191540082560117</v>
      </c>
      <c r="G4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4" spans="1:7" x14ac:dyDescent="0.35">
      <c r="A454" s="46">
        <v>45980</v>
      </c>
      <c r="B454" s="40" t="s">
        <v>19</v>
      </c>
      <c r="C454" s="40" t="s">
        <v>29</v>
      </c>
      <c r="D454" s="33">
        <v>501.18</v>
      </c>
      <c r="E454" s="32">
        <v>1.47</v>
      </c>
      <c r="F454" s="32">
        <v>52.6</v>
      </c>
      <c r="G4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5" spans="1:7" x14ac:dyDescent="0.35">
      <c r="A455" s="47">
        <v>45734</v>
      </c>
      <c r="B455" s="29" t="s">
        <v>6</v>
      </c>
      <c r="C455" s="29" t="s">
        <v>26</v>
      </c>
      <c r="D455" s="30">
        <v>530.44000000000005</v>
      </c>
      <c r="E455" s="31">
        <v>1.4712500000000002</v>
      </c>
      <c r="F455" s="51">
        <v>53.52512290167865</v>
      </c>
      <c r="G4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6" spans="1:7" x14ac:dyDescent="0.35">
      <c r="A456" s="45">
        <v>46038</v>
      </c>
      <c r="B456" s="39" t="s">
        <v>5</v>
      </c>
      <c r="C456" s="39" t="s">
        <v>26</v>
      </c>
      <c r="D456" s="30">
        <v>34.97</v>
      </c>
      <c r="E456" s="41">
        <v>1.4739249999999999</v>
      </c>
      <c r="F456" s="55">
        <v>52.935258650729338</v>
      </c>
      <c r="G4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7" spans="1:7" x14ac:dyDescent="0.35">
      <c r="A457" s="46">
        <v>45803</v>
      </c>
      <c r="B457" s="32" t="s">
        <v>3</v>
      </c>
      <c r="C457" s="32" t="s">
        <v>26</v>
      </c>
      <c r="D457" s="33">
        <v>83.84</v>
      </c>
      <c r="E457" s="35">
        <v>1.4765999999999999</v>
      </c>
      <c r="F457" s="35">
        <v>53.43661145148436</v>
      </c>
      <c r="G4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8" spans="1:7" x14ac:dyDescent="0.35">
      <c r="A458" s="46">
        <v>45822</v>
      </c>
      <c r="B458" s="32" t="s">
        <v>4</v>
      </c>
      <c r="C458" s="32" t="s">
        <v>26</v>
      </c>
      <c r="D458" s="33">
        <v>101.54</v>
      </c>
      <c r="E458" s="35">
        <v>1.48</v>
      </c>
      <c r="F458" s="35">
        <v>54.159869073757825</v>
      </c>
      <c r="G4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59" spans="1:7" x14ac:dyDescent="0.35">
      <c r="A459" s="45">
        <v>45940</v>
      </c>
      <c r="B459" s="39" t="s">
        <v>5</v>
      </c>
      <c r="C459" s="39" t="s">
        <v>26</v>
      </c>
      <c r="D459" s="30">
        <v>105.65</v>
      </c>
      <c r="E459" s="41">
        <v>1.48</v>
      </c>
      <c r="F459" s="55">
        <v>53.187218993856881</v>
      </c>
      <c r="G4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0" spans="1:7" x14ac:dyDescent="0.35">
      <c r="A460" s="46">
        <v>45966</v>
      </c>
      <c r="B460" s="40" t="s">
        <v>17</v>
      </c>
      <c r="C460" s="40" t="s">
        <v>27</v>
      </c>
      <c r="D460" s="33">
        <v>130.68</v>
      </c>
      <c r="E460" s="43">
        <v>1.48</v>
      </c>
      <c r="F460" s="58">
        <v>53.5</v>
      </c>
      <c r="G4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1" spans="1:7" x14ac:dyDescent="0.35">
      <c r="A461" s="46">
        <v>45976</v>
      </c>
      <c r="B461" s="40" t="s">
        <v>19</v>
      </c>
      <c r="C461" s="40" t="s">
        <v>29</v>
      </c>
      <c r="D461" s="33">
        <v>443.96</v>
      </c>
      <c r="E461" s="32">
        <v>1.48</v>
      </c>
      <c r="F461" s="32">
        <v>51.6</v>
      </c>
      <c r="G4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2" spans="1:7" x14ac:dyDescent="0.35">
      <c r="A462" s="46">
        <v>45979</v>
      </c>
      <c r="B462" s="40" t="s">
        <v>19</v>
      </c>
      <c r="C462" s="40" t="s">
        <v>29</v>
      </c>
      <c r="D462" s="33">
        <v>216.26</v>
      </c>
      <c r="E462" s="32">
        <v>1.48</v>
      </c>
      <c r="F462" s="32">
        <v>51.6</v>
      </c>
      <c r="G4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3" spans="1:7" x14ac:dyDescent="0.35">
      <c r="A463" s="45">
        <v>45682</v>
      </c>
      <c r="B463" s="29" t="s">
        <v>5</v>
      </c>
      <c r="C463" s="29" t="s">
        <v>26</v>
      </c>
      <c r="D463" s="30">
        <v>204.96</v>
      </c>
      <c r="E463" s="31">
        <v>1.4899750000000003</v>
      </c>
      <c r="F463" s="51">
        <v>53.17369211713514</v>
      </c>
      <c r="G4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4" spans="1:7" x14ac:dyDescent="0.35">
      <c r="A464" s="46">
        <v>46067</v>
      </c>
      <c r="B464" s="40" t="s">
        <v>2</v>
      </c>
      <c r="C464" s="40" t="s">
        <v>26</v>
      </c>
      <c r="D464" s="33">
        <v>296.14999999999998</v>
      </c>
      <c r="E464" s="32">
        <v>1.49</v>
      </c>
      <c r="F464" s="32">
        <v>53.5</v>
      </c>
      <c r="G4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5" spans="1:7" x14ac:dyDescent="0.35">
      <c r="A465" s="46">
        <v>45784</v>
      </c>
      <c r="B465" s="32" t="s">
        <v>6</v>
      </c>
      <c r="C465" s="32" t="s">
        <v>26</v>
      </c>
      <c r="D465" s="33">
        <v>293.29000000000002</v>
      </c>
      <c r="E465" s="34">
        <v>1.498</v>
      </c>
      <c r="F465" s="52">
        <v>54.316901282743451</v>
      </c>
      <c r="G4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6" spans="1:7" x14ac:dyDescent="0.35">
      <c r="A466" s="46">
        <v>45894</v>
      </c>
      <c r="B466" s="40" t="s">
        <v>6</v>
      </c>
      <c r="C466" s="40" t="s">
        <v>26</v>
      </c>
      <c r="D466" s="33">
        <v>0</v>
      </c>
      <c r="E466" s="34">
        <v>1.5</v>
      </c>
      <c r="F466" s="52">
        <v>54.09248037676609</v>
      </c>
      <c r="G4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7" spans="1:7" x14ac:dyDescent="0.35">
      <c r="A467" s="46">
        <v>46010</v>
      </c>
      <c r="B467" s="40" t="s">
        <v>3</v>
      </c>
      <c r="C467" s="40" t="s">
        <v>26</v>
      </c>
      <c r="D467" s="33">
        <v>88.28</v>
      </c>
      <c r="E467" s="32">
        <v>1.5</v>
      </c>
      <c r="F467" s="32">
        <v>53.9</v>
      </c>
      <c r="G4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8" spans="1:7" x14ac:dyDescent="0.35">
      <c r="A468" s="46">
        <v>46014</v>
      </c>
      <c r="B468" s="40" t="s">
        <v>3</v>
      </c>
      <c r="C468" s="40" t="s">
        <v>26</v>
      </c>
      <c r="D468" s="33">
        <v>67.06</v>
      </c>
      <c r="E468" s="32">
        <v>1.5</v>
      </c>
      <c r="F468" s="32">
        <v>54.1</v>
      </c>
      <c r="G4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69" spans="1:7" x14ac:dyDescent="0.35">
      <c r="A469" s="46">
        <v>46065</v>
      </c>
      <c r="B469" s="40" t="s">
        <v>3</v>
      </c>
      <c r="C469" s="40" t="s">
        <v>26</v>
      </c>
      <c r="D469" s="33">
        <v>51.47</v>
      </c>
      <c r="E469" s="32">
        <v>1.5</v>
      </c>
      <c r="F469" s="32">
        <v>53.2</v>
      </c>
      <c r="G4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0" spans="1:7" x14ac:dyDescent="0.35">
      <c r="A470" s="45">
        <v>45775</v>
      </c>
      <c r="B470" s="29" t="s">
        <v>2</v>
      </c>
      <c r="C470" s="29" t="s">
        <v>26</v>
      </c>
      <c r="D470" s="30">
        <v>439.68</v>
      </c>
      <c r="E470" s="31">
        <v>1.5060250000000002</v>
      </c>
      <c r="F470" s="36">
        <v>51.411864120163131</v>
      </c>
      <c r="G4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1" spans="1:7" x14ac:dyDescent="0.35">
      <c r="A471" s="45">
        <v>45902</v>
      </c>
      <c r="B471" s="39" t="s">
        <v>2</v>
      </c>
      <c r="C471" s="39" t="s">
        <v>26</v>
      </c>
      <c r="D471" s="30">
        <v>155.09</v>
      </c>
      <c r="E471" s="31">
        <v>1.51</v>
      </c>
      <c r="F471" s="36">
        <v>51.372881834801397</v>
      </c>
      <c r="G4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2" spans="1:7" x14ac:dyDescent="0.35">
      <c r="A472" s="48">
        <v>45705</v>
      </c>
      <c r="B472" s="32" t="s">
        <v>3</v>
      </c>
      <c r="C472" s="32" t="s">
        <v>26</v>
      </c>
      <c r="D472" s="33">
        <v>61.88</v>
      </c>
      <c r="E472" s="34">
        <v>1.5113750000000001</v>
      </c>
      <c r="F472" s="52">
        <v>53.356919691969196</v>
      </c>
      <c r="G4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3" spans="1:7" x14ac:dyDescent="0.35">
      <c r="A473" s="45">
        <v>45797</v>
      </c>
      <c r="B473" s="29" t="s">
        <v>2</v>
      </c>
      <c r="C473" s="29" t="s">
        <v>26</v>
      </c>
      <c r="D473" s="30">
        <v>98.93</v>
      </c>
      <c r="E473" s="31">
        <v>1.5113750000000001</v>
      </c>
      <c r="F473" s="36">
        <v>52.879788732394367</v>
      </c>
      <c r="G4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4" spans="1:7" x14ac:dyDescent="0.35">
      <c r="A474" s="47">
        <v>45728</v>
      </c>
      <c r="B474" s="29" t="s">
        <v>2</v>
      </c>
      <c r="C474" s="29" t="s">
        <v>26</v>
      </c>
      <c r="D474" s="30">
        <v>554.08000000000004</v>
      </c>
      <c r="E474" s="31">
        <v>1.5194000000000001</v>
      </c>
      <c r="F474" s="36">
        <v>53.231475082392883</v>
      </c>
      <c r="G4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5" spans="1:7" x14ac:dyDescent="0.35">
      <c r="A475" s="45">
        <v>45860</v>
      </c>
      <c r="B475" s="29" t="s">
        <v>8</v>
      </c>
      <c r="C475" s="29" t="s">
        <v>27</v>
      </c>
      <c r="D475" s="30">
        <v>235</v>
      </c>
      <c r="E475" s="31">
        <v>1.52</v>
      </c>
      <c r="F475" s="51">
        <v>53.701267952400499</v>
      </c>
      <c r="G4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6" spans="1:7" x14ac:dyDescent="0.35">
      <c r="A476" s="46">
        <v>45861</v>
      </c>
      <c r="B476" s="32" t="s">
        <v>8</v>
      </c>
      <c r="C476" s="32" t="s">
        <v>27</v>
      </c>
      <c r="D476" s="33">
        <v>235</v>
      </c>
      <c r="E476" s="34">
        <v>1.52</v>
      </c>
      <c r="F476" s="52">
        <v>53.701267952400499</v>
      </c>
      <c r="G4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7" spans="1:7" x14ac:dyDescent="0.35">
      <c r="A477" s="46">
        <v>45857</v>
      </c>
      <c r="B477" s="40" t="s">
        <v>8</v>
      </c>
      <c r="C477" s="40" t="s">
        <v>27</v>
      </c>
      <c r="D477" s="33">
        <v>587.54</v>
      </c>
      <c r="E477" s="32">
        <v>1.52</v>
      </c>
      <c r="F477" s="32">
        <v>53.7</v>
      </c>
      <c r="G4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8" spans="1:7" x14ac:dyDescent="0.35">
      <c r="A478" s="45">
        <v>45859</v>
      </c>
      <c r="B478" s="39" t="s">
        <v>8</v>
      </c>
      <c r="C478" s="39" t="s">
        <v>27</v>
      </c>
      <c r="D478" s="30">
        <v>670.01900000000001</v>
      </c>
      <c r="E478" s="29">
        <v>1.52</v>
      </c>
      <c r="F478" s="29">
        <v>53.7</v>
      </c>
      <c r="G4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79" spans="1:7" x14ac:dyDescent="0.35">
      <c r="A479" s="46">
        <v>45860</v>
      </c>
      <c r="B479" s="40" t="s">
        <v>8</v>
      </c>
      <c r="C479" s="40" t="s">
        <v>27</v>
      </c>
      <c r="D479" s="33">
        <v>354.089</v>
      </c>
      <c r="E479" s="32">
        <v>1.52</v>
      </c>
      <c r="F479" s="32">
        <v>53.7</v>
      </c>
      <c r="G4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0" spans="1:7" x14ac:dyDescent="0.35">
      <c r="A480" s="45">
        <v>45861</v>
      </c>
      <c r="B480" s="39" t="s">
        <v>8</v>
      </c>
      <c r="C480" s="39" t="s">
        <v>27</v>
      </c>
      <c r="D480" s="30">
        <v>805.1</v>
      </c>
      <c r="E480" s="29">
        <v>1.52</v>
      </c>
      <c r="F480" s="29">
        <v>53.7</v>
      </c>
      <c r="G4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1" spans="1:7" x14ac:dyDescent="0.35">
      <c r="A481" s="46">
        <v>45988</v>
      </c>
      <c r="B481" s="40" t="s">
        <v>5</v>
      </c>
      <c r="C481" s="40" t="s">
        <v>26</v>
      </c>
      <c r="D481" s="33">
        <v>112.61</v>
      </c>
      <c r="E481" s="42">
        <v>1.52</v>
      </c>
      <c r="F481" s="56">
        <v>53.447529460985983</v>
      </c>
      <c r="G4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2" spans="1:7" x14ac:dyDescent="0.35">
      <c r="A482" s="46">
        <v>45672</v>
      </c>
      <c r="B482" s="32" t="s">
        <v>6</v>
      </c>
      <c r="C482" s="32" t="s">
        <v>26</v>
      </c>
      <c r="D482" s="33">
        <v>334.78</v>
      </c>
      <c r="E482" s="34">
        <v>1.5220750000000003</v>
      </c>
      <c r="F482" s="52">
        <v>54.042930101429</v>
      </c>
      <c r="G4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3" spans="1:7" x14ac:dyDescent="0.35">
      <c r="A483" s="46">
        <v>45681</v>
      </c>
      <c r="B483" s="32" t="s">
        <v>2</v>
      </c>
      <c r="C483" s="32" t="s">
        <v>26</v>
      </c>
      <c r="D483" s="33">
        <v>336.46</v>
      </c>
      <c r="E483" s="34">
        <v>1.52475</v>
      </c>
      <c r="F483" s="35">
        <v>52.554868310069793</v>
      </c>
      <c r="G4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4" spans="1:7" x14ac:dyDescent="0.35">
      <c r="A484" s="45">
        <v>45804</v>
      </c>
      <c r="B484" s="29" t="s">
        <v>2</v>
      </c>
      <c r="C484" s="29" t="s">
        <v>26</v>
      </c>
      <c r="D484" s="30">
        <v>496.88</v>
      </c>
      <c r="E484" s="31">
        <v>1.527425</v>
      </c>
      <c r="F484" s="36">
        <v>52.476679714945298</v>
      </c>
      <c r="G4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5" spans="1:7" x14ac:dyDescent="0.35">
      <c r="A485" s="45">
        <v>45856</v>
      </c>
      <c r="B485" s="29" t="s">
        <v>7</v>
      </c>
      <c r="C485" s="29" t="s">
        <v>26</v>
      </c>
      <c r="D485" s="30">
        <v>119.10000000000001</v>
      </c>
      <c r="E485" s="31">
        <v>1.53</v>
      </c>
      <c r="F485" s="36">
        <v>53.573462049493443</v>
      </c>
      <c r="G4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6" spans="1:7" x14ac:dyDescent="0.35">
      <c r="A486" s="45">
        <v>45897</v>
      </c>
      <c r="B486" s="39" t="s">
        <v>3</v>
      </c>
      <c r="C486" s="39" t="s">
        <v>26</v>
      </c>
      <c r="D486" s="30">
        <v>21.7</v>
      </c>
      <c r="E486" s="36">
        <v>1.53</v>
      </c>
      <c r="F486" s="36">
        <v>53.716689834926143</v>
      </c>
      <c r="G4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7" spans="1:7" x14ac:dyDescent="0.35">
      <c r="A487" s="45">
        <v>45948</v>
      </c>
      <c r="B487" s="39" t="s">
        <v>17</v>
      </c>
      <c r="C487" s="39" t="s">
        <v>27</v>
      </c>
      <c r="D487" s="30">
        <v>74.22</v>
      </c>
      <c r="E487" s="29">
        <v>1.53</v>
      </c>
      <c r="F487" s="29">
        <v>51.3</v>
      </c>
      <c r="G4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8" spans="1:7" x14ac:dyDescent="0.35">
      <c r="A488" s="45">
        <v>45988</v>
      </c>
      <c r="B488" s="39" t="s">
        <v>19</v>
      </c>
      <c r="C488" s="39" t="s">
        <v>29</v>
      </c>
      <c r="D488" s="30">
        <v>411.66399999999999</v>
      </c>
      <c r="E488" s="29">
        <v>1.53</v>
      </c>
      <c r="F488" s="29">
        <v>53.4</v>
      </c>
      <c r="G4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89" spans="1:7" x14ac:dyDescent="0.35">
      <c r="A489" s="46">
        <v>46048</v>
      </c>
      <c r="B489" s="40" t="s">
        <v>18</v>
      </c>
      <c r="C489" s="40" t="s">
        <v>27</v>
      </c>
      <c r="D489" s="33">
        <v>273.22000000000003</v>
      </c>
      <c r="E489" s="32">
        <v>1.53</v>
      </c>
      <c r="F489" s="32">
        <v>53.3</v>
      </c>
      <c r="G4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0" spans="1:7" x14ac:dyDescent="0.35">
      <c r="A490" s="46">
        <v>45773</v>
      </c>
      <c r="B490" s="32" t="s">
        <v>2</v>
      </c>
      <c r="C490" s="32" t="s">
        <v>26</v>
      </c>
      <c r="D490" s="33">
        <v>220.94</v>
      </c>
      <c r="E490" s="34">
        <v>1.5354500000000002</v>
      </c>
      <c r="F490" s="35">
        <v>53.66958373581685</v>
      </c>
      <c r="G4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1" spans="1:7" x14ac:dyDescent="0.35">
      <c r="A491" s="45">
        <v>45807</v>
      </c>
      <c r="B491" s="29" t="s">
        <v>3</v>
      </c>
      <c r="C491" s="29" t="s">
        <v>26</v>
      </c>
      <c r="D491" s="30">
        <v>120.4</v>
      </c>
      <c r="E491" s="36">
        <v>1.54</v>
      </c>
      <c r="F491" s="36">
        <v>54.12473758747084</v>
      </c>
      <c r="G4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2" spans="1:7" x14ac:dyDescent="0.35">
      <c r="A492" s="48">
        <v>45807</v>
      </c>
      <c r="B492" s="32" t="s">
        <v>3</v>
      </c>
      <c r="C492" s="32" t="s">
        <v>26</v>
      </c>
      <c r="D492" s="33">
        <v>88.02</v>
      </c>
      <c r="E492" s="35">
        <v>1.54</v>
      </c>
      <c r="F492" s="35">
        <v>54.12473758747084</v>
      </c>
      <c r="G4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3" spans="1:7" x14ac:dyDescent="0.35">
      <c r="A493" s="46">
        <v>45863</v>
      </c>
      <c r="B493" s="32" t="s">
        <v>8</v>
      </c>
      <c r="C493" s="32" t="s">
        <v>27</v>
      </c>
      <c r="D493" s="33">
        <v>235</v>
      </c>
      <c r="E493" s="34">
        <v>1.54</v>
      </c>
      <c r="F493" s="52">
        <v>53.314451078735765</v>
      </c>
      <c r="G4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4" spans="1:7" x14ac:dyDescent="0.35">
      <c r="A494" s="49">
        <v>45808</v>
      </c>
      <c r="B494" s="40" t="s">
        <v>8</v>
      </c>
      <c r="C494" s="40" t="s">
        <v>27</v>
      </c>
      <c r="D494" s="33">
        <v>429.24700000000001</v>
      </c>
      <c r="E494" s="42">
        <v>1.54</v>
      </c>
      <c r="F494" s="56">
        <v>53.727169433553016</v>
      </c>
      <c r="G4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5" spans="1:7" x14ac:dyDescent="0.35">
      <c r="A495" s="48">
        <v>45717</v>
      </c>
      <c r="B495" s="32" t="s">
        <v>3</v>
      </c>
      <c r="C495" s="32" t="s">
        <v>26</v>
      </c>
      <c r="D495" s="33">
        <v>29.428000000000001</v>
      </c>
      <c r="E495" s="35">
        <v>1.5407999999999999</v>
      </c>
      <c r="F495" s="35">
        <v>53.72656861760867</v>
      </c>
      <c r="G4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6" spans="1:7" x14ac:dyDescent="0.35">
      <c r="A496" s="46">
        <v>45798</v>
      </c>
      <c r="B496" s="32" t="s">
        <v>2</v>
      </c>
      <c r="C496" s="32" t="s">
        <v>26</v>
      </c>
      <c r="D496" s="33">
        <v>335.21</v>
      </c>
      <c r="E496" s="34">
        <v>1.5407999999999999</v>
      </c>
      <c r="F496" s="35">
        <v>53.501311622348368</v>
      </c>
      <c r="G4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7" spans="1:7" x14ac:dyDescent="0.35">
      <c r="A497" s="46">
        <v>45762</v>
      </c>
      <c r="B497" s="32" t="s">
        <v>3</v>
      </c>
      <c r="C497" s="32" t="s">
        <v>26</v>
      </c>
      <c r="D497" s="33">
        <v>88.02</v>
      </c>
      <c r="E497" s="35">
        <v>1.5434749999999999</v>
      </c>
      <c r="F497" s="35">
        <v>53.267614259425486</v>
      </c>
      <c r="G4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8" spans="1:7" x14ac:dyDescent="0.35">
      <c r="A498" s="45">
        <v>45813</v>
      </c>
      <c r="B498" s="29" t="s">
        <v>4</v>
      </c>
      <c r="C498" s="29" t="s">
        <v>26</v>
      </c>
      <c r="D498" s="30">
        <v>271.89999999999998</v>
      </c>
      <c r="E498" s="36">
        <v>1.55</v>
      </c>
      <c r="F498" s="36">
        <v>53.975835144624639</v>
      </c>
      <c r="G4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499" spans="1:7" x14ac:dyDescent="0.35">
      <c r="A499" s="45">
        <v>45890</v>
      </c>
      <c r="B499" s="39" t="s">
        <v>2</v>
      </c>
      <c r="C499" s="39" t="s">
        <v>26</v>
      </c>
      <c r="D499" s="30">
        <v>75.25</v>
      </c>
      <c r="E499" s="31">
        <v>1.55</v>
      </c>
      <c r="F499" s="36">
        <v>53.513447421031586</v>
      </c>
      <c r="G4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0" spans="1:7" x14ac:dyDescent="0.35">
      <c r="A500" s="46">
        <v>45996</v>
      </c>
      <c r="B500" s="40" t="s">
        <v>2</v>
      </c>
      <c r="C500" s="40" t="s">
        <v>26</v>
      </c>
      <c r="D500" s="33">
        <v>460.61</v>
      </c>
      <c r="E500" s="32">
        <v>1.55</v>
      </c>
      <c r="F500" s="32">
        <v>53.8</v>
      </c>
      <c r="G5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1" spans="1:7" x14ac:dyDescent="0.35">
      <c r="A501" s="45">
        <v>45857</v>
      </c>
      <c r="B501" s="29" t="s">
        <v>2</v>
      </c>
      <c r="C501" s="29" t="s">
        <v>26</v>
      </c>
      <c r="D501" s="30">
        <v>74.72</v>
      </c>
      <c r="E501" s="31">
        <v>1.56</v>
      </c>
      <c r="F501" s="36">
        <v>53.1279925031237</v>
      </c>
      <c r="G5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2" spans="1:7" x14ac:dyDescent="0.35">
      <c r="A502" s="48">
        <v>45716</v>
      </c>
      <c r="B502" s="32" t="s">
        <v>6</v>
      </c>
      <c r="C502" s="32" t="s">
        <v>26</v>
      </c>
      <c r="D502" s="33">
        <v>591.07000000000005</v>
      </c>
      <c r="E502" s="34">
        <v>1.5622</v>
      </c>
      <c r="F502" s="52">
        <v>53.312540778544978</v>
      </c>
      <c r="G5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3" spans="1:7" x14ac:dyDescent="0.35">
      <c r="A503" s="46">
        <v>45752</v>
      </c>
      <c r="B503" s="32" t="s">
        <v>4</v>
      </c>
      <c r="C503" s="32" t="s">
        <v>26</v>
      </c>
      <c r="D503" s="33">
        <v>70.7</v>
      </c>
      <c r="E503" s="35">
        <v>1.564875</v>
      </c>
      <c r="F503" s="35">
        <v>53.999328776909984</v>
      </c>
      <c r="G5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4" spans="1:7" x14ac:dyDescent="0.35">
      <c r="A504" s="46">
        <v>45896</v>
      </c>
      <c r="B504" s="40" t="s">
        <v>3</v>
      </c>
      <c r="C504" s="40" t="s">
        <v>26</v>
      </c>
      <c r="D504" s="33">
        <v>65.94</v>
      </c>
      <c r="E504" s="35">
        <v>1.57</v>
      </c>
      <c r="F504" s="35">
        <v>53.743038691412394</v>
      </c>
      <c r="G5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5" spans="1:7" x14ac:dyDescent="0.35">
      <c r="A505" s="46">
        <v>45936</v>
      </c>
      <c r="B505" s="40" t="s">
        <v>2</v>
      </c>
      <c r="C505" s="40" t="s">
        <v>26</v>
      </c>
      <c r="D505" s="33">
        <v>180.86</v>
      </c>
      <c r="E505" s="32">
        <v>1.57</v>
      </c>
      <c r="F505" s="32">
        <v>52.1</v>
      </c>
      <c r="G5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6" spans="1:7" x14ac:dyDescent="0.35">
      <c r="A506" s="47">
        <v>45743</v>
      </c>
      <c r="B506" s="29" t="s">
        <v>4</v>
      </c>
      <c r="C506" s="29" t="s">
        <v>26</v>
      </c>
      <c r="D506" s="30">
        <v>73.569999999999993</v>
      </c>
      <c r="E506" s="36">
        <v>1.5702250000000002</v>
      </c>
      <c r="F506" s="36">
        <v>53.806027070063692</v>
      </c>
      <c r="G5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7" spans="1:7" x14ac:dyDescent="0.35">
      <c r="A507" s="48">
        <v>45708</v>
      </c>
      <c r="B507" s="32" t="s">
        <v>3</v>
      </c>
      <c r="C507" s="32" t="s">
        <v>26</v>
      </c>
      <c r="D507" s="33">
        <v>91.32</v>
      </c>
      <c r="E507" s="34">
        <v>1.5755749999999999</v>
      </c>
      <c r="F507" s="52">
        <v>53.719838194166996</v>
      </c>
      <c r="G5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8" spans="1:7" x14ac:dyDescent="0.35">
      <c r="A508" s="46">
        <v>45751</v>
      </c>
      <c r="B508" s="32" t="s">
        <v>3</v>
      </c>
      <c r="C508" s="32" t="s">
        <v>26</v>
      </c>
      <c r="D508" s="33">
        <v>65.94</v>
      </c>
      <c r="E508" s="35">
        <v>1.5755749999999999</v>
      </c>
      <c r="F508" s="35">
        <v>53.778214285714277</v>
      </c>
      <c r="G5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09" spans="1:7" x14ac:dyDescent="0.35">
      <c r="A509" s="46">
        <v>45779</v>
      </c>
      <c r="B509" s="32" t="s">
        <v>3</v>
      </c>
      <c r="C509" s="32" t="s">
        <v>26</v>
      </c>
      <c r="D509" s="33">
        <v>19.494</v>
      </c>
      <c r="E509" s="35">
        <v>1.5755749999999999</v>
      </c>
      <c r="F509" s="35">
        <v>52.666368684843619</v>
      </c>
      <c r="G5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0" spans="1:7" x14ac:dyDescent="0.35">
      <c r="A510" s="45">
        <v>45813</v>
      </c>
      <c r="B510" s="29" t="s">
        <v>5</v>
      </c>
      <c r="C510" s="29" t="s">
        <v>26</v>
      </c>
      <c r="D510" s="30">
        <v>73.94</v>
      </c>
      <c r="E510" s="31">
        <v>1.58</v>
      </c>
      <c r="F510" s="51">
        <v>54.095761920640221</v>
      </c>
      <c r="G5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1" spans="1:7" x14ac:dyDescent="0.35">
      <c r="A511" s="48">
        <v>45847</v>
      </c>
      <c r="B511" s="32" t="s">
        <v>5</v>
      </c>
      <c r="C511" s="32" t="s">
        <v>26</v>
      </c>
      <c r="D511" s="33">
        <v>69.2</v>
      </c>
      <c r="E511" s="34">
        <v>1.58</v>
      </c>
      <c r="F511" s="52">
        <v>53.374545980335455</v>
      </c>
      <c r="G5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2" spans="1:7" x14ac:dyDescent="0.35">
      <c r="A512" s="46">
        <v>45965</v>
      </c>
      <c r="B512" s="40" t="s">
        <v>3</v>
      </c>
      <c r="C512" s="40" t="s">
        <v>26</v>
      </c>
      <c r="D512" s="33">
        <v>277.72000000000003</v>
      </c>
      <c r="E512" s="43">
        <v>1.58</v>
      </c>
      <c r="F512" s="58">
        <v>53.938698776864072</v>
      </c>
      <c r="G5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3" spans="1:7" x14ac:dyDescent="0.35">
      <c r="A513" s="45">
        <v>46042</v>
      </c>
      <c r="B513" s="39" t="s">
        <v>18</v>
      </c>
      <c r="C513" s="39" t="s">
        <v>27</v>
      </c>
      <c r="D513" s="30">
        <v>387.48</v>
      </c>
      <c r="E513" s="29">
        <v>1.58</v>
      </c>
      <c r="F513" s="29">
        <v>52.8</v>
      </c>
      <c r="G5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4" spans="1:7" x14ac:dyDescent="0.35">
      <c r="A514" s="46">
        <v>46044</v>
      </c>
      <c r="B514" s="40" t="s">
        <v>6</v>
      </c>
      <c r="C514" s="40" t="s">
        <v>26</v>
      </c>
      <c r="D514" s="33">
        <v>81.98</v>
      </c>
      <c r="E514" s="32">
        <v>1.58</v>
      </c>
      <c r="F514" s="32">
        <v>54</v>
      </c>
      <c r="G5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5" spans="1:7" x14ac:dyDescent="0.35">
      <c r="A515" s="46">
        <v>45904</v>
      </c>
      <c r="B515" s="40" t="s">
        <v>9</v>
      </c>
      <c r="C515" s="40" t="s">
        <v>26</v>
      </c>
      <c r="D515" s="33">
        <v>68.099999999999994</v>
      </c>
      <c r="E515" s="34">
        <v>1.59</v>
      </c>
      <c r="F515" s="52">
        <v>53.727915873147296</v>
      </c>
      <c r="G5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6" spans="1:7" x14ac:dyDescent="0.35">
      <c r="A516" s="45">
        <v>45915</v>
      </c>
      <c r="B516" s="39" t="s">
        <v>4</v>
      </c>
      <c r="C516" s="39" t="s">
        <v>26</v>
      </c>
      <c r="D516" s="30">
        <v>76.41</v>
      </c>
      <c r="E516" s="36">
        <v>1.59</v>
      </c>
      <c r="F516" s="36">
        <v>53.251869158878506</v>
      </c>
      <c r="G5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7" spans="1:7" x14ac:dyDescent="0.35">
      <c r="A517" s="48">
        <v>45741</v>
      </c>
      <c r="B517" s="32" t="s">
        <v>2</v>
      </c>
      <c r="C517" s="32" t="s">
        <v>26</v>
      </c>
      <c r="D517" s="33">
        <v>37.659999999999997</v>
      </c>
      <c r="E517" s="34">
        <v>1.5916250000000001</v>
      </c>
      <c r="F517" s="35">
        <v>50.851221620328403</v>
      </c>
      <c r="G5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8" spans="1:7" x14ac:dyDescent="0.35">
      <c r="A518" s="45">
        <v>45660</v>
      </c>
      <c r="B518" s="29" t="s">
        <v>5</v>
      </c>
      <c r="C518" s="29" t="s">
        <v>26</v>
      </c>
      <c r="D518" s="30">
        <v>67.209999999999994</v>
      </c>
      <c r="E518" s="31">
        <v>1.6</v>
      </c>
      <c r="F518" s="51">
        <v>53.170445691647409</v>
      </c>
      <c r="G5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19" spans="1:7" x14ac:dyDescent="0.35">
      <c r="A519" s="46">
        <v>45896</v>
      </c>
      <c r="B519" s="40" t="s">
        <v>2</v>
      </c>
      <c r="C519" s="40" t="s">
        <v>26</v>
      </c>
      <c r="D519" s="33">
        <v>202.39</v>
      </c>
      <c r="E519" s="34">
        <v>1.6</v>
      </c>
      <c r="F519" s="35">
        <v>53.350744907266645</v>
      </c>
      <c r="G5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20" spans="1:7" x14ac:dyDescent="0.35">
      <c r="A520" s="46">
        <v>45985</v>
      </c>
      <c r="B520" s="40" t="s">
        <v>3</v>
      </c>
      <c r="C520" s="40" t="s">
        <v>26</v>
      </c>
      <c r="D520" s="33">
        <v>89.5</v>
      </c>
      <c r="E520" s="32">
        <v>1.6</v>
      </c>
      <c r="F520" s="32">
        <v>53.1</v>
      </c>
      <c r="G5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21" spans="1:7" x14ac:dyDescent="0.35">
      <c r="A521" s="45">
        <v>46003</v>
      </c>
      <c r="B521" s="39" t="s">
        <v>4</v>
      </c>
      <c r="C521" s="39" t="s">
        <v>26</v>
      </c>
      <c r="D521" s="30">
        <v>268.7</v>
      </c>
      <c r="E521" s="29">
        <v>1.6</v>
      </c>
      <c r="F521" s="29">
        <v>54.3</v>
      </c>
      <c r="G5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22" spans="1:7" x14ac:dyDescent="0.35">
      <c r="A522" s="46">
        <v>46009</v>
      </c>
      <c r="B522" s="40" t="s">
        <v>4</v>
      </c>
      <c r="C522" s="40" t="s">
        <v>26</v>
      </c>
      <c r="D522" s="33">
        <v>157.12</v>
      </c>
      <c r="E522" s="32">
        <v>1.6</v>
      </c>
      <c r="F522" s="32">
        <v>54.3</v>
      </c>
      <c r="G5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23" spans="1:7" x14ac:dyDescent="0.35">
      <c r="A523" s="46">
        <v>46006</v>
      </c>
      <c r="B523" s="40" t="s">
        <v>3</v>
      </c>
      <c r="C523" s="40" t="s">
        <v>26</v>
      </c>
      <c r="D523" s="33">
        <v>154.52000000000001</v>
      </c>
      <c r="E523" s="32">
        <v>1.6</v>
      </c>
      <c r="F523" s="32">
        <v>53.6</v>
      </c>
      <c r="G5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24" spans="1:7" x14ac:dyDescent="0.35">
      <c r="A524" s="46">
        <v>45854</v>
      </c>
      <c r="B524" s="32" t="s">
        <v>8</v>
      </c>
      <c r="C524" s="32" t="s">
        <v>27</v>
      </c>
      <c r="D524" s="33">
        <v>235</v>
      </c>
      <c r="E524" s="34">
        <v>1.61</v>
      </c>
      <c r="F524" s="52">
        <v>52.859000969932097</v>
      </c>
      <c r="G5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25" spans="1:7" x14ac:dyDescent="0.35">
      <c r="A525" s="45">
        <v>45854</v>
      </c>
      <c r="B525" s="39" t="s">
        <v>8</v>
      </c>
      <c r="C525" s="39" t="s">
        <v>27</v>
      </c>
      <c r="D525" s="30">
        <v>193.08</v>
      </c>
      <c r="E525" s="41">
        <v>1.61</v>
      </c>
      <c r="F525" s="55">
        <v>52.859000969932097</v>
      </c>
      <c r="G5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T1</v>
      </c>
    </row>
    <row r="526" spans="1:7" x14ac:dyDescent="0.35">
      <c r="A526" s="45">
        <v>45912</v>
      </c>
      <c r="B526" s="39" t="s">
        <v>3</v>
      </c>
      <c r="C526" s="39" t="s">
        <v>26</v>
      </c>
      <c r="D526" s="30">
        <v>66.650000000000006</v>
      </c>
      <c r="E526" s="36">
        <v>1.62</v>
      </c>
      <c r="F526" s="36">
        <v>53.345943600867678</v>
      </c>
      <c r="G5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27" spans="1:7" x14ac:dyDescent="0.35">
      <c r="A527" s="45">
        <v>46001</v>
      </c>
      <c r="B527" s="39" t="s">
        <v>19</v>
      </c>
      <c r="C527" s="39" t="s">
        <v>29</v>
      </c>
      <c r="D527" s="30">
        <v>500</v>
      </c>
      <c r="E527" s="29">
        <v>1.62</v>
      </c>
      <c r="F527" s="29">
        <v>52.6</v>
      </c>
      <c r="G5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28" spans="1:7" x14ac:dyDescent="0.35">
      <c r="A528" s="45">
        <v>45941</v>
      </c>
      <c r="B528" s="39" t="s">
        <v>16</v>
      </c>
      <c r="C528" s="39" t="s">
        <v>27</v>
      </c>
      <c r="D528" s="30">
        <v>159.41999999999999</v>
      </c>
      <c r="E528" s="29">
        <v>1.63</v>
      </c>
      <c r="F528" s="29">
        <v>53.4</v>
      </c>
      <c r="G5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29" spans="1:7" x14ac:dyDescent="0.35">
      <c r="A529" s="46">
        <v>45944</v>
      </c>
      <c r="B529" s="40" t="s">
        <v>16</v>
      </c>
      <c r="C529" s="40" t="s">
        <v>27</v>
      </c>
      <c r="D529" s="33">
        <v>659</v>
      </c>
      <c r="E529" s="32">
        <v>1.63</v>
      </c>
      <c r="F529" s="32">
        <v>53.4</v>
      </c>
      <c r="G5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0" spans="1:7" x14ac:dyDescent="0.35">
      <c r="A530" s="45">
        <v>45947</v>
      </c>
      <c r="B530" s="39" t="s">
        <v>4</v>
      </c>
      <c r="C530" s="39" t="s">
        <v>26</v>
      </c>
      <c r="D530" s="30">
        <v>227.75</v>
      </c>
      <c r="E530" s="44">
        <v>1.64</v>
      </c>
      <c r="F530" s="44">
        <v>54.447848499917114</v>
      </c>
      <c r="G5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1" spans="1:7" x14ac:dyDescent="0.35">
      <c r="A531" s="45">
        <v>46044</v>
      </c>
      <c r="B531" s="39" t="s">
        <v>18</v>
      </c>
      <c r="C531" s="39" t="s">
        <v>27</v>
      </c>
      <c r="D531" s="30">
        <v>341.64</v>
      </c>
      <c r="E531" s="29">
        <v>1.64</v>
      </c>
      <c r="F531" s="29">
        <v>52.4</v>
      </c>
      <c r="G5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2" spans="1:7" x14ac:dyDescent="0.35">
      <c r="A532" s="46">
        <v>45684</v>
      </c>
      <c r="B532" s="32" t="s">
        <v>2</v>
      </c>
      <c r="C532" s="32" t="s">
        <v>26</v>
      </c>
      <c r="D532" s="33">
        <v>577</v>
      </c>
      <c r="E532" s="34">
        <v>1.64245</v>
      </c>
      <c r="F532" s="35">
        <v>52.990904299140169</v>
      </c>
      <c r="G5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3" spans="1:7" x14ac:dyDescent="0.35">
      <c r="A533" s="46">
        <v>45748</v>
      </c>
      <c r="B533" s="32" t="s">
        <v>3</v>
      </c>
      <c r="C533" s="32" t="s">
        <v>26</v>
      </c>
      <c r="D533" s="33">
        <v>93.12</v>
      </c>
      <c r="E533" s="35">
        <v>1.64245</v>
      </c>
      <c r="F533" s="35">
        <v>53.464872437850843</v>
      </c>
      <c r="G5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4" spans="1:7" x14ac:dyDescent="0.35">
      <c r="A534" s="45">
        <v>45891</v>
      </c>
      <c r="B534" s="39" t="s">
        <v>3</v>
      </c>
      <c r="C534" s="39" t="s">
        <v>26</v>
      </c>
      <c r="D534" s="30">
        <v>94.02</v>
      </c>
      <c r="E534" s="36">
        <v>1.65</v>
      </c>
      <c r="F534" s="36">
        <v>54.070834798626805</v>
      </c>
      <c r="G5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5" spans="1:7" x14ac:dyDescent="0.35">
      <c r="A535" s="45">
        <v>45953</v>
      </c>
      <c r="B535" s="39" t="s">
        <v>7</v>
      </c>
      <c r="C535" s="39" t="s">
        <v>26</v>
      </c>
      <c r="D535" s="30">
        <v>26.12</v>
      </c>
      <c r="E535" s="29">
        <v>1.65</v>
      </c>
      <c r="F535" s="29">
        <v>47.9</v>
      </c>
      <c r="G5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6" spans="1:7" x14ac:dyDescent="0.35">
      <c r="A536" s="45">
        <v>46052</v>
      </c>
      <c r="B536" s="39" t="s">
        <v>2</v>
      </c>
      <c r="C536" s="39" t="s">
        <v>26</v>
      </c>
      <c r="D536" s="30">
        <v>546.58000000000004</v>
      </c>
      <c r="E536" s="29">
        <v>1.66</v>
      </c>
      <c r="F536" s="29">
        <v>53.3</v>
      </c>
      <c r="G5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7" spans="1:7" x14ac:dyDescent="0.35">
      <c r="A537" s="45">
        <v>45791</v>
      </c>
      <c r="B537" s="29" t="s">
        <v>7</v>
      </c>
      <c r="C537" s="29" t="s">
        <v>26</v>
      </c>
      <c r="D537" s="30">
        <v>128.5</v>
      </c>
      <c r="E537" s="31">
        <v>1.6611750000000001</v>
      </c>
      <c r="F537" s="36">
        <v>52.733942931258106</v>
      </c>
      <c r="G5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8" spans="1:7" x14ac:dyDescent="0.35">
      <c r="A538" s="45">
        <v>45678</v>
      </c>
      <c r="B538" s="29" t="s">
        <v>6</v>
      </c>
      <c r="C538" s="29" t="s">
        <v>26</v>
      </c>
      <c r="D538" s="30">
        <v>238.56</v>
      </c>
      <c r="E538" s="31">
        <v>1.6692000000000002</v>
      </c>
      <c r="F538" s="51">
        <v>53.846494353843092</v>
      </c>
      <c r="G5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39" spans="1:7" x14ac:dyDescent="0.35">
      <c r="A539" s="46">
        <v>45915</v>
      </c>
      <c r="B539" s="40" t="s">
        <v>3</v>
      </c>
      <c r="C539" s="40" t="s">
        <v>26</v>
      </c>
      <c r="D539" s="33">
        <v>23.04</v>
      </c>
      <c r="E539" s="35">
        <v>1.67</v>
      </c>
      <c r="F539" s="54">
        <v>53.612502115221908</v>
      </c>
      <c r="G5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0" spans="1:7" x14ac:dyDescent="0.35">
      <c r="A540" s="46">
        <v>45954</v>
      </c>
      <c r="B540" s="40" t="s">
        <v>4</v>
      </c>
      <c r="C540" s="40" t="s">
        <v>26</v>
      </c>
      <c r="D540" s="33">
        <v>102.999</v>
      </c>
      <c r="E540" s="32">
        <v>1.67</v>
      </c>
      <c r="F540" s="32">
        <v>54.3</v>
      </c>
      <c r="G5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1" spans="1:7" x14ac:dyDescent="0.35">
      <c r="A541" s="46">
        <v>46037</v>
      </c>
      <c r="B541" s="40" t="s">
        <v>5</v>
      </c>
      <c r="C541" s="40" t="s">
        <v>26</v>
      </c>
      <c r="D541" s="33">
        <v>35.67</v>
      </c>
      <c r="E541" s="42">
        <v>1.67455</v>
      </c>
      <c r="F541" s="56">
        <v>52.843359627259879</v>
      </c>
      <c r="G5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2" spans="1:7" x14ac:dyDescent="0.35">
      <c r="A542" s="48">
        <v>45735</v>
      </c>
      <c r="B542" s="32" t="s">
        <v>2</v>
      </c>
      <c r="C542" s="32" t="s">
        <v>26</v>
      </c>
      <c r="D542" s="33">
        <v>323.7</v>
      </c>
      <c r="E542" s="34">
        <v>1.6799000000000002</v>
      </c>
      <c r="F542" s="35">
        <v>51.229620938628159</v>
      </c>
      <c r="G5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3" spans="1:7" x14ac:dyDescent="0.35">
      <c r="A543" s="45">
        <v>46051</v>
      </c>
      <c r="B543" s="39" t="s">
        <v>18</v>
      </c>
      <c r="C543" s="39" t="s">
        <v>27</v>
      </c>
      <c r="D543" s="30">
        <v>275</v>
      </c>
      <c r="E543" s="29">
        <v>1.68</v>
      </c>
      <c r="F543" s="29">
        <v>53.3</v>
      </c>
      <c r="G5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4" spans="1:7" x14ac:dyDescent="0.35">
      <c r="A544" s="45">
        <v>45680</v>
      </c>
      <c r="B544" s="29" t="s">
        <v>2</v>
      </c>
      <c r="C544" s="29" t="s">
        <v>26</v>
      </c>
      <c r="D544" s="30">
        <v>337.34</v>
      </c>
      <c r="E544" s="31">
        <v>1.6852500000000001</v>
      </c>
      <c r="F544" s="36">
        <v>52.263379064215144</v>
      </c>
      <c r="G5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5" spans="1:7" x14ac:dyDescent="0.35">
      <c r="A545" s="45">
        <v>45895</v>
      </c>
      <c r="B545" s="39" t="s">
        <v>6</v>
      </c>
      <c r="C545" s="39" t="s">
        <v>26</v>
      </c>
      <c r="D545" s="30">
        <v>268.31</v>
      </c>
      <c r="E545" s="31">
        <v>1.69</v>
      </c>
      <c r="F545" s="51">
        <v>53.51833586754519</v>
      </c>
      <c r="G5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6" spans="1:7" x14ac:dyDescent="0.35">
      <c r="A546" s="45">
        <v>45966</v>
      </c>
      <c r="B546" s="39" t="s">
        <v>16</v>
      </c>
      <c r="C546" s="39" t="s">
        <v>27</v>
      </c>
      <c r="D546" s="30">
        <v>351.56</v>
      </c>
      <c r="E546" s="44">
        <v>1.69</v>
      </c>
      <c r="F546" s="57">
        <v>53</v>
      </c>
      <c r="G5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7" spans="1:7" x14ac:dyDescent="0.35">
      <c r="A547" s="46">
        <v>46069</v>
      </c>
      <c r="B547" s="40" t="s">
        <v>4</v>
      </c>
      <c r="C547" s="40" t="s">
        <v>26</v>
      </c>
      <c r="D547" s="33">
        <v>52.64</v>
      </c>
      <c r="E547" s="32">
        <v>1.7</v>
      </c>
      <c r="F547" s="32">
        <v>53.9</v>
      </c>
      <c r="G5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8" spans="1:7" x14ac:dyDescent="0.35">
      <c r="A548" s="48">
        <v>45723</v>
      </c>
      <c r="B548" s="32" t="s">
        <v>6</v>
      </c>
      <c r="C548" s="32" t="s">
        <v>26</v>
      </c>
      <c r="D548" s="33">
        <v>259.85000000000002</v>
      </c>
      <c r="E548" s="34">
        <v>1.7013000000000003</v>
      </c>
      <c r="F548" s="52">
        <v>53.411115350223547</v>
      </c>
      <c r="G5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49" spans="1:7" x14ac:dyDescent="0.35">
      <c r="A549" s="45">
        <v>45895</v>
      </c>
      <c r="B549" s="39" t="s">
        <v>3</v>
      </c>
      <c r="C549" s="39" t="s">
        <v>26</v>
      </c>
      <c r="D549" s="30">
        <v>23.92</v>
      </c>
      <c r="E549" s="36">
        <v>1.71</v>
      </c>
      <c r="F549" s="36">
        <v>52.85250430786904</v>
      </c>
      <c r="G5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0" spans="1:7" x14ac:dyDescent="0.35">
      <c r="A550" s="45">
        <v>45895</v>
      </c>
      <c r="B550" s="39" t="s">
        <v>3</v>
      </c>
      <c r="C550" s="39" t="s">
        <v>26</v>
      </c>
      <c r="D550" s="30">
        <v>23.92</v>
      </c>
      <c r="E550" s="36">
        <v>1.71</v>
      </c>
      <c r="F550" s="36">
        <v>52.85250430786904</v>
      </c>
      <c r="G5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1" spans="1:7" x14ac:dyDescent="0.35">
      <c r="A551" s="46">
        <v>45841</v>
      </c>
      <c r="B551" s="32" t="s">
        <v>7</v>
      </c>
      <c r="C551" s="32" t="s">
        <v>26</v>
      </c>
      <c r="D551" s="33">
        <v>62.68</v>
      </c>
      <c r="E551" s="34">
        <v>1.7146750000000002</v>
      </c>
      <c r="F551" s="35">
        <v>51.181616435603772</v>
      </c>
      <c r="G5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2" spans="1:7" x14ac:dyDescent="0.35">
      <c r="A552" s="46">
        <v>45685</v>
      </c>
      <c r="B552" s="32" t="s">
        <v>2</v>
      </c>
      <c r="C552" s="32" t="s">
        <v>26</v>
      </c>
      <c r="D552" s="33">
        <v>384</v>
      </c>
      <c r="E552" s="34">
        <v>1.7173500000000002</v>
      </c>
      <c r="F552" s="35">
        <v>52.047340890873613</v>
      </c>
      <c r="G5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3" spans="1:7" x14ac:dyDescent="0.35">
      <c r="A553" s="45">
        <v>45666</v>
      </c>
      <c r="B553" s="29" t="s">
        <v>6</v>
      </c>
      <c r="C553" s="29" t="s">
        <v>26</v>
      </c>
      <c r="D553" s="30">
        <v>421.38</v>
      </c>
      <c r="E553" s="31">
        <v>1.7227000000000001</v>
      </c>
      <c r="F553" s="51">
        <v>53.008122101910821</v>
      </c>
      <c r="G5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4" spans="1:7" x14ac:dyDescent="0.35">
      <c r="A554" s="47">
        <v>45713</v>
      </c>
      <c r="B554" s="29" t="s">
        <v>3</v>
      </c>
      <c r="C554" s="29" t="s">
        <v>26</v>
      </c>
      <c r="D554" s="30">
        <v>88.66</v>
      </c>
      <c r="E554" s="31">
        <v>1.7280500000000001</v>
      </c>
      <c r="F554" s="51">
        <v>53.554523166216349</v>
      </c>
      <c r="G5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5" spans="1:7" x14ac:dyDescent="0.35">
      <c r="A555" s="48">
        <v>45714</v>
      </c>
      <c r="B555" s="32" t="s">
        <v>3</v>
      </c>
      <c r="C555" s="32" t="s">
        <v>26</v>
      </c>
      <c r="D555" s="33">
        <v>92.02</v>
      </c>
      <c r="E555" s="34">
        <v>1.7280500000000001</v>
      </c>
      <c r="F555" s="52">
        <v>53.554523166216349</v>
      </c>
      <c r="G5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6" spans="1:7" x14ac:dyDescent="0.35">
      <c r="A556" s="47">
        <v>45715</v>
      </c>
      <c r="B556" s="29" t="s">
        <v>3</v>
      </c>
      <c r="C556" s="29" t="s">
        <v>26</v>
      </c>
      <c r="D556" s="30">
        <v>91.12</v>
      </c>
      <c r="E556" s="31">
        <v>1.7280500000000001</v>
      </c>
      <c r="F556" s="51">
        <v>53.554523166216349</v>
      </c>
      <c r="G5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7" spans="1:7" x14ac:dyDescent="0.35">
      <c r="A557" s="48">
        <v>45716</v>
      </c>
      <c r="B557" s="32" t="s">
        <v>3</v>
      </c>
      <c r="C557" s="32" t="s">
        <v>26</v>
      </c>
      <c r="D557" s="33">
        <v>112.76</v>
      </c>
      <c r="E557" s="34">
        <v>1.7280500000000001</v>
      </c>
      <c r="F557" s="52">
        <v>53.554523166216349</v>
      </c>
      <c r="G5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8" spans="1:7" x14ac:dyDescent="0.35">
      <c r="A558" s="48">
        <v>45911</v>
      </c>
      <c r="B558" s="40" t="s">
        <v>2</v>
      </c>
      <c r="C558" s="40" t="s">
        <v>26</v>
      </c>
      <c r="D558" s="33">
        <v>611.52</v>
      </c>
      <c r="E558" s="34">
        <v>1.73</v>
      </c>
      <c r="F558" s="54">
        <v>53.337533632286998</v>
      </c>
      <c r="G5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59" spans="1:7" x14ac:dyDescent="0.35">
      <c r="A559" s="45">
        <v>45792</v>
      </c>
      <c r="B559" s="29" t="s">
        <v>9</v>
      </c>
      <c r="C559" s="29" t="s">
        <v>26</v>
      </c>
      <c r="D559" s="30">
        <v>701.57</v>
      </c>
      <c r="E559" s="31">
        <v>1.7307250000000001</v>
      </c>
      <c r="F559" s="51">
        <v>53.442845602197039</v>
      </c>
      <c r="G5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0" spans="1:7" x14ac:dyDescent="0.35">
      <c r="A560" s="47">
        <v>45741</v>
      </c>
      <c r="B560" s="29" t="s">
        <v>5</v>
      </c>
      <c r="C560" s="29" t="s">
        <v>26</v>
      </c>
      <c r="D560" s="30">
        <v>145.19</v>
      </c>
      <c r="E560" s="31">
        <v>1.7334000000000003</v>
      </c>
      <c r="F560" s="51">
        <v>53.221074677596718</v>
      </c>
      <c r="G5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1" spans="1:7" x14ac:dyDescent="0.35">
      <c r="A561" s="45">
        <v>45891</v>
      </c>
      <c r="B561" s="39" t="s">
        <v>4</v>
      </c>
      <c r="C561" s="39" t="s">
        <v>26</v>
      </c>
      <c r="D561" s="30">
        <v>75.89</v>
      </c>
      <c r="E561" s="36">
        <v>1.74</v>
      </c>
      <c r="F561" s="36">
        <v>53.978195077484052</v>
      </c>
      <c r="G5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2" spans="1:7" x14ac:dyDescent="0.35">
      <c r="A562" s="45">
        <v>45920</v>
      </c>
      <c r="B562" s="39" t="s">
        <v>6</v>
      </c>
      <c r="C562" s="39" t="s">
        <v>26</v>
      </c>
      <c r="D562" s="30">
        <v>173.14</v>
      </c>
      <c r="E562" s="31">
        <v>1.74</v>
      </c>
      <c r="F562" s="51">
        <v>53.391781881707011</v>
      </c>
      <c r="G5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3" spans="1:7" x14ac:dyDescent="0.35">
      <c r="A563" s="46">
        <v>45806</v>
      </c>
      <c r="B563" s="32" t="s">
        <v>4</v>
      </c>
      <c r="C563" s="32" t="s">
        <v>26</v>
      </c>
      <c r="D563" s="33">
        <v>144.26</v>
      </c>
      <c r="E563" s="35">
        <v>1.741425</v>
      </c>
      <c r="F563" s="35">
        <v>53.761793329923144</v>
      </c>
      <c r="G5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4" spans="1:7" x14ac:dyDescent="0.35">
      <c r="A564" s="48">
        <v>45703</v>
      </c>
      <c r="B564" s="32" t="s">
        <v>2</v>
      </c>
      <c r="C564" s="32" t="s">
        <v>26</v>
      </c>
      <c r="D564" s="33">
        <v>242.36</v>
      </c>
      <c r="E564" s="34">
        <v>1.7494500000000002</v>
      </c>
      <c r="F564" s="52">
        <v>52.704573821154419</v>
      </c>
      <c r="G5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5" spans="1:7" x14ac:dyDescent="0.35">
      <c r="A565" s="47">
        <v>45808</v>
      </c>
      <c r="B565" s="29" t="s">
        <v>6</v>
      </c>
      <c r="C565" s="29" t="s">
        <v>26</v>
      </c>
      <c r="D565" s="30">
        <v>272.95</v>
      </c>
      <c r="E565" s="31">
        <v>1.76</v>
      </c>
      <c r="F565" s="51">
        <v>54.040235813682187</v>
      </c>
      <c r="G5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6" spans="1:7" x14ac:dyDescent="0.35">
      <c r="A566" s="48">
        <v>45712</v>
      </c>
      <c r="B566" s="32" t="s">
        <v>3</v>
      </c>
      <c r="C566" s="32" t="s">
        <v>26</v>
      </c>
      <c r="D566" s="33">
        <v>45.38</v>
      </c>
      <c r="E566" s="34">
        <v>1.7601500000000001</v>
      </c>
      <c r="F566" s="52">
        <v>53.510458868378812</v>
      </c>
      <c r="G5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7" spans="1:7" x14ac:dyDescent="0.35">
      <c r="A567" s="47">
        <v>45720</v>
      </c>
      <c r="B567" s="29" t="s">
        <v>6</v>
      </c>
      <c r="C567" s="29" t="s">
        <v>26</v>
      </c>
      <c r="D567" s="30">
        <v>377.93</v>
      </c>
      <c r="E567" s="31">
        <v>1.7628250000000001</v>
      </c>
      <c r="F567" s="51">
        <v>53.688453927643408</v>
      </c>
      <c r="G5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8" spans="1:7" x14ac:dyDescent="0.35">
      <c r="A568" s="46">
        <v>45796</v>
      </c>
      <c r="B568" s="32" t="s">
        <v>2</v>
      </c>
      <c r="C568" s="32" t="s">
        <v>26</v>
      </c>
      <c r="D568" s="33">
        <v>187.64</v>
      </c>
      <c r="E568" s="34">
        <v>1.7628250000000001</v>
      </c>
      <c r="F568" s="35">
        <v>51.609288840262579</v>
      </c>
      <c r="G5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69" spans="1:7" x14ac:dyDescent="0.35">
      <c r="A569" s="46">
        <v>45995</v>
      </c>
      <c r="B569" s="40" t="s">
        <v>6</v>
      </c>
      <c r="C569" s="40" t="s">
        <v>26</v>
      </c>
      <c r="D569" s="33">
        <v>211.86</v>
      </c>
      <c r="E569" s="32">
        <v>1.77</v>
      </c>
      <c r="F569" s="32">
        <v>53.9</v>
      </c>
      <c r="G5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0" spans="1:7" x14ac:dyDescent="0.35">
      <c r="A570" s="47">
        <v>45705</v>
      </c>
      <c r="B570" s="29" t="s">
        <v>6</v>
      </c>
      <c r="C570" s="29" t="s">
        <v>26</v>
      </c>
      <c r="D570" s="30">
        <v>222.18</v>
      </c>
      <c r="E570" s="31">
        <v>1.77085</v>
      </c>
      <c r="F570" s="51">
        <v>52.41289906037585</v>
      </c>
      <c r="G5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1" spans="1:7" x14ac:dyDescent="0.35">
      <c r="A571" s="48">
        <v>45742</v>
      </c>
      <c r="B571" s="32" t="s">
        <v>4</v>
      </c>
      <c r="C571" s="32" t="s">
        <v>26</v>
      </c>
      <c r="D571" s="33">
        <v>119.94</v>
      </c>
      <c r="E571" s="35">
        <v>1.7788750000000002</v>
      </c>
      <c r="F571" s="35">
        <v>53.324866094927174</v>
      </c>
      <c r="G5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2" spans="1:7" x14ac:dyDescent="0.35">
      <c r="A572" s="45">
        <v>45915</v>
      </c>
      <c r="B572" s="39" t="s">
        <v>6</v>
      </c>
      <c r="C572" s="39" t="s">
        <v>26</v>
      </c>
      <c r="D572" s="30">
        <v>182.52</v>
      </c>
      <c r="E572" s="31">
        <v>1.78</v>
      </c>
      <c r="F572" s="53">
        <v>53.744070468242931</v>
      </c>
      <c r="G5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3" spans="1:7" x14ac:dyDescent="0.35">
      <c r="A573" s="45">
        <v>45805</v>
      </c>
      <c r="B573" s="29" t="s">
        <v>7</v>
      </c>
      <c r="C573" s="29" t="s">
        <v>26</v>
      </c>
      <c r="D573" s="30">
        <v>95.34</v>
      </c>
      <c r="E573" s="31">
        <v>1.7815500000000002</v>
      </c>
      <c r="F573" s="36">
        <v>50.025626644572291</v>
      </c>
      <c r="G5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4" spans="1:7" x14ac:dyDescent="0.35">
      <c r="A574" s="46">
        <v>45769</v>
      </c>
      <c r="B574" s="32" t="s">
        <v>4</v>
      </c>
      <c r="C574" s="32" t="s">
        <v>26</v>
      </c>
      <c r="D574" s="33">
        <v>72.900000000000006</v>
      </c>
      <c r="E574" s="35">
        <v>1.7895750000000001</v>
      </c>
      <c r="F574" s="35">
        <v>53.641445572442755</v>
      </c>
      <c r="G5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5" spans="1:7" x14ac:dyDescent="0.35">
      <c r="A575" s="46">
        <v>45948</v>
      </c>
      <c r="B575" s="40" t="s">
        <v>16</v>
      </c>
      <c r="C575" s="40" t="s">
        <v>27</v>
      </c>
      <c r="D575" s="33">
        <v>463.92</v>
      </c>
      <c r="E575" s="32">
        <v>1.79</v>
      </c>
      <c r="F575" s="32">
        <v>52.7</v>
      </c>
      <c r="G5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6" spans="1:7" x14ac:dyDescent="0.35">
      <c r="A576" s="46">
        <v>46048</v>
      </c>
      <c r="B576" s="40" t="s">
        <v>6</v>
      </c>
      <c r="C576" s="40" t="s">
        <v>26</v>
      </c>
      <c r="D576" s="33">
        <v>161.26</v>
      </c>
      <c r="E576" s="32">
        <v>1.79</v>
      </c>
      <c r="F576" s="32">
        <v>53.8</v>
      </c>
      <c r="G5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7" spans="1:7" x14ac:dyDescent="0.35">
      <c r="A577" s="46">
        <v>45773</v>
      </c>
      <c r="B577" s="32" t="s">
        <v>6</v>
      </c>
      <c r="C577" s="32" t="s">
        <v>26</v>
      </c>
      <c r="D577" s="33">
        <v>548.46</v>
      </c>
      <c r="E577" s="34">
        <v>1.7922500000000001</v>
      </c>
      <c r="F577" s="52">
        <v>53.764688847607054</v>
      </c>
      <c r="G5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8" spans="1:7" x14ac:dyDescent="0.35">
      <c r="A578" s="45">
        <v>45990</v>
      </c>
      <c r="B578" s="39" t="s">
        <v>3</v>
      </c>
      <c r="C578" s="39" t="s">
        <v>26</v>
      </c>
      <c r="D578" s="30">
        <v>45</v>
      </c>
      <c r="E578" s="29">
        <v>1.8</v>
      </c>
      <c r="F578" s="29">
        <v>53</v>
      </c>
      <c r="G5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79" spans="1:7" x14ac:dyDescent="0.35">
      <c r="A579" s="46">
        <v>45752</v>
      </c>
      <c r="B579" s="32" t="s">
        <v>6</v>
      </c>
      <c r="C579" s="32" t="s">
        <v>26</v>
      </c>
      <c r="D579" s="33">
        <v>269.69</v>
      </c>
      <c r="E579" s="34">
        <v>1.805625</v>
      </c>
      <c r="F579" s="52">
        <v>53.828783254693306</v>
      </c>
      <c r="G5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0" spans="1:7" x14ac:dyDescent="0.35">
      <c r="A580" s="45">
        <v>45775</v>
      </c>
      <c r="B580" s="29" t="s">
        <v>4</v>
      </c>
      <c r="C580" s="29" t="s">
        <v>26</v>
      </c>
      <c r="D580" s="30">
        <v>100.59</v>
      </c>
      <c r="E580" s="36">
        <v>1.8136500000000002</v>
      </c>
      <c r="F580" s="36">
        <v>53.685718253968254</v>
      </c>
      <c r="G5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1" spans="1:7" x14ac:dyDescent="0.35">
      <c r="A581" s="47">
        <v>45724</v>
      </c>
      <c r="B581" s="29" t="s">
        <v>4</v>
      </c>
      <c r="C581" s="29" t="s">
        <v>26</v>
      </c>
      <c r="D581" s="30">
        <v>25.05</v>
      </c>
      <c r="E581" s="36">
        <v>1.8163250000000002</v>
      </c>
      <c r="F581" s="36">
        <v>52.584062512602074</v>
      </c>
      <c r="G5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2" spans="1:7" x14ac:dyDescent="0.35">
      <c r="A582" s="45">
        <v>45927</v>
      </c>
      <c r="B582" s="39" t="s">
        <v>7</v>
      </c>
      <c r="C582" s="39" t="s">
        <v>26</v>
      </c>
      <c r="D582" s="30">
        <v>48.78</v>
      </c>
      <c r="E582" s="41">
        <v>1.82</v>
      </c>
      <c r="F582" s="44">
        <v>52.478972477064218</v>
      </c>
      <c r="G5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3" spans="1:7" x14ac:dyDescent="0.35">
      <c r="A583" s="46">
        <v>46058</v>
      </c>
      <c r="B583" s="40" t="s">
        <v>2</v>
      </c>
      <c r="C583" s="40" t="s">
        <v>26</v>
      </c>
      <c r="D583" s="33">
        <v>522.85</v>
      </c>
      <c r="E583" s="32">
        <v>1.82</v>
      </c>
      <c r="F583" s="32">
        <v>53</v>
      </c>
      <c r="G5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4" spans="1:7" x14ac:dyDescent="0.35">
      <c r="A584" s="46">
        <v>45667</v>
      </c>
      <c r="B584" s="32" t="s">
        <v>6</v>
      </c>
      <c r="C584" s="32" t="s">
        <v>26</v>
      </c>
      <c r="D584" s="33">
        <v>375.54</v>
      </c>
      <c r="E584" s="34">
        <v>1.8270250000000001</v>
      </c>
      <c r="F584" s="52">
        <v>47.694521340247306</v>
      </c>
      <c r="G5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5" spans="1:7" x14ac:dyDescent="0.35">
      <c r="A585" s="46">
        <v>45899</v>
      </c>
      <c r="B585" s="40" t="s">
        <v>5</v>
      </c>
      <c r="C585" s="40" t="s">
        <v>26</v>
      </c>
      <c r="D585" s="33">
        <v>103.4</v>
      </c>
      <c r="E585" s="34">
        <v>1.83</v>
      </c>
      <c r="F585" s="52">
        <v>53.498756185523781</v>
      </c>
      <c r="G5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6" spans="1:7" x14ac:dyDescent="0.35">
      <c r="A586" s="45">
        <v>45901</v>
      </c>
      <c r="B586" s="39" t="s">
        <v>6</v>
      </c>
      <c r="C586" s="39" t="s">
        <v>26</v>
      </c>
      <c r="D586" s="30">
        <v>34.119999999999997</v>
      </c>
      <c r="E586" s="31">
        <v>1.83</v>
      </c>
      <c r="F586" s="51">
        <v>53.768098404255319</v>
      </c>
      <c r="G5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7" spans="1:7" x14ac:dyDescent="0.35">
      <c r="A587" s="48">
        <v>45706</v>
      </c>
      <c r="B587" s="32" t="s">
        <v>6</v>
      </c>
      <c r="C587" s="32" t="s">
        <v>26</v>
      </c>
      <c r="D587" s="33">
        <v>242.86</v>
      </c>
      <c r="E587" s="34">
        <v>1.8323750000000001</v>
      </c>
      <c r="F587" s="52">
        <v>53.143636481324279</v>
      </c>
      <c r="G5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8" spans="1:7" x14ac:dyDescent="0.35">
      <c r="A588" s="45">
        <v>45853</v>
      </c>
      <c r="B588" s="29" t="s">
        <v>7</v>
      </c>
      <c r="C588" s="29" t="s">
        <v>26</v>
      </c>
      <c r="D588" s="30">
        <v>195.14</v>
      </c>
      <c r="E588" s="31">
        <v>1.84</v>
      </c>
      <c r="F588" s="36">
        <v>52.660964288632833</v>
      </c>
      <c r="G5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89" spans="1:7" x14ac:dyDescent="0.35">
      <c r="A589" s="46">
        <v>45846</v>
      </c>
      <c r="B589" s="32" t="s">
        <v>8</v>
      </c>
      <c r="C589" s="32" t="s">
        <v>27</v>
      </c>
      <c r="D589" s="33">
        <v>235</v>
      </c>
      <c r="E589" s="34">
        <v>1.84</v>
      </c>
      <c r="F589" s="52">
        <v>53.693243017226962</v>
      </c>
      <c r="G5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0" spans="1:7" x14ac:dyDescent="0.35">
      <c r="A590" s="45">
        <v>45974</v>
      </c>
      <c r="B590" s="39" t="s">
        <v>17</v>
      </c>
      <c r="C590" s="39" t="s">
        <v>27</v>
      </c>
      <c r="D590" s="30">
        <v>161.84</v>
      </c>
      <c r="E590" s="29">
        <v>1.84</v>
      </c>
      <c r="F590" s="29">
        <v>53.6</v>
      </c>
      <c r="G5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1" spans="1:7" x14ac:dyDescent="0.35">
      <c r="A591" s="48">
        <v>45710</v>
      </c>
      <c r="B591" s="32" t="s">
        <v>6</v>
      </c>
      <c r="C591" s="32" t="s">
        <v>26</v>
      </c>
      <c r="D591" s="33">
        <v>441.41</v>
      </c>
      <c r="E591" s="34">
        <v>1.843075</v>
      </c>
      <c r="F591" s="52">
        <v>53.48554588919972</v>
      </c>
      <c r="G5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2" spans="1:7" x14ac:dyDescent="0.35">
      <c r="A592" s="46">
        <v>45776</v>
      </c>
      <c r="B592" s="32" t="s">
        <v>4</v>
      </c>
      <c r="C592" s="32" t="s">
        <v>26</v>
      </c>
      <c r="D592" s="33">
        <v>200.78</v>
      </c>
      <c r="E592" s="35">
        <v>1.8484250000000002</v>
      </c>
      <c r="F592" s="35">
        <v>53.282013965087273</v>
      </c>
      <c r="G5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3" spans="1:7" x14ac:dyDescent="0.35">
      <c r="A593" s="45">
        <v>45805</v>
      </c>
      <c r="B593" s="29" t="s">
        <v>3</v>
      </c>
      <c r="C593" s="29" t="s">
        <v>26</v>
      </c>
      <c r="D593" s="30">
        <v>67.14</v>
      </c>
      <c r="E593" s="36">
        <v>1.8484250000000002</v>
      </c>
      <c r="F593" s="36">
        <v>53.400231834667338</v>
      </c>
      <c r="G5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4" spans="1:7" x14ac:dyDescent="0.35">
      <c r="A594" s="45">
        <v>45758</v>
      </c>
      <c r="B594" s="29" t="s">
        <v>6</v>
      </c>
      <c r="C594" s="29" t="s">
        <v>26</v>
      </c>
      <c r="D594" s="30">
        <v>438.88</v>
      </c>
      <c r="E594" s="31">
        <v>1.8564500000000002</v>
      </c>
      <c r="F594" s="51">
        <v>53.737198696611188</v>
      </c>
      <c r="G5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5" spans="1:7" x14ac:dyDescent="0.35">
      <c r="A595" s="46">
        <v>45768</v>
      </c>
      <c r="B595" s="32" t="s">
        <v>6</v>
      </c>
      <c r="C595" s="32" t="s">
        <v>26</v>
      </c>
      <c r="D595" s="33">
        <v>139.65</v>
      </c>
      <c r="E595" s="34">
        <v>1.8564500000000002</v>
      </c>
      <c r="F595" s="52">
        <v>53.745261685976821</v>
      </c>
      <c r="G5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6" spans="1:7" x14ac:dyDescent="0.35">
      <c r="A596" s="45">
        <v>46045</v>
      </c>
      <c r="B596" s="39" t="s">
        <v>5</v>
      </c>
      <c r="C596" s="39" t="s">
        <v>26</v>
      </c>
      <c r="D596" s="30">
        <v>37.64</v>
      </c>
      <c r="E596" s="29">
        <v>1.86</v>
      </c>
      <c r="F596" s="29">
        <v>52.9</v>
      </c>
      <c r="G5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7" spans="1:7" x14ac:dyDescent="0.35">
      <c r="A597" s="46">
        <v>45682</v>
      </c>
      <c r="B597" s="32" t="s">
        <v>3</v>
      </c>
      <c r="C597" s="32" t="s">
        <v>26</v>
      </c>
      <c r="D597" s="33">
        <v>94.12</v>
      </c>
      <c r="E597" s="35">
        <v>1.8618000000000001</v>
      </c>
      <c r="F597" s="35">
        <v>53.494311796859371</v>
      </c>
      <c r="G5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8" spans="1:7" x14ac:dyDescent="0.35">
      <c r="A598" s="46">
        <v>46039</v>
      </c>
      <c r="B598" s="40" t="s">
        <v>5</v>
      </c>
      <c r="C598" s="40" t="s">
        <v>26</v>
      </c>
      <c r="D598" s="33">
        <v>34.64</v>
      </c>
      <c r="E598" s="42">
        <v>1.8618000000000001</v>
      </c>
      <c r="F598" s="56">
        <v>52.872220964324967</v>
      </c>
      <c r="G5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599" spans="1:7" x14ac:dyDescent="0.35">
      <c r="A599" s="47">
        <v>45911</v>
      </c>
      <c r="B599" s="39" t="s">
        <v>6</v>
      </c>
      <c r="C599" s="39" t="s">
        <v>26</v>
      </c>
      <c r="D599" s="30">
        <v>293.36</v>
      </c>
      <c r="E599" s="31">
        <v>1.87</v>
      </c>
      <c r="F599" s="53">
        <v>53.233495417119777</v>
      </c>
      <c r="G5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0" spans="1:7" x14ac:dyDescent="0.35">
      <c r="A600" s="45">
        <v>45916</v>
      </c>
      <c r="B600" s="39" t="s">
        <v>6</v>
      </c>
      <c r="C600" s="39" t="s">
        <v>26</v>
      </c>
      <c r="D600" s="30">
        <v>0</v>
      </c>
      <c r="E600" s="31">
        <v>1.87</v>
      </c>
      <c r="F600" s="51">
        <v>52.679315068493146</v>
      </c>
      <c r="G6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1" spans="1:7" x14ac:dyDescent="0.35">
      <c r="A601" s="48">
        <v>45692</v>
      </c>
      <c r="B601" s="32" t="s">
        <v>5</v>
      </c>
      <c r="C601" s="32" t="s">
        <v>26</v>
      </c>
      <c r="D601" s="33">
        <v>173.32</v>
      </c>
      <c r="E601" s="34">
        <v>1.8725000000000001</v>
      </c>
      <c r="F601" s="52">
        <v>53.343912082749647</v>
      </c>
      <c r="G6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2" spans="1:7" x14ac:dyDescent="0.35">
      <c r="A602" s="48">
        <v>45733</v>
      </c>
      <c r="B602" s="32" t="s">
        <v>6</v>
      </c>
      <c r="C602" s="32" t="s">
        <v>26</v>
      </c>
      <c r="D602" s="33">
        <v>308.16000000000003</v>
      </c>
      <c r="E602" s="34">
        <v>1.8725000000000001</v>
      </c>
      <c r="F602" s="52">
        <v>53.583360590347027</v>
      </c>
      <c r="G6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3" spans="1:7" x14ac:dyDescent="0.35">
      <c r="A603" s="46">
        <v>45917</v>
      </c>
      <c r="B603" s="40" t="s">
        <v>3</v>
      </c>
      <c r="C603" s="40" t="s">
        <v>26</v>
      </c>
      <c r="D603" s="33">
        <v>44.38</v>
      </c>
      <c r="E603" s="35">
        <v>1.88</v>
      </c>
      <c r="F603" s="35">
        <v>53.587368421052624</v>
      </c>
      <c r="G6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4" spans="1:7" x14ac:dyDescent="0.35">
      <c r="A604" s="45">
        <v>46027</v>
      </c>
      <c r="B604" s="39" t="s">
        <v>2</v>
      </c>
      <c r="C604" s="39" t="s">
        <v>26</v>
      </c>
      <c r="D604" s="30">
        <v>280.52</v>
      </c>
      <c r="E604" s="29">
        <v>1.88</v>
      </c>
      <c r="F604" s="29">
        <v>53.2</v>
      </c>
      <c r="G6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5" spans="1:7" x14ac:dyDescent="0.35">
      <c r="A605" s="47">
        <v>45710</v>
      </c>
      <c r="B605" s="29" t="s">
        <v>3</v>
      </c>
      <c r="C605" s="29" t="s">
        <v>26</v>
      </c>
      <c r="D605" s="30">
        <v>62.3</v>
      </c>
      <c r="E605" s="31">
        <v>1.885875</v>
      </c>
      <c r="F605" s="51">
        <v>53.431490651661143</v>
      </c>
      <c r="G6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6" spans="1:7" x14ac:dyDescent="0.35">
      <c r="A606" s="46">
        <v>45923</v>
      </c>
      <c r="B606" s="40" t="s">
        <v>5</v>
      </c>
      <c r="C606" s="40" t="s">
        <v>26</v>
      </c>
      <c r="D606" s="33">
        <v>103.97</v>
      </c>
      <c r="E606" s="34">
        <v>1.89</v>
      </c>
      <c r="F606" s="52">
        <v>47.170215203054497</v>
      </c>
      <c r="G6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7" spans="1:7" x14ac:dyDescent="0.35">
      <c r="A607" s="46">
        <v>45992</v>
      </c>
      <c r="B607" s="40" t="s">
        <v>19</v>
      </c>
      <c r="C607" s="40" t="s">
        <v>29</v>
      </c>
      <c r="D607" s="33">
        <v>257.7</v>
      </c>
      <c r="E607" s="32">
        <v>1.89</v>
      </c>
      <c r="F607" s="32">
        <v>53.4</v>
      </c>
      <c r="G6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8" spans="1:7" x14ac:dyDescent="0.35">
      <c r="A608" s="46">
        <v>45804</v>
      </c>
      <c r="B608" s="32" t="s">
        <v>6</v>
      </c>
      <c r="C608" s="32" t="s">
        <v>26</v>
      </c>
      <c r="D608" s="33">
        <v>405.62</v>
      </c>
      <c r="E608" s="34">
        <v>1.8912250000000002</v>
      </c>
      <c r="F608" s="52">
        <v>53.865097973815459</v>
      </c>
      <c r="G6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09" spans="1:7" x14ac:dyDescent="0.35">
      <c r="A609" s="45">
        <v>45826</v>
      </c>
      <c r="B609" s="29" t="s">
        <v>4</v>
      </c>
      <c r="C609" s="29" t="s">
        <v>26</v>
      </c>
      <c r="D609" s="30">
        <v>269.06</v>
      </c>
      <c r="E609" s="36">
        <v>1.9</v>
      </c>
      <c r="F609" s="36">
        <v>53.441978551833074</v>
      </c>
      <c r="G6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0" spans="1:7" x14ac:dyDescent="0.35">
      <c r="A610" s="45">
        <v>45979</v>
      </c>
      <c r="B610" s="39" t="s">
        <v>3</v>
      </c>
      <c r="C610" s="39" t="s">
        <v>26</v>
      </c>
      <c r="D610" s="30">
        <v>69.680000000000007</v>
      </c>
      <c r="E610" s="29">
        <v>1.9</v>
      </c>
      <c r="F610" s="29">
        <v>53.4</v>
      </c>
      <c r="G6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1" spans="1:7" x14ac:dyDescent="0.35">
      <c r="A611" s="46">
        <v>45986</v>
      </c>
      <c r="B611" s="40" t="s">
        <v>3</v>
      </c>
      <c r="C611" s="40" t="s">
        <v>26</v>
      </c>
      <c r="D611" s="33">
        <v>91.58</v>
      </c>
      <c r="E611" s="32">
        <v>1.9</v>
      </c>
      <c r="F611" s="32">
        <v>52.5</v>
      </c>
      <c r="G6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2" spans="1:7" x14ac:dyDescent="0.35">
      <c r="A612" s="46">
        <v>46003</v>
      </c>
      <c r="B612" s="40" t="s">
        <v>6</v>
      </c>
      <c r="C612" s="40" t="s">
        <v>26</v>
      </c>
      <c r="D612" s="33">
        <v>152.9</v>
      </c>
      <c r="E612" s="32">
        <v>1.9</v>
      </c>
      <c r="F612" s="32">
        <v>54.2</v>
      </c>
      <c r="G6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3" spans="1:7" x14ac:dyDescent="0.35">
      <c r="A613" s="45">
        <v>46069</v>
      </c>
      <c r="B613" s="39" t="s">
        <v>6</v>
      </c>
      <c r="C613" s="39" t="s">
        <v>26</v>
      </c>
      <c r="D613" s="30">
        <v>90.41</v>
      </c>
      <c r="E613" s="29">
        <v>1.9</v>
      </c>
      <c r="F613" s="29">
        <v>53.9</v>
      </c>
      <c r="G6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4" spans="1:7" x14ac:dyDescent="0.35">
      <c r="A614" s="45">
        <v>46000</v>
      </c>
      <c r="B614" s="39" t="s">
        <v>6</v>
      </c>
      <c r="C614" s="39" t="s">
        <v>26</v>
      </c>
      <c r="D614" s="30">
        <v>268.08</v>
      </c>
      <c r="E614" s="29">
        <v>1.91</v>
      </c>
      <c r="F614" s="29">
        <v>54.1</v>
      </c>
      <c r="G6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5" spans="1:7" x14ac:dyDescent="0.35">
      <c r="A615" s="46">
        <v>45898</v>
      </c>
      <c r="B615" s="40" t="s">
        <v>6</v>
      </c>
      <c r="C615" s="40" t="s">
        <v>26</v>
      </c>
      <c r="D615" s="33">
        <v>48.46</v>
      </c>
      <c r="E615" s="34">
        <v>1.92</v>
      </c>
      <c r="F615" s="52">
        <v>53.726265223274694</v>
      </c>
      <c r="G6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6" spans="1:7" x14ac:dyDescent="0.35">
      <c r="A616" s="45">
        <v>46031</v>
      </c>
      <c r="B616" s="39" t="s">
        <v>6</v>
      </c>
      <c r="C616" s="39" t="s">
        <v>26</v>
      </c>
      <c r="D616" s="30">
        <v>81.260000000000005</v>
      </c>
      <c r="E616" s="41">
        <v>1.9260000000000002</v>
      </c>
      <c r="F616" s="57">
        <v>53.510279417920856</v>
      </c>
      <c r="G6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7" spans="1:7" x14ac:dyDescent="0.35">
      <c r="A617" s="46">
        <v>45929</v>
      </c>
      <c r="B617" s="40" t="s">
        <v>3</v>
      </c>
      <c r="C617" s="40" t="s">
        <v>26</v>
      </c>
      <c r="D617" s="33">
        <v>45.78</v>
      </c>
      <c r="E617" s="43">
        <v>1.93</v>
      </c>
      <c r="F617" s="43">
        <v>53.737875877046434</v>
      </c>
      <c r="G6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8" spans="1:7" x14ac:dyDescent="0.35">
      <c r="A618" s="45">
        <v>45947</v>
      </c>
      <c r="B618" s="39" t="s">
        <v>17</v>
      </c>
      <c r="C618" s="39" t="s">
        <v>27</v>
      </c>
      <c r="D618" s="30">
        <v>88.58</v>
      </c>
      <c r="E618" s="29">
        <v>1.93</v>
      </c>
      <c r="F618" s="29">
        <v>53.2</v>
      </c>
      <c r="G6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19" spans="1:7" x14ac:dyDescent="0.35">
      <c r="A619" s="46">
        <v>45959</v>
      </c>
      <c r="B619" s="40" t="s">
        <v>17</v>
      </c>
      <c r="C619" s="40" t="s">
        <v>27</v>
      </c>
      <c r="D619" s="33">
        <v>170.66</v>
      </c>
      <c r="E619" s="32">
        <v>1.93</v>
      </c>
      <c r="F619" s="32">
        <v>52.1</v>
      </c>
      <c r="G6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0" spans="1:7" x14ac:dyDescent="0.35">
      <c r="A620" s="46">
        <v>46067</v>
      </c>
      <c r="B620" s="40" t="s">
        <v>18</v>
      </c>
      <c r="C620" s="40" t="s">
        <v>27</v>
      </c>
      <c r="D620" s="33">
        <v>286</v>
      </c>
      <c r="E620" s="32">
        <v>1.93</v>
      </c>
      <c r="F620" s="32">
        <v>53.6</v>
      </c>
      <c r="G6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1" spans="1:7" x14ac:dyDescent="0.35">
      <c r="A621" s="45">
        <v>46069</v>
      </c>
      <c r="B621" s="39" t="s">
        <v>18</v>
      </c>
      <c r="C621" s="39" t="s">
        <v>27</v>
      </c>
      <c r="D621" s="30">
        <v>301.60000000000002</v>
      </c>
      <c r="E621" s="29">
        <v>1.93</v>
      </c>
      <c r="F621" s="29">
        <v>53.6</v>
      </c>
      <c r="G6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2" spans="1:7" x14ac:dyDescent="0.35">
      <c r="A622" s="46">
        <v>45751</v>
      </c>
      <c r="B622" s="32" t="s">
        <v>9</v>
      </c>
      <c r="C622" s="32" t="s">
        <v>26</v>
      </c>
      <c r="D622" s="33">
        <v>208</v>
      </c>
      <c r="E622" s="34">
        <v>1.9313500000000001</v>
      </c>
      <c r="F622" s="52">
        <v>53.607473736868435</v>
      </c>
      <c r="G6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3" spans="1:7" x14ac:dyDescent="0.35">
      <c r="A623" s="45">
        <v>45905</v>
      </c>
      <c r="B623" s="39" t="s">
        <v>3</v>
      </c>
      <c r="C623" s="39" t="s">
        <v>26</v>
      </c>
      <c r="D623" s="30">
        <v>65.319999999999993</v>
      </c>
      <c r="E623" s="36">
        <v>1.94</v>
      </c>
      <c r="F623" s="36">
        <v>53.369223074358118</v>
      </c>
      <c r="G6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4" spans="1:7" x14ac:dyDescent="0.35">
      <c r="A624" s="47">
        <v>45698</v>
      </c>
      <c r="B624" s="29" t="s">
        <v>6</v>
      </c>
      <c r="C624" s="29" t="s">
        <v>26</v>
      </c>
      <c r="D624" s="30">
        <v>332.17</v>
      </c>
      <c r="E624" s="31">
        <v>1.9420500000000001</v>
      </c>
      <c r="F624" s="51">
        <v>53.323714285714281</v>
      </c>
      <c r="G6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5" spans="1:7" x14ac:dyDescent="0.35">
      <c r="A625" s="46">
        <v>45884</v>
      </c>
      <c r="B625" s="40" t="s">
        <v>3</v>
      </c>
      <c r="C625" s="40" t="s">
        <v>26</v>
      </c>
      <c r="D625" s="33">
        <v>67.72</v>
      </c>
      <c r="E625" s="35">
        <v>1.95</v>
      </c>
      <c r="F625" s="35">
        <v>52.886258236716991</v>
      </c>
      <c r="G6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6" spans="1:7" x14ac:dyDescent="0.35">
      <c r="A626" s="46">
        <v>45672</v>
      </c>
      <c r="B626" s="32" t="s">
        <v>5</v>
      </c>
      <c r="C626" s="32" t="s">
        <v>26</v>
      </c>
      <c r="D626" s="33">
        <v>111.81</v>
      </c>
      <c r="E626" s="34">
        <v>1.9500750000000002</v>
      </c>
      <c r="F626" s="52">
        <v>53.462991470470875</v>
      </c>
      <c r="G6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7" spans="1:7" x14ac:dyDescent="0.35">
      <c r="A627" s="46">
        <v>45749</v>
      </c>
      <c r="B627" s="32" t="s">
        <v>2</v>
      </c>
      <c r="C627" s="32" t="s">
        <v>26</v>
      </c>
      <c r="D627" s="33">
        <v>144.63999999999999</v>
      </c>
      <c r="E627" s="34">
        <v>1.95275</v>
      </c>
      <c r="F627" s="35">
        <v>48.438057222973654</v>
      </c>
      <c r="G6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8" spans="1:7" x14ac:dyDescent="0.35">
      <c r="A628" s="45">
        <v>45789</v>
      </c>
      <c r="B628" s="29" t="s">
        <v>9</v>
      </c>
      <c r="C628" s="29" t="s">
        <v>26</v>
      </c>
      <c r="D628" s="30">
        <v>170.46</v>
      </c>
      <c r="E628" s="31">
        <v>1.9581000000000002</v>
      </c>
      <c r="F628" s="51">
        <v>53.926318730761544</v>
      </c>
      <c r="G6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29" spans="1:7" x14ac:dyDescent="0.35">
      <c r="A629" s="47">
        <v>45922</v>
      </c>
      <c r="B629" s="39" t="s">
        <v>6</v>
      </c>
      <c r="C629" s="39" t="s">
        <v>26</v>
      </c>
      <c r="D629" s="30">
        <v>0</v>
      </c>
      <c r="E629" s="31">
        <v>1.96</v>
      </c>
      <c r="F629" s="51">
        <v>53.378118912179538</v>
      </c>
      <c r="G6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0" spans="1:7" x14ac:dyDescent="0.35">
      <c r="A630" s="46">
        <v>45957</v>
      </c>
      <c r="B630" s="40" t="s">
        <v>16</v>
      </c>
      <c r="C630" s="40" t="s">
        <v>27</v>
      </c>
      <c r="D630" s="33">
        <v>210.74</v>
      </c>
      <c r="E630" s="43">
        <v>1.96</v>
      </c>
      <c r="F630" s="58">
        <v>54</v>
      </c>
      <c r="G6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1" spans="1:7" x14ac:dyDescent="0.35">
      <c r="A631" s="46">
        <v>45993</v>
      </c>
      <c r="B631" s="40" t="s">
        <v>5</v>
      </c>
      <c r="C631" s="40" t="s">
        <v>26</v>
      </c>
      <c r="D631" s="33">
        <v>72.88</v>
      </c>
      <c r="E631" s="32">
        <v>1.96</v>
      </c>
      <c r="F631" s="32">
        <v>52.8</v>
      </c>
      <c r="G6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2" spans="1:7" x14ac:dyDescent="0.35">
      <c r="A632" s="46">
        <v>45673</v>
      </c>
      <c r="B632" s="32" t="s">
        <v>3</v>
      </c>
      <c r="C632" s="32" t="s">
        <v>26</v>
      </c>
      <c r="D632" s="33">
        <v>68.36</v>
      </c>
      <c r="E632" s="35">
        <v>1.9607750000000002</v>
      </c>
      <c r="F632" s="35">
        <v>51.584006962834785</v>
      </c>
      <c r="G6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3" spans="1:7" x14ac:dyDescent="0.35">
      <c r="A633" s="45">
        <v>45822</v>
      </c>
      <c r="B633" s="29" t="s">
        <v>3</v>
      </c>
      <c r="C633" s="29" t="s">
        <v>26</v>
      </c>
      <c r="D633" s="30">
        <v>24.66</v>
      </c>
      <c r="E633" s="36">
        <v>1.97</v>
      </c>
      <c r="F633" s="36">
        <v>53.026361420329899</v>
      </c>
      <c r="G6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4" spans="1:7" x14ac:dyDescent="0.35">
      <c r="A634" s="45">
        <v>45877</v>
      </c>
      <c r="B634" s="39" t="s">
        <v>4</v>
      </c>
      <c r="C634" s="39" t="s">
        <v>26</v>
      </c>
      <c r="D634" s="30">
        <v>222.12</v>
      </c>
      <c r="E634" s="36">
        <v>1.97</v>
      </c>
      <c r="F634" s="36">
        <v>53.39800300050009</v>
      </c>
      <c r="G6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5" spans="1:7" x14ac:dyDescent="0.35">
      <c r="A635" s="45">
        <v>45903</v>
      </c>
      <c r="B635" s="39" t="s">
        <v>4</v>
      </c>
      <c r="C635" s="39" t="s">
        <v>26</v>
      </c>
      <c r="D635" s="30">
        <v>226.79</v>
      </c>
      <c r="E635" s="36">
        <v>1.97</v>
      </c>
      <c r="F635" s="53">
        <v>53.63281324684192</v>
      </c>
      <c r="G6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6" spans="1:7" x14ac:dyDescent="0.35">
      <c r="A636" s="45">
        <v>45908</v>
      </c>
      <c r="B636" s="39" t="s">
        <v>9</v>
      </c>
      <c r="C636" s="39" t="s">
        <v>26</v>
      </c>
      <c r="D636" s="30">
        <v>33.1</v>
      </c>
      <c r="E636" s="31">
        <v>1.97</v>
      </c>
      <c r="F636" s="51">
        <v>53.795522512739112</v>
      </c>
      <c r="G6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7" spans="1:7" x14ac:dyDescent="0.35">
      <c r="A637" s="46">
        <v>45934</v>
      </c>
      <c r="B637" s="40" t="s">
        <v>3</v>
      </c>
      <c r="C637" s="40" t="s">
        <v>26</v>
      </c>
      <c r="D637" s="33">
        <v>22.06</v>
      </c>
      <c r="E637" s="43">
        <v>1.97</v>
      </c>
      <c r="F637" s="58">
        <v>53.409022360045704</v>
      </c>
      <c r="G6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8" spans="1:7" x14ac:dyDescent="0.35">
      <c r="A638" s="48">
        <v>45743</v>
      </c>
      <c r="B638" s="32" t="s">
        <v>3</v>
      </c>
      <c r="C638" s="32" t="s">
        <v>26</v>
      </c>
      <c r="D638" s="33">
        <v>61.68</v>
      </c>
      <c r="E638" s="35">
        <v>1.9714750000000001</v>
      </c>
      <c r="F638" s="35">
        <v>53.036143418508971</v>
      </c>
      <c r="G6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39" spans="1:7" x14ac:dyDescent="0.35">
      <c r="A639" s="45">
        <v>45814</v>
      </c>
      <c r="B639" s="29" t="s">
        <v>2</v>
      </c>
      <c r="C639" s="29" t="s">
        <v>26</v>
      </c>
      <c r="D639" s="30">
        <v>369.75</v>
      </c>
      <c r="E639" s="31">
        <v>1.98</v>
      </c>
      <c r="F639" s="36">
        <v>52.127901472064231</v>
      </c>
      <c r="G6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0" spans="1:7" x14ac:dyDescent="0.35">
      <c r="A640" s="45">
        <v>45938</v>
      </c>
      <c r="B640" s="39" t="s">
        <v>2</v>
      </c>
      <c r="C640" s="39" t="s">
        <v>26</v>
      </c>
      <c r="D640" s="30">
        <v>482.74</v>
      </c>
      <c r="E640" s="29">
        <v>1.98</v>
      </c>
      <c r="F640" s="29">
        <v>51.85</v>
      </c>
      <c r="G6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1" spans="1:7" x14ac:dyDescent="0.35">
      <c r="A641" s="45">
        <v>45768</v>
      </c>
      <c r="B641" s="29" t="s">
        <v>4</v>
      </c>
      <c r="C641" s="29" t="s">
        <v>26</v>
      </c>
      <c r="D641" s="30">
        <v>170.15</v>
      </c>
      <c r="E641" s="36">
        <v>1.9928750000000002</v>
      </c>
      <c r="F641" s="36">
        <v>53.455435912817435</v>
      </c>
      <c r="G6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2" spans="1:7" x14ac:dyDescent="0.35">
      <c r="A642" s="45">
        <v>45752</v>
      </c>
      <c r="B642" s="29" t="s">
        <v>3</v>
      </c>
      <c r="C642" s="29" t="s">
        <v>26</v>
      </c>
      <c r="D642" s="30">
        <v>63.4</v>
      </c>
      <c r="E642" s="36">
        <v>1.9955500000000002</v>
      </c>
      <c r="F642" s="36">
        <v>53.655332436102242</v>
      </c>
      <c r="G6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3" spans="1:7" x14ac:dyDescent="0.35">
      <c r="A643" s="46">
        <v>45925</v>
      </c>
      <c r="B643" s="40" t="s">
        <v>3</v>
      </c>
      <c r="C643" s="40" t="s">
        <v>26</v>
      </c>
      <c r="D643" s="33">
        <v>84.26</v>
      </c>
      <c r="E643" s="43">
        <v>2</v>
      </c>
      <c r="F643" s="43">
        <v>53.112609535584575</v>
      </c>
      <c r="G6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4" spans="1:7" x14ac:dyDescent="0.35">
      <c r="A644" s="46">
        <v>45958</v>
      </c>
      <c r="B644" s="40" t="s">
        <v>4</v>
      </c>
      <c r="C644" s="40" t="s">
        <v>26</v>
      </c>
      <c r="D644" s="33">
        <v>78.14</v>
      </c>
      <c r="E644" s="32">
        <v>2</v>
      </c>
      <c r="F644" s="32">
        <v>53.4</v>
      </c>
      <c r="G6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5" spans="1:7" x14ac:dyDescent="0.35">
      <c r="A645" s="46">
        <v>45993</v>
      </c>
      <c r="B645" s="40" t="s">
        <v>4</v>
      </c>
      <c r="C645" s="40" t="s">
        <v>26</v>
      </c>
      <c r="D645" s="33">
        <v>197.7</v>
      </c>
      <c r="E645" s="32">
        <v>2</v>
      </c>
      <c r="F645" s="32">
        <v>53.1</v>
      </c>
      <c r="G6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6" spans="1:7" x14ac:dyDescent="0.35">
      <c r="A646" s="46">
        <v>46004</v>
      </c>
      <c r="B646" s="40" t="s">
        <v>6</v>
      </c>
      <c r="C646" s="40" t="s">
        <v>26</v>
      </c>
      <c r="D646" s="33">
        <v>52.04</v>
      </c>
      <c r="E646" s="32">
        <v>2</v>
      </c>
      <c r="F646" s="32">
        <v>53.9</v>
      </c>
      <c r="G6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7" spans="1:7" x14ac:dyDescent="0.35">
      <c r="A647" s="45">
        <v>46009</v>
      </c>
      <c r="B647" s="39" t="s">
        <v>3</v>
      </c>
      <c r="C647" s="39" t="s">
        <v>26</v>
      </c>
      <c r="D647" s="30">
        <v>85.9</v>
      </c>
      <c r="E647" s="29">
        <v>2</v>
      </c>
      <c r="F647" s="29">
        <v>53.1</v>
      </c>
      <c r="G6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8" spans="1:7" x14ac:dyDescent="0.35">
      <c r="A648" s="46">
        <v>45748</v>
      </c>
      <c r="B648" s="32" t="s">
        <v>6</v>
      </c>
      <c r="C648" s="32" t="s">
        <v>26</v>
      </c>
      <c r="D648" s="33">
        <v>104.75</v>
      </c>
      <c r="E648" s="34">
        <v>2.0009000000000001</v>
      </c>
      <c r="F648" s="52">
        <v>53.254190352281825</v>
      </c>
      <c r="G6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49" spans="1:7" x14ac:dyDescent="0.35">
      <c r="A649" s="45">
        <v>45803</v>
      </c>
      <c r="B649" s="29" t="s">
        <v>6</v>
      </c>
      <c r="C649" s="29" t="s">
        <v>26</v>
      </c>
      <c r="D649" s="30">
        <v>262.3</v>
      </c>
      <c r="E649" s="31">
        <v>2.0035750000000001</v>
      </c>
      <c r="F649" s="51">
        <v>53.369355074257427</v>
      </c>
      <c r="G6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0" spans="1:7" x14ac:dyDescent="0.35">
      <c r="A650" s="45">
        <v>45769</v>
      </c>
      <c r="B650" s="29" t="s">
        <v>6</v>
      </c>
      <c r="C650" s="29" t="s">
        <v>26</v>
      </c>
      <c r="D650" s="30">
        <v>69.38</v>
      </c>
      <c r="E650" s="31">
        <v>2.0062500000000001</v>
      </c>
      <c r="F650" s="51">
        <v>53.506609523809516</v>
      </c>
      <c r="G6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1" spans="1:7" x14ac:dyDescent="0.35">
      <c r="A651" s="46">
        <v>45818</v>
      </c>
      <c r="B651" s="32" t="s">
        <v>6</v>
      </c>
      <c r="C651" s="32" t="s">
        <v>26</v>
      </c>
      <c r="D651" s="33">
        <v>81.739999999999995</v>
      </c>
      <c r="E651" s="34">
        <v>2.0099999999999998</v>
      </c>
      <c r="F651" s="52">
        <v>53.515557007513891</v>
      </c>
      <c r="G6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2" spans="1:7" x14ac:dyDescent="0.35">
      <c r="A652" s="46">
        <v>45944</v>
      </c>
      <c r="B652" s="40" t="s">
        <v>7</v>
      </c>
      <c r="C652" s="40" t="s">
        <v>26</v>
      </c>
      <c r="D652" s="33">
        <v>24.96</v>
      </c>
      <c r="E652" s="42">
        <v>2.0099999999999998</v>
      </c>
      <c r="F652" s="43">
        <v>49.801768604748723</v>
      </c>
      <c r="G6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3" spans="1:7" x14ac:dyDescent="0.35">
      <c r="A653" s="46">
        <v>46027</v>
      </c>
      <c r="B653" s="40" t="s">
        <v>18</v>
      </c>
      <c r="C653" s="40" t="s">
        <v>27</v>
      </c>
      <c r="D653" s="33">
        <v>347.04</v>
      </c>
      <c r="E653" s="32">
        <v>2.0099999999999998</v>
      </c>
      <c r="F653" s="32">
        <v>51.2</v>
      </c>
      <c r="G6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4" spans="1:7" x14ac:dyDescent="0.35">
      <c r="A654" s="46">
        <v>45674</v>
      </c>
      <c r="B654" s="32" t="s">
        <v>5</v>
      </c>
      <c r="C654" s="32" t="s">
        <v>26</v>
      </c>
      <c r="D654" s="33">
        <v>140.87</v>
      </c>
      <c r="E654" s="34">
        <v>2.01695</v>
      </c>
      <c r="F654" s="52">
        <v>52.622044699523997</v>
      </c>
      <c r="G6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5" spans="1:7" x14ac:dyDescent="0.35">
      <c r="A655" s="48">
        <v>45723</v>
      </c>
      <c r="B655" s="32" t="s">
        <v>3</v>
      </c>
      <c r="C655" s="32" t="s">
        <v>26</v>
      </c>
      <c r="D655" s="33">
        <v>63.7</v>
      </c>
      <c r="E655" s="35">
        <v>2.019625</v>
      </c>
      <c r="F655" s="35">
        <v>53.320029129566777</v>
      </c>
      <c r="G6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6" spans="1:7" x14ac:dyDescent="0.35">
      <c r="A656" s="45">
        <v>45896</v>
      </c>
      <c r="B656" s="39" t="s">
        <v>6</v>
      </c>
      <c r="C656" s="39" t="s">
        <v>26</v>
      </c>
      <c r="D656" s="30">
        <v>68.930000000000007</v>
      </c>
      <c r="E656" s="31">
        <v>2.02</v>
      </c>
      <c r="F656" s="51">
        <v>53.630012893867359</v>
      </c>
      <c r="G6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7" spans="1:7" x14ac:dyDescent="0.35">
      <c r="A657" s="45">
        <v>45927</v>
      </c>
      <c r="B657" s="39" t="s">
        <v>3</v>
      </c>
      <c r="C657" s="39" t="s">
        <v>26</v>
      </c>
      <c r="D657" s="30">
        <v>65.06</v>
      </c>
      <c r="E657" s="44">
        <v>2.02</v>
      </c>
      <c r="F657" s="44">
        <v>53.656573904349266</v>
      </c>
      <c r="G6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8" spans="1:7" x14ac:dyDescent="0.35">
      <c r="A658" s="45">
        <v>46067</v>
      </c>
      <c r="B658" s="39" t="s">
        <v>6</v>
      </c>
      <c r="C658" s="39" t="s">
        <v>26</v>
      </c>
      <c r="D658" s="30">
        <v>328.83</v>
      </c>
      <c r="E658" s="29">
        <v>2.02</v>
      </c>
      <c r="F658" s="29">
        <v>53.7</v>
      </c>
      <c r="G6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59" spans="1:7" x14ac:dyDescent="0.35">
      <c r="A659" s="45">
        <v>46004</v>
      </c>
      <c r="B659" s="39" t="s">
        <v>2</v>
      </c>
      <c r="C659" s="39" t="s">
        <v>26</v>
      </c>
      <c r="D659" s="30">
        <v>111.22</v>
      </c>
      <c r="E659" s="29">
        <v>2.0299999999999998</v>
      </c>
      <c r="F659" s="29">
        <v>52.5</v>
      </c>
      <c r="G6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0" spans="1:7" x14ac:dyDescent="0.35">
      <c r="A660" s="46">
        <v>46039</v>
      </c>
      <c r="B660" s="40" t="s">
        <v>18</v>
      </c>
      <c r="C660" s="40" t="s">
        <v>27</v>
      </c>
      <c r="D660" s="33">
        <v>272.04000000000002</v>
      </c>
      <c r="E660" s="32">
        <v>2.0299999999999998</v>
      </c>
      <c r="F660" s="32">
        <v>54</v>
      </c>
      <c r="G6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1" spans="1:7" x14ac:dyDescent="0.35">
      <c r="A661" s="48">
        <v>45726</v>
      </c>
      <c r="B661" s="32" t="s">
        <v>6</v>
      </c>
      <c r="C661" s="32" t="s">
        <v>26</v>
      </c>
      <c r="D661" s="33">
        <v>375.51</v>
      </c>
      <c r="E661" s="34">
        <v>2.0383500000000003</v>
      </c>
      <c r="F661" s="52">
        <v>53.163417721518989</v>
      </c>
      <c r="G6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2" spans="1:7" x14ac:dyDescent="0.35">
      <c r="A662" s="48">
        <v>45729</v>
      </c>
      <c r="B662" s="32" t="s">
        <v>4</v>
      </c>
      <c r="C662" s="32" t="s">
        <v>26</v>
      </c>
      <c r="D662" s="33">
        <v>24.07</v>
      </c>
      <c r="E662" s="35">
        <v>2.0410250000000003</v>
      </c>
      <c r="F662" s="35">
        <v>53.460780921907798</v>
      </c>
      <c r="G6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3" spans="1:7" x14ac:dyDescent="0.35">
      <c r="A663" s="46">
        <v>45786</v>
      </c>
      <c r="B663" s="32" t="s">
        <v>6</v>
      </c>
      <c r="C663" s="32" t="s">
        <v>26</v>
      </c>
      <c r="D663" s="33">
        <v>105.81</v>
      </c>
      <c r="E663" s="34">
        <v>2.0436999999999999</v>
      </c>
      <c r="F663" s="52">
        <v>53.801482369393661</v>
      </c>
      <c r="G6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4" spans="1:7" x14ac:dyDescent="0.35">
      <c r="A664" s="46">
        <v>45790</v>
      </c>
      <c r="B664" s="32" t="s">
        <v>6</v>
      </c>
      <c r="C664" s="32" t="s">
        <v>26</v>
      </c>
      <c r="D664" s="33">
        <v>473.67</v>
      </c>
      <c r="E664" s="34">
        <v>2.0436999999999999</v>
      </c>
      <c r="F664" s="52">
        <v>53.516666204958341</v>
      </c>
      <c r="G6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5" spans="1:7" x14ac:dyDescent="0.35">
      <c r="A665" s="48">
        <v>45743</v>
      </c>
      <c r="B665" s="32" t="s">
        <v>6</v>
      </c>
      <c r="C665" s="32" t="s">
        <v>26</v>
      </c>
      <c r="D665" s="33">
        <v>345.89</v>
      </c>
      <c r="E665" s="34">
        <v>2.0463750000000003</v>
      </c>
      <c r="F665" s="52">
        <v>53.245481764292172</v>
      </c>
      <c r="G6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6" spans="1:7" x14ac:dyDescent="0.35">
      <c r="A666" s="46">
        <v>45878</v>
      </c>
      <c r="B666" s="40" t="s">
        <v>2</v>
      </c>
      <c r="C666" s="40" t="s">
        <v>26</v>
      </c>
      <c r="D666" s="33">
        <v>69.86</v>
      </c>
      <c r="E666" s="34">
        <v>2.0499999999999998</v>
      </c>
      <c r="F666" s="35">
        <v>52.388333333333335</v>
      </c>
      <c r="G6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7" spans="1:7" x14ac:dyDescent="0.35">
      <c r="A667" s="46">
        <v>45789</v>
      </c>
      <c r="B667" s="32" t="s">
        <v>5</v>
      </c>
      <c r="C667" s="32" t="s">
        <v>26</v>
      </c>
      <c r="D667" s="33">
        <v>158.63999999999999</v>
      </c>
      <c r="E667" s="34">
        <v>2.0570750000000002</v>
      </c>
      <c r="F667" s="52">
        <v>53.808231861489197</v>
      </c>
      <c r="G6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8" spans="1:7" x14ac:dyDescent="0.35">
      <c r="A668" s="47">
        <v>45731</v>
      </c>
      <c r="B668" s="29" t="s">
        <v>6</v>
      </c>
      <c r="C668" s="29" t="s">
        <v>26</v>
      </c>
      <c r="D668" s="30">
        <v>610.95000000000005</v>
      </c>
      <c r="E668" s="31">
        <v>2.0624250000000002</v>
      </c>
      <c r="F668" s="51">
        <v>53.502603626942999</v>
      </c>
      <c r="G6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69" spans="1:7" x14ac:dyDescent="0.35">
      <c r="A669" s="45">
        <v>45855</v>
      </c>
      <c r="B669" s="29" t="s">
        <v>8</v>
      </c>
      <c r="C669" s="29" t="s">
        <v>27</v>
      </c>
      <c r="D669" s="30">
        <v>235</v>
      </c>
      <c r="E669" s="31">
        <v>2.0699999999999998</v>
      </c>
      <c r="F669" s="51">
        <v>53.681166721909186</v>
      </c>
      <c r="G6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0" spans="1:7" x14ac:dyDescent="0.35">
      <c r="A670" s="46">
        <v>45917</v>
      </c>
      <c r="B670" s="40" t="s">
        <v>6</v>
      </c>
      <c r="C670" s="40" t="s">
        <v>26</v>
      </c>
      <c r="D670" s="33">
        <v>209.77</v>
      </c>
      <c r="E670" s="34">
        <v>2.0699999999999998</v>
      </c>
      <c r="F670" s="52">
        <v>53.595188458972643</v>
      </c>
      <c r="G6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1" spans="1:7" x14ac:dyDescent="0.35">
      <c r="A671" s="46">
        <v>45855</v>
      </c>
      <c r="B671" s="40" t="s">
        <v>8</v>
      </c>
      <c r="C671" s="40" t="s">
        <v>27</v>
      </c>
      <c r="D671" s="33">
        <v>1165.963</v>
      </c>
      <c r="E671" s="32">
        <v>2.0699999999999998</v>
      </c>
      <c r="F671" s="32">
        <v>53.7</v>
      </c>
      <c r="G6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2" spans="1:7" x14ac:dyDescent="0.35">
      <c r="A672" s="45">
        <v>46030</v>
      </c>
      <c r="B672" s="39" t="s">
        <v>6</v>
      </c>
      <c r="C672" s="39" t="s">
        <v>26</v>
      </c>
      <c r="D672" s="30">
        <v>106.38</v>
      </c>
      <c r="E672" s="41">
        <v>2.0811500000000001</v>
      </c>
      <c r="F672" s="57">
        <v>53.37714127956292</v>
      </c>
      <c r="G6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3" spans="1:7" x14ac:dyDescent="0.35">
      <c r="A673" s="45">
        <v>45885</v>
      </c>
      <c r="B673" s="39" t="s">
        <v>3</v>
      </c>
      <c r="C673" s="39" t="s">
        <v>26</v>
      </c>
      <c r="D673" s="30">
        <v>91.18</v>
      </c>
      <c r="E673" s="36">
        <v>2.09</v>
      </c>
      <c r="F673" s="36">
        <v>53.325477764919818</v>
      </c>
      <c r="G6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4" spans="1:7" x14ac:dyDescent="0.35">
      <c r="A674" s="47">
        <v>45733</v>
      </c>
      <c r="B674" s="29" t="s">
        <v>4</v>
      </c>
      <c r="C674" s="29" t="s">
        <v>26</v>
      </c>
      <c r="D674" s="30">
        <v>100.07</v>
      </c>
      <c r="E674" s="36">
        <v>2.09185</v>
      </c>
      <c r="F674" s="36">
        <v>53.710009970787972</v>
      </c>
      <c r="G6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5" spans="1:7" x14ac:dyDescent="0.35">
      <c r="A675" s="46">
        <v>45913</v>
      </c>
      <c r="B675" s="40" t="s">
        <v>7</v>
      </c>
      <c r="C675" s="40" t="s">
        <v>26</v>
      </c>
      <c r="D675" s="33">
        <v>139.65</v>
      </c>
      <c r="E675" s="34">
        <v>2.1</v>
      </c>
      <c r="F675" s="35">
        <v>51.246167279411765</v>
      </c>
      <c r="G6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6" spans="1:7" x14ac:dyDescent="0.35">
      <c r="A676" s="45">
        <v>45931</v>
      </c>
      <c r="B676" s="39" t="s">
        <v>6</v>
      </c>
      <c r="C676" s="39" t="s">
        <v>26</v>
      </c>
      <c r="D676" s="30">
        <v>813</v>
      </c>
      <c r="E676" s="29">
        <v>2.1</v>
      </c>
      <c r="F676" s="29">
        <v>53.6</v>
      </c>
      <c r="G6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7" spans="1:7" x14ac:dyDescent="0.35">
      <c r="A677" s="45">
        <v>45945</v>
      </c>
      <c r="B677" s="39" t="s">
        <v>3</v>
      </c>
      <c r="C677" s="39" t="s">
        <v>26</v>
      </c>
      <c r="D677" s="30">
        <v>46.06</v>
      </c>
      <c r="E677" s="44">
        <v>2.1</v>
      </c>
      <c r="F677" s="44">
        <v>53.474789915966383</v>
      </c>
      <c r="G6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8" spans="1:7" x14ac:dyDescent="0.35">
      <c r="A678" s="46">
        <v>45990</v>
      </c>
      <c r="B678" s="40" t="s">
        <v>4</v>
      </c>
      <c r="C678" s="40" t="s">
        <v>26</v>
      </c>
      <c r="D678" s="33">
        <v>258.19</v>
      </c>
      <c r="E678" s="32">
        <v>2.1</v>
      </c>
      <c r="F678" s="32">
        <v>53.8</v>
      </c>
      <c r="G6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79" spans="1:7" x14ac:dyDescent="0.35">
      <c r="A679" s="46">
        <v>45995</v>
      </c>
      <c r="B679" s="40" t="s">
        <v>3</v>
      </c>
      <c r="C679" s="40" t="s">
        <v>26</v>
      </c>
      <c r="D679" s="33">
        <v>91.42</v>
      </c>
      <c r="E679" s="32">
        <v>2.1</v>
      </c>
      <c r="F679" s="32">
        <v>53</v>
      </c>
      <c r="G6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0" spans="1:7" x14ac:dyDescent="0.35">
      <c r="A680" s="45">
        <v>46067</v>
      </c>
      <c r="B680" s="39" t="s">
        <v>3</v>
      </c>
      <c r="C680" s="39" t="s">
        <v>26</v>
      </c>
      <c r="D680" s="30">
        <v>22.22</v>
      </c>
      <c r="E680" s="29">
        <v>2.1</v>
      </c>
      <c r="F680" s="29">
        <v>53.2</v>
      </c>
      <c r="G6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1" spans="1:7" x14ac:dyDescent="0.35">
      <c r="A681" s="47">
        <v>45707</v>
      </c>
      <c r="B681" s="29" t="s">
        <v>6</v>
      </c>
      <c r="C681" s="29" t="s">
        <v>26</v>
      </c>
      <c r="D681" s="30">
        <v>167.41</v>
      </c>
      <c r="E681" s="31">
        <v>2.1025500000000004</v>
      </c>
      <c r="F681" s="51">
        <v>52.941058953057748</v>
      </c>
      <c r="G6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2" spans="1:7" x14ac:dyDescent="0.35">
      <c r="A682" s="45">
        <v>45758</v>
      </c>
      <c r="B682" s="29" t="s">
        <v>4</v>
      </c>
      <c r="C682" s="29" t="s">
        <v>26</v>
      </c>
      <c r="D682" s="30">
        <v>169.28</v>
      </c>
      <c r="E682" s="36">
        <v>2.1025500000000004</v>
      </c>
      <c r="F682" s="36">
        <v>53.442791421165978</v>
      </c>
      <c r="G6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3" spans="1:7" x14ac:dyDescent="0.35">
      <c r="A683" s="48">
        <v>45734</v>
      </c>
      <c r="B683" s="32" t="s">
        <v>3</v>
      </c>
      <c r="C683" s="32" t="s">
        <v>26</v>
      </c>
      <c r="D683" s="33">
        <v>104.6</v>
      </c>
      <c r="E683" s="35">
        <v>2.1078999999999999</v>
      </c>
      <c r="F683" s="35">
        <v>53.442616675407052</v>
      </c>
      <c r="G6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4" spans="1:7" x14ac:dyDescent="0.35">
      <c r="A684" s="46">
        <v>45825</v>
      </c>
      <c r="B684" s="32" t="s">
        <v>4</v>
      </c>
      <c r="C684" s="32" t="s">
        <v>26</v>
      </c>
      <c r="D684" s="33">
        <v>97.93</v>
      </c>
      <c r="E684" s="35">
        <v>2.11</v>
      </c>
      <c r="F684" s="35">
        <v>53.439268530242522</v>
      </c>
      <c r="G6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5" spans="1:7" x14ac:dyDescent="0.35">
      <c r="A685" s="47">
        <v>45745</v>
      </c>
      <c r="B685" s="29" t="s">
        <v>4</v>
      </c>
      <c r="C685" s="29" t="s">
        <v>26</v>
      </c>
      <c r="D685" s="30">
        <v>51.19</v>
      </c>
      <c r="E685" s="36">
        <v>2.1132500000000003</v>
      </c>
      <c r="F685" s="36">
        <v>53.022245295720225</v>
      </c>
      <c r="G6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6" spans="1:7" x14ac:dyDescent="0.35">
      <c r="A686" s="45">
        <v>45848</v>
      </c>
      <c r="B686" s="29" t="s">
        <v>4</v>
      </c>
      <c r="C686" s="29" t="s">
        <v>26</v>
      </c>
      <c r="D686" s="30">
        <v>201.24</v>
      </c>
      <c r="E686" s="36">
        <v>2.12</v>
      </c>
      <c r="F686" s="36">
        <v>53.676371871435286</v>
      </c>
      <c r="G6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7" spans="1:7" x14ac:dyDescent="0.35">
      <c r="A687" s="46">
        <v>46046</v>
      </c>
      <c r="B687" s="40" t="s">
        <v>2</v>
      </c>
      <c r="C687" s="40" t="s">
        <v>26</v>
      </c>
      <c r="D687" s="33">
        <v>125.22199999999999</v>
      </c>
      <c r="E687" s="32">
        <v>2.12</v>
      </c>
      <c r="F687" s="32">
        <v>53.2</v>
      </c>
      <c r="G6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8" spans="1:7" x14ac:dyDescent="0.35">
      <c r="A688" s="46">
        <v>45670</v>
      </c>
      <c r="B688" s="32" t="s">
        <v>6</v>
      </c>
      <c r="C688" s="32" t="s">
        <v>26</v>
      </c>
      <c r="D688" s="33">
        <v>342.56</v>
      </c>
      <c r="E688" s="34">
        <v>2.1212750000000002</v>
      </c>
      <c r="F688" s="52">
        <v>53.353471709265172</v>
      </c>
      <c r="G6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89" spans="1:7" x14ac:dyDescent="0.35">
      <c r="A689" s="47">
        <v>45722</v>
      </c>
      <c r="B689" s="29" t="s">
        <v>6</v>
      </c>
      <c r="C689" s="29" t="s">
        <v>26</v>
      </c>
      <c r="D689" s="30">
        <v>346.81</v>
      </c>
      <c r="E689" s="31">
        <v>2.1293000000000002</v>
      </c>
      <c r="F689" s="51">
        <v>52.722293577981652</v>
      </c>
      <c r="G6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0" spans="1:7" x14ac:dyDescent="0.35">
      <c r="A690" s="48">
        <v>45854</v>
      </c>
      <c r="B690" s="32" t="s">
        <v>5</v>
      </c>
      <c r="C690" s="32" t="s">
        <v>26</v>
      </c>
      <c r="D690" s="33">
        <v>33.85</v>
      </c>
      <c r="E690" s="34">
        <v>2.13</v>
      </c>
      <c r="F690" s="52">
        <v>52.540254011773243</v>
      </c>
      <c r="G6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1" spans="1:7" x14ac:dyDescent="0.35">
      <c r="A691" s="45">
        <v>45918</v>
      </c>
      <c r="B691" s="39" t="s">
        <v>6</v>
      </c>
      <c r="C691" s="39" t="s">
        <v>26</v>
      </c>
      <c r="D691" s="30">
        <v>173.14</v>
      </c>
      <c r="E691" s="31">
        <v>2.13</v>
      </c>
      <c r="F691" s="51">
        <v>53.404650156899336</v>
      </c>
      <c r="G6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2" spans="1:7" x14ac:dyDescent="0.35">
      <c r="A692" s="45">
        <v>45789</v>
      </c>
      <c r="B692" s="29" t="s">
        <v>6</v>
      </c>
      <c r="C692" s="29" t="s">
        <v>26</v>
      </c>
      <c r="D692" s="30">
        <v>396.56</v>
      </c>
      <c r="E692" s="31">
        <v>2.1319750000000002</v>
      </c>
      <c r="F692" s="51">
        <v>53.849733253222745</v>
      </c>
      <c r="G6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3" spans="1:7" x14ac:dyDescent="0.35">
      <c r="A693" s="46">
        <v>45806</v>
      </c>
      <c r="B693" s="32" t="s">
        <v>3</v>
      </c>
      <c r="C693" s="32" t="s">
        <v>26</v>
      </c>
      <c r="D693" s="33">
        <v>64.94</v>
      </c>
      <c r="E693" s="35">
        <v>2.1346500000000002</v>
      </c>
      <c r="F693" s="35">
        <v>53.73114006189477</v>
      </c>
      <c r="G6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4" spans="1:7" x14ac:dyDescent="0.35">
      <c r="A694" s="47">
        <v>45693</v>
      </c>
      <c r="B694" s="29" t="s">
        <v>6</v>
      </c>
      <c r="C694" s="29" t="s">
        <v>26</v>
      </c>
      <c r="D694" s="30">
        <v>395.32</v>
      </c>
      <c r="E694" s="31">
        <v>2.14</v>
      </c>
      <c r="F694" s="51">
        <v>53.025054284606433</v>
      </c>
      <c r="G6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5" spans="1:7" x14ac:dyDescent="0.35">
      <c r="A695" s="45">
        <v>45755</v>
      </c>
      <c r="B695" s="29" t="s">
        <v>3</v>
      </c>
      <c r="C695" s="29" t="s">
        <v>26</v>
      </c>
      <c r="D695" s="30">
        <v>65.78</v>
      </c>
      <c r="E695" s="36">
        <v>2.1480250000000001</v>
      </c>
      <c r="F695" s="36">
        <v>53.482914834066378</v>
      </c>
      <c r="G6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6" spans="1:7" x14ac:dyDescent="0.35">
      <c r="A696" s="46">
        <v>45755</v>
      </c>
      <c r="B696" s="32" t="s">
        <v>3</v>
      </c>
      <c r="C696" s="32" t="s">
        <v>26</v>
      </c>
      <c r="D696" s="33">
        <v>65.78</v>
      </c>
      <c r="E696" s="35">
        <v>2.1480250000000001</v>
      </c>
      <c r="F696" s="35">
        <v>53.482914834066378</v>
      </c>
      <c r="G6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7" spans="1:7" x14ac:dyDescent="0.35">
      <c r="A697" s="45">
        <v>45787</v>
      </c>
      <c r="B697" s="29" t="s">
        <v>6</v>
      </c>
      <c r="C697" s="29" t="s">
        <v>26</v>
      </c>
      <c r="D697" s="30">
        <v>485.89</v>
      </c>
      <c r="E697" s="31">
        <v>2.1480250000000001</v>
      </c>
      <c r="F697" s="51">
        <v>53.184776602564099</v>
      </c>
      <c r="G6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8" spans="1:7" x14ac:dyDescent="0.35">
      <c r="A698" s="46">
        <v>45819</v>
      </c>
      <c r="B698" s="32" t="s">
        <v>5</v>
      </c>
      <c r="C698" s="32" t="s">
        <v>26</v>
      </c>
      <c r="D698" s="33">
        <v>33.4</v>
      </c>
      <c r="E698" s="34">
        <v>2.15</v>
      </c>
      <c r="F698" s="52">
        <v>52.83083050207626</v>
      </c>
      <c r="G6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699" spans="1:7" x14ac:dyDescent="0.35">
      <c r="A699" s="45">
        <v>45957</v>
      </c>
      <c r="B699" s="39" t="s">
        <v>4</v>
      </c>
      <c r="C699" s="39" t="s">
        <v>26</v>
      </c>
      <c r="D699" s="30">
        <v>210.74</v>
      </c>
      <c r="E699" s="44">
        <v>2.15</v>
      </c>
      <c r="F699" s="44">
        <v>53.932279620063319</v>
      </c>
      <c r="G6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0" spans="1:7" x14ac:dyDescent="0.35">
      <c r="A700" s="46">
        <v>45757</v>
      </c>
      <c r="B700" s="32" t="s">
        <v>6</v>
      </c>
      <c r="C700" s="32" t="s">
        <v>26</v>
      </c>
      <c r="D700" s="33">
        <v>459.47</v>
      </c>
      <c r="E700" s="34">
        <v>2.1560500000000005</v>
      </c>
      <c r="F700" s="52">
        <v>53.597517957463886</v>
      </c>
      <c r="G7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1" spans="1:7" x14ac:dyDescent="0.35">
      <c r="A701" s="46">
        <v>45882</v>
      </c>
      <c r="B701" s="40" t="s">
        <v>4</v>
      </c>
      <c r="C701" s="40" t="s">
        <v>26</v>
      </c>
      <c r="D701" s="33">
        <v>346.93</v>
      </c>
      <c r="E701" s="35">
        <v>2.16</v>
      </c>
      <c r="F701" s="35">
        <v>53.701885164288086</v>
      </c>
      <c r="G7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2" spans="1:7" x14ac:dyDescent="0.35">
      <c r="A702" s="45">
        <v>45882</v>
      </c>
      <c r="B702" s="39" t="s">
        <v>4</v>
      </c>
      <c r="C702" s="39" t="s">
        <v>26</v>
      </c>
      <c r="D702" s="30">
        <v>346.93</v>
      </c>
      <c r="E702" s="36">
        <v>2.16</v>
      </c>
      <c r="F702" s="36">
        <v>53.701885164288086</v>
      </c>
      <c r="G7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3" spans="1:7" x14ac:dyDescent="0.35">
      <c r="A703" s="45">
        <v>45756</v>
      </c>
      <c r="B703" s="29" t="s">
        <v>6</v>
      </c>
      <c r="C703" s="29" t="s">
        <v>26</v>
      </c>
      <c r="D703" s="30">
        <v>298.45</v>
      </c>
      <c r="E703" s="31">
        <v>2.1694249999999999</v>
      </c>
      <c r="F703" s="51">
        <v>53.69981634650135</v>
      </c>
      <c r="G7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4" spans="1:7" x14ac:dyDescent="0.35">
      <c r="A704" s="46">
        <v>45677</v>
      </c>
      <c r="B704" s="32" t="s">
        <v>6</v>
      </c>
      <c r="C704" s="32" t="s">
        <v>26</v>
      </c>
      <c r="D704" s="33">
        <v>163.68</v>
      </c>
      <c r="E704" s="34">
        <v>2.1774500000000003</v>
      </c>
      <c r="F704" s="52">
        <v>52.611175888046297</v>
      </c>
      <c r="G7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5" spans="1:7" x14ac:dyDescent="0.35">
      <c r="A705" s="46">
        <v>45806</v>
      </c>
      <c r="B705" s="32" t="s">
        <v>7</v>
      </c>
      <c r="C705" s="32" t="s">
        <v>26</v>
      </c>
      <c r="D705" s="33">
        <v>143.85</v>
      </c>
      <c r="E705" s="34">
        <v>2.1801250000000003</v>
      </c>
      <c r="F705" s="35">
        <v>44.098827099084751</v>
      </c>
      <c r="G7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6" spans="1:7" x14ac:dyDescent="0.35">
      <c r="A706" s="46">
        <v>45813</v>
      </c>
      <c r="B706" s="32" t="s">
        <v>4</v>
      </c>
      <c r="C706" s="32" t="s">
        <v>26</v>
      </c>
      <c r="D706" s="33">
        <v>96.13</v>
      </c>
      <c r="E706" s="35">
        <v>2.19</v>
      </c>
      <c r="F706" s="35">
        <v>53.844243080253598</v>
      </c>
      <c r="G7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7" spans="1:7" x14ac:dyDescent="0.35">
      <c r="A707" s="46">
        <v>45918</v>
      </c>
      <c r="B707" s="40" t="s">
        <v>4</v>
      </c>
      <c r="C707" s="40" t="s">
        <v>26</v>
      </c>
      <c r="D707" s="33">
        <v>179.16</v>
      </c>
      <c r="E707" s="35">
        <v>2.19</v>
      </c>
      <c r="F707" s="35">
        <v>53.378219696969694</v>
      </c>
      <c r="G7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8" spans="1:7" x14ac:dyDescent="0.35">
      <c r="A708" s="46">
        <v>46063</v>
      </c>
      <c r="B708" s="40" t="s">
        <v>6</v>
      </c>
      <c r="C708" s="40" t="s">
        <v>26</v>
      </c>
      <c r="D708" s="33">
        <v>187.3</v>
      </c>
      <c r="E708" s="32">
        <v>2.19</v>
      </c>
      <c r="F708" s="32">
        <v>53.6</v>
      </c>
      <c r="G7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09" spans="1:7" x14ac:dyDescent="0.35">
      <c r="A709" s="49">
        <v>45780</v>
      </c>
      <c r="B709" s="40" t="s">
        <v>8</v>
      </c>
      <c r="C709" s="40" t="s">
        <v>27</v>
      </c>
      <c r="D709" s="33">
        <v>132.77500000000001</v>
      </c>
      <c r="E709" s="42">
        <v>2.1934999999999998</v>
      </c>
      <c r="F709" s="56">
        <v>53.488999999999997</v>
      </c>
      <c r="G7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0" spans="1:7" x14ac:dyDescent="0.35">
      <c r="A710" s="46">
        <v>45682</v>
      </c>
      <c r="B710" s="32" t="s">
        <v>6</v>
      </c>
      <c r="C710" s="32" t="s">
        <v>26</v>
      </c>
      <c r="D710" s="33">
        <v>547.77</v>
      </c>
      <c r="E710" s="34">
        <v>2.1961750000000002</v>
      </c>
      <c r="F710" s="52">
        <v>53.412595801660331</v>
      </c>
      <c r="G7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1" spans="1:7" x14ac:dyDescent="0.35">
      <c r="A711" s="45">
        <v>45903</v>
      </c>
      <c r="B711" s="39" t="s">
        <v>6</v>
      </c>
      <c r="C711" s="39" t="s">
        <v>26</v>
      </c>
      <c r="D711" s="30">
        <v>174.17</v>
      </c>
      <c r="E711" s="31">
        <v>2.2000000000000002</v>
      </c>
      <c r="F711" s="51">
        <v>53.664322799097064</v>
      </c>
      <c r="G7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2" spans="1:7" x14ac:dyDescent="0.35">
      <c r="A712" s="46">
        <v>45953</v>
      </c>
      <c r="B712" s="40" t="s">
        <v>3</v>
      </c>
      <c r="C712" s="40" t="s">
        <v>26</v>
      </c>
      <c r="D712" s="33">
        <v>69.28</v>
      </c>
      <c r="E712" s="32">
        <v>2.2000000000000002</v>
      </c>
      <c r="F712" s="32">
        <v>53.7</v>
      </c>
      <c r="G7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3" spans="1:7" x14ac:dyDescent="0.35">
      <c r="A713" s="46">
        <v>45972</v>
      </c>
      <c r="B713" s="40" t="s">
        <v>3</v>
      </c>
      <c r="C713" s="40" t="s">
        <v>26</v>
      </c>
      <c r="D713" s="33">
        <v>94.22</v>
      </c>
      <c r="E713" s="32">
        <v>2.2000000000000002</v>
      </c>
      <c r="F713" s="32">
        <v>53.7</v>
      </c>
      <c r="G7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4" spans="1:7" x14ac:dyDescent="0.35">
      <c r="A714" s="46">
        <v>45986</v>
      </c>
      <c r="B714" s="40" t="s">
        <v>18</v>
      </c>
      <c r="C714" s="40" t="s">
        <v>27</v>
      </c>
      <c r="D714" s="33">
        <v>293.32</v>
      </c>
      <c r="E714" s="32">
        <v>2.2000000000000002</v>
      </c>
      <c r="F714" s="32">
        <v>52.5</v>
      </c>
      <c r="G7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5" spans="1:7" x14ac:dyDescent="0.35">
      <c r="A715" s="45">
        <v>45989</v>
      </c>
      <c r="B715" s="39"/>
      <c r="C715" s="39" t="s">
        <v>29</v>
      </c>
      <c r="D715" s="30">
        <v>193.2</v>
      </c>
      <c r="E715" s="29">
        <v>2.2000000000000002</v>
      </c>
      <c r="F715" s="29">
        <v>52.1</v>
      </c>
      <c r="G7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6" spans="1:7" x14ac:dyDescent="0.35">
      <c r="A716" s="46">
        <v>45988</v>
      </c>
      <c r="B716" s="40" t="s">
        <v>18</v>
      </c>
      <c r="C716" s="40" t="s">
        <v>27</v>
      </c>
      <c r="D716" s="33">
        <v>193.02</v>
      </c>
      <c r="E716" s="32">
        <v>2.2000000000000002</v>
      </c>
      <c r="F716" s="32">
        <v>52.1</v>
      </c>
      <c r="G7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7" spans="1:7" x14ac:dyDescent="0.35">
      <c r="A717" s="45">
        <v>45997</v>
      </c>
      <c r="B717" s="39" t="s">
        <v>3</v>
      </c>
      <c r="C717" s="39" t="s">
        <v>26</v>
      </c>
      <c r="D717" s="30">
        <v>23.24</v>
      </c>
      <c r="E717" s="29">
        <v>2.2000000000000002</v>
      </c>
      <c r="F717" s="29">
        <v>53.1</v>
      </c>
      <c r="G7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8" spans="1:7" x14ac:dyDescent="0.35">
      <c r="A718" s="46">
        <v>46045</v>
      </c>
      <c r="B718" s="40" t="s">
        <v>18</v>
      </c>
      <c r="C718" s="40" t="s">
        <v>27</v>
      </c>
      <c r="D718" s="33">
        <v>196.14</v>
      </c>
      <c r="E718" s="32">
        <v>2.2000000000000002</v>
      </c>
      <c r="F718" s="32">
        <v>52.8</v>
      </c>
      <c r="G7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19" spans="1:7" x14ac:dyDescent="0.35">
      <c r="A719" s="45">
        <v>46060</v>
      </c>
      <c r="B719" s="39" t="s">
        <v>3</v>
      </c>
      <c r="C719" s="39" t="s">
        <v>26</v>
      </c>
      <c r="D719" s="30">
        <v>47.82</v>
      </c>
      <c r="E719" s="29">
        <v>2.2000000000000002</v>
      </c>
      <c r="F719" s="29">
        <v>52.9</v>
      </c>
      <c r="G7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0" spans="1:7" x14ac:dyDescent="0.35">
      <c r="A720" s="45">
        <v>45672</v>
      </c>
      <c r="B720" s="29" t="s">
        <v>3</v>
      </c>
      <c r="C720" s="29" t="s">
        <v>26</v>
      </c>
      <c r="D720" s="30">
        <v>69.94</v>
      </c>
      <c r="E720" s="36">
        <v>2.2015250000000002</v>
      </c>
      <c r="F720" s="36">
        <v>53.066238889443717</v>
      </c>
      <c r="G7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1" spans="1:7" x14ac:dyDescent="0.35">
      <c r="A721" s="48">
        <v>45695</v>
      </c>
      <c r="B721" s="32" t="s">
        <v>6</v>
      </c>
      <c r="C721" s="32" t="s">
        <v>26</v>
      </c>
      <c r="D721" s="33">
        <v>266.3</v>
      </c>
      <c r="E721" s="34">
        <v>2.2015250000000002</v>
      </c>
      <c r="F721" s="52">
        <v>53.213937282229956</v>
      </c>
      <c r="G7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2" spans="1:7" x14ac:dyDescent="0.35">
      <c r="A722" s="47">
        <v>45695</v>
      </c>
      <c r="B722" s="29" t="s">
        <v>6</v>
      </c>
      <c r="C722" s="29" t="s">
        <v>26</v>
      </c>
      <c r="D722" s="30">
        <v>266.3</v>
      </c>
      <c r="E722" s="31">
        <v>2.2015250000000002</v>
      </c>
      <c r="F722" s="51">
        <v>53.213937282229956</v>
      </c>
      <c r="G7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3" spans="1:7" x14ac:dyDescent="0.35">
      <c r="A723" s="45">
        <v>45832</v>
      </c>
      <c r="B723" s="39" t="s">
        <v>8</v>
      </c>
      <c r="C723" s="39" t="s">
        <v>27</v>
      </c>
      <c r="D723" s="30">
        <v>522.03899999999999</v>
      </c>
      <c r="E723" s="41">
        <v>2.21</v>
      </c>
      <c r="F723" s="55">
        <v>53.464798486720191</v>
      </c>
      <c r="G7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4" spans="1:7" x14ac:dyDescent="0.35">
      <c r="A724" s="47">
        <v>45722</v>
      </c>
      <c r="B724" s="29" t="s">
        <v>3</v>
      </c>
      <c r="C724" s="29" t="s">
        <v>26</v>
      </c>
      <c r="D724" s="30">
        <v>41.32</v>
      </c>
      <c r="E724" s="36">
        <v>2.2149000000000001</v>
      </c>
      <c r="F724" s="36">
        <v>53.43835053612586</v>
      </c>
      <c r="G7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5" spans="1:7" x14ac:dyDescent="0.35">
      <c r="A725" s="46">
        <v>45959</v>
      </c>
      <c r="B725" s="40" t="s">
        <v>18</v>
      </c>
      <c r="C725" s="40" t="s">
        <v>27</v>
      </c>
      <c r="D725" s="33">
        <v>304.83999999999997</v>
      </c>
      <c r="E725" s="32">
        <v>2.2200000000000002</v>
      </c>
      <c r="F725" s="32">
        <v>51.9</v>
      </c>
      <c r="G7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6" spans="1:7" x14ac:dyDescent="0.35">
      <c r="A726" s="45">
        <v>45761</v>
      </c>
      <c r="B726" s="29" t="s">
        <v>6</v>
      </c>
      <c r="C726" s="29" t="s">
        <v>26</v>
      </c>
      <c r="D726" s="30">
        <v>349.18</v>
      </c>
      <c r="E726" s="31">
        <v>2.2202500000000005</v>
      </c>
      <c r="F726" s="51">
        <v>53.105654467502745</v>
      </c>
      <c r="G7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7" spans="1:7" x14ac:dyDescent="0.35">
      <c r="A727" s="45">
        <v>45772</v>
      </c>
      <c r="B727" s="29" t="s">
        <v>6</v>
      </c>
      <c r="C727" s="29" t="s">
        <v>26</v>
      </c>
      <c r="D727" s="30">
        <v>70.260000000000005</v>
      </c>
      <c r="E727" s="31">
        <v>2.2202500000000005</v>
      </c>
      <c r="F727" s="51">
        <v>53.752664840847473</v>
      </c>
      <c r="G7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8" spans="1:7" x14ac:dyDescent="0.35">
      <c r="A728" s="45">
        <v>45775</v>
      </c>
      <c r="B728" s="29" t="s">
        <v>6</v>
      </c>
      <c r="C728" s="29" t="s">
        <v>26</v>
      </c>
      <c r="D728" s="30">
        <v>375.71</v>
      </c>
      <c r="E728" s="31">
        <v>2.2229250000000005</v>
      </c>
      <c r="F728" s="51">
        <v>53.471959277981924</v>
      </c>
      <c r="G7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29" spans="1:7" x14ac:dyDescent="0.35">
      <c r="A729" s="46">
        <v>45940</v>
      </c>
      <c r="B729" s="40" t="s">
        <v>16</v>
      </c>
      <c r="C729" s="40" t="s">
        <v>27</v>
      </c>
      <c r="D729" s="33">
        <v>143.74</v>
      </c>
      <c r="E729" s="42">
        <v>2.23</v>
      </c>
      <c r="F729" s="56">
        <v>53.207333214888514</v>
      </c>
      <c r="G7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0" spans="1:7" x14ac:dyDescent="0.35">
      <c r="A730" s="46">
        <v>45989</v>
      </c>
      <c r="B730" s="40" t="s">
        <v>3</v>
      </c>
      <c r="C730" s="40" t="s">
        <v>26</v>
      </c>
      <c r="D730" s="33">
        <v>71.239999999999995</v>
      </c>
      <c r="E730" s="32">
        <v>2.23</v>
      </c>
      <c r="F730" s="32">
        <v>53.3</v>
      </c>
      <c r="G7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1" spans="1:7" x14ac:dyDescent="0.35">
      <c r="A731" s="48">
        <v>45729</v>
      </c>
      <c r="B731" s="32" t="s">
        <v>2</v>
      </c>
      <c r="C731" s="32" t="s">
        <v>26</v>
      </c>
      <c r="D731" s="33">
        <v>616.08000000000004</v>
      </c>
      <c r="E731" s="34">
        <v>2.233625</v>
      </c>
      <c r="F731" s="35">
        <v>51.549092746764977</v>
      </c>
      <c r="G7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2" spans="1:7" x14ac:dyDescent="0.35">
      <c r="A732" s="46">
        <v>45913</v>
      </c>
      <c r="B732" s="40" t="s">
        <v>6</v>
      </c>
      <c r="C732" s="40" t="s">
        <v>26</v>
      </c>
      <c r="D732" s="33">
        <v>280.13</v>
      </c>
      <c r="E732" s="34">
        <v>2.25</v>
      </c>
      <c r="F732" s="52">
        <v>53.695548852019449</v>
      </c>
      <c r="G7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3" spans="1:7" x14ac:dyDescent="0.35">
      <c r="A733" s="50">
        <v>45807</v>
      </c>
      <c r="B733" s="39" t="s">
        <v>8</v>
      </c>
      <c r="C733" s="39" t="s">
        <v>27</v>
      </c>
      <c r="D733" s="30">
        <v>218.26</v>
      </c>
      <c r="E733" s="41">
        <v>2.2657250000000002</v>
      </c>
      <c r="F733" s="55">
        <v>53.215527034101108</v>
      </c>
      <c r="G7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4" spans="1:7" x14ac:dyDescent="0.35">
      <c r="A734" s="47">
        <v>45696</v>
      </c>
      <c r="B734" s="29" t="s">
        <v>6</v>
      </c>
      <c r="C734" s="29" t="s">
        <v>26</v>
      </c>
      <c r="D734" s="30">
        <v>295.2</v>
      </c>
      <c r="E734" s="31">
        <v>2.2684000000000002</v>
      </c>
      <c r="F734" s="51">
        <v>52.273269198564599</v>
      </c>
      <c r="G7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5" spans="1:7" x14ac:dyDescent="0.35">
      <c r="A735" s="48">
        <v>45696</v>
      </c>
      <c r="B735" s="32" t="s">
        <v>6</v>
      </c>
      <c r="C735" s="32" t="s">
        <v>26</v>
      </c>
      <c r="D735" s="33">
        <v>295.2</v>
      </c>
      <c r="E735" s="34">
        <v>2.2684000000000002</v>
      </c>
      <c r="F735" s="52">
        <v>52.273269198564599</v>
      </c>
      <c r="G7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6" spans="1:7" x14ac:dyDescent="0.35">
      <c r="A736" s="46">
        <v>45981</v>
      </c>
      <c r="B736" s="40" t="s">
        <v>3</v>
      </c>
      <c r="C736" s="40" t="s">
        <v>26</v>
      </c>
      <c r="D736" s="33">
        <v>92.1</v>
      </c>
      <c r="E736" s="43">
        <v>2.27</v>
      </c>
      <c r="F736" s="43">
        <v>52.089996829674249</v>
      </c>
      <c r="G7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7" spans="1:7" x14ac:dyDescent="0.35">
      <c r="A737" s="48">
        <v>45692</v>
      </c>
      <c r="B737" s="32" t="s">
        <v>6</v>
      </c>
      <c r="C737" s="32" t="s">
        <v>26</v>
      </c>
      <c r="D737" s="33">
        <v>296.27</v>
      </c>
      <c r="E737" s="34">
        <v>2.2737500000000002</v>
      </c>
      <c r="F737" s="52">
        <v>53.498575000000002</v>
      </c>
      <c r="G7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8" spans="1:7" x14ac:dyDescent="0.35">
      <c r="A738" s="47">
        <v>45729</v>
      </c>
      <c r="B738" s="29" t="s">
        <v>6</v>
      </c>
      <c r="C738" s="29" t="s">
        <v>26</v>
      </c>
      <c r="D738" s="30">
        <v>526.69000000000005</v>
      </c>
      <c r="E738" s="31">
        <v>2.2764250000000001</v>
      </c>
      <c r="F738" s="51">
        <v>53.157458762371284</v>
      </c>
      <c r="G7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39" spans="1:7" x14ac:dyDescent="0.35">
      <c r="A739" s="45">
        <v>45807</v>
      </c>
      <c r="B739" s="29" t="s">
        <v>6</v>
      </c>
      <c r="C739" s="29" t="s">
        <v>26</v>
      </c>
      <c r="D739" s="30">
        <v>617.47</v>
      </c>
      <c r="E739" s="31">
        <v>2.2799999999999998</v>
      </c>
      <c r="F739" s="51">
        <v>53.484436278603646</v>
      </c>
      <c r="G7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0" spans="1:7" x14ac:dyDescent="0.35">
      <c r="A740" s="48">
        <v>45708</v>
      </c>
      <c r="B740" s="32" t="s">
        <v>6</v>
      </c>
      <c r="C740" s="32" t="s">
        <v>26</v>
      </c>
      <c r="D740" s="33">
        <v>370.05</v>
      </c>
      <c r="E740" s="34">
        <v>2.2844500000000001</v>
      </c>
      <c r="F740" s="52">
        <v>51.845550995896303</v>
      </c>
      <c r="G7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1" spans="1:7" x14ac:dyDescent="0.35">
      <c r="A741" s="47">
        <v>45717</v>
      </c>
      <c r="B741" s="29" t="s">
        <v>6</v>
      </c>
      <c r="C741" s="29" t="s">
        <v>26</v>
      </c>
      <c r="D741" s="30">
        <v>0</v>
      </c>
      <c r="E741" s="31">
        <v>2.2844500000000001</v>
      </c>
      <c r="F741" s="51">
        <v>53.281131962467555</v>
      </c>
      <c r="G7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2" spans="1:7" x14ac:dyDescent="0.35">
      <c r="A742" s="48">
        <v>45713</v>
      </c>
      <c r="B742" s="32" t="s">
        <v>2</v>
      </c>
      <c r="C742" s="32" t="s">
        <v>26</v>
      </c>
      <c r="D742" s="33">
        <v>178.04</v>
      </c>
      <c r="E742" s="34">
        <v>2.2844500000000001</v>
      </c>
      <c r="F742" s="52">
        <v>53.281131962467555</v>
      </c>
      <c r="G7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3" spans="1:7" x14ac:dyDescent="0.35">
      <c r="A743" s="47">
        <v>45714</v>
      </c>
      <c r="B743" s="29" t="s">
        <v>2</v>
      </c>
      <c r="C743" s="29" t="s">
        <v>26</v>
      </c>
      <c r="D743" s="30">
        <v>388.24</v>
      </c>
      <c r="E743" s="31">
        <v>2.2844500000000001</v>
      </c>
      <c r="F743" s="51">
        <v>53.281131962467555</v>
      </c>
      <c r="G7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4" spans="1:7" x14ac:dyDescent="0.35">
      <c r="A744" s="47">
        <v>45717</v>
      </c>
      <c r="B744" s="29" t="s">
        <v>6</v>
      </c>
      <c r="C744" s="29" t="s">
        <v>26</v>
      </c>
      <c r="D744" s="30">
        <v>271.83999999999997</v>
      </c>
      <c r="E744" s="31">
        <v>2.2844500000000001</v>
      </c>
      <c r="F744" s="51">
        <v>53.281131962467555</v>
      </c>
      <c r="G7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5" spans="1:7" x14ac:dyDescent="0.35">
      <c r="A745" s="48">
        <v>45689</v>
      </c>
      <c r="B745" s="32" t="s">
        <v>6</v>
      </c>
      <c r="C745" s="32" t="s">
        <v>26</v>
      </c>
      <c r="D745" s="33">
        <v>347.14</v>
      </c>
      <c r="E745" s="34">
        <v>2.2871250000000005</v>
      </c>
      <c r="F745" s="52">
        <v>52.874978938813101</v>
      </c>
      <c r="G7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6" spans="1:7" x14ac:dyDescent="0.35">
      <c r="A746" s="48">
        <v>45703</v>
      </c>
      <c r="B746" s="32" t="s">
        <v>6</v>
      </c>
      <c r="C746" s="32" t="s">
        <v>26</v>
      </c>
      <c r="D746" s="33">
        <v>251.09</v>
      </c>
      <c r="E746" s="34">
        <v>2.2871250000000005</v>
      </c>
      <c r="F746" s="52">
        <v>52.566932114882512</v>
      </c>
      <c r="G7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7" spans="1:7" x14ac:dyDescent="0.35">
      <c r="A747" s="45">
        <v>45773</v>
      </c>
      <c r="B747" s="29" t="s">
        <v>3</v>
      </c>
      <c r="C747" s="29" t="s">
        <v>26</v>
      </c>
      <c r="D747" s="30">
        <v>44.66</v>
      </c>
      <c r="E747" s="36">
        <v>2.2871250000000005</v>
      </c>
      <c r="F747" s="36">
        <v>53.516293129651977</v>
      </c>
      <c r="G7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8" spans="1:7" x14ac:dyDescent="0.35">
      <c r="A748" s="46">
        <v>45989</v>
      </c>
      <c r="B748" s="40" t="s">
        <v>4</v>
      </c>
      <c r="C748" s="40" t="s">
        <v>26</v>
      </c>
      <c r="D748" s="33">
        <v>149.74</v>
      </c>
      <c r="E748" s="32">
        <v>2.2999999999999998</v>
      </c>
      <c r="F748" s="32">
        <v>52.5</v>
      </c>
      <c r="G7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49" spans="1:7" x14ac:dyDescent="0.35">
      <c r="A749" s="45">
        <v>46043</v>
      </c>
      <c r="B749" s="39" t="s">
        <v>2</v>
      </c>
      <c r="C749" s="39" t="s">
        <v>26</v>
      </c>
      <c r="D749" s="30">
        <v>159.26</v>
      </c>
      <c r="E749" s="29">
        <v>2.2999999999999998</v>
      </c>
      <c r="F749" s="29">
        <v>52.8</v>
      </c>
      <c r="G7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0" spans="1:7" x14ac:dyDescent="0.35">
      <c r="A750" s="48">
        <v>45745</v>
      </c>
      <c r="B750" s="32" t="s">
        <v>6</v>
      </c>
      <c r="C750" s="32" t="s">
        <v>26</v>
      </c>
      <c r="D750" s="33">
        <v>206.57</v>
      </c>
      <c r="E750" s="34">
        <v>2.303175</v>
      </c>
      <c r="F750" s="52">
        <v>51.573381373620904</v>
      </c>
      <c r="G7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1" spans="1:7" x14ac:dyDescent="0.35">
      <c r="A751" s="47">
        <v>45727</v>
      </c>
      <c r="B751" s="29" t="s">
        <v>6</v>
      </c>
      <c r="C751" s="29" t="s">
        <v>26</v>
      </c>
      <c r="D751" s="30">
        <v>172.2</v>
      </c>
      <c r="E751" s="31">
        <v>2.30585</v>
      </c>
      <c r="F751" s="51">
        <v>52.726960460834079</v>
      </c>
      <c r="G7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2" spans="1:7" x14ac:dyDescent="0.35">
      <c r="A752" s="45">
        <v>45777</v>
      </c>
      <c r="B752" s="29" t="s">
        <v>6</v>
      </c>
      <c r="C752" s="29" t="s">
        <v>26</v>
      </c>
      <c r="D752" s="30">
        <v>241.91</v>
      </c>
      <c r="E752" s="31">
        <v>2.30585</v>
      </c>
      <c r="F752" s="51">
        <v>53.719261369315348</v>
      </c>
      <c r="G7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3" spans="1:7" x14ac:dyDescent="0.35">
      <c r="A753" s="45">
        <v>45687</v>
      </c>
      <c r="B753" s="29" t="s">
        <v>6</v>
      </c>
      <c r="C753" s="29" t="s">
        <v>26</v>
      </c>
      <c r="D753" s="30">
        <v>614.82000000000005</v>
      </c>
      <c r="E753" s="31">
        <v>2.3085250000000004</v>
      </c>
      <c r="F753" s="51">
        <v>53.446621892803599</v>
      </c>
      <c r="G7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4" spans="1:7" x14ac:dyDescent="0.35">
      <c r="A754" s="45">
        <v>45754</v>
      </c>
      <c r="B754" s="29" t="s">
        <v>6</v>
      </c>
      <c r="C754" s="29" t="s">
        <v>26</v>
      </c>
      <c r="D754" s="30">
        <v>541.33000000000004</v>
      </c>
      <c r="E754" s="31">
        <v>2.3138750000000003</v>
      </c>
      <c r="F754" s="51">
        <v>53.401245377311341</v>
      </c>
      <c r="G7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5" spans="1:7" x14ac:dyDescent="0.35">
      <c r="A755" s="47">
        <v>45709</v>
      </c>
      <c r="B755" s="29" t="s">
        <v>6</v>
      </c>
      <c r="C755" s="29" t="s">
        <v>26</v>
      </c>
      <c r="D755" s="30">
        <v>237.93</v>
      </c>
      <c r="E755" s="31">
        <v>2.3192250000000003</v>
      </c>
      <c r="F755" s="51">
        <v>53.051048828734253</v>
      </c>
      <c r="G7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6" spans="1:7" x14ac:dyDescent="0.35">
      <c r="A756" s="47">
        <v>45724</v>
      </c>
      <c r="B756" s="29" t="s">
        <v>6</v>
      </c>
      <c r="C756" s="29" t="s">
        <v>26</v>
      </c>
      <c r="D756" s="30">
        <v>188.48</v>
      </c>
      <c r="E756" s="31">
        <v>2.3218999999999999</v>
      </c>
      <c r="F756" s="51">
        <v>52.68369451510334</v>
      </c>
      <c r="G7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7" spans="1:7" x14ac:dyDescent="0.35">
      <c r="A757" s="45">
        <v>46042</v>
      </c>
      <c r="B757" s="39" t="s">
        <v>6</v>
      </c>
      <c r="C757" s="39" t="s">
        <v>26</v>
      </c>
      <c r="D757" s="30">
        <v>110.88</v>
      </c>
      <c r="E757" s="41">
        <v>2.3218999999999999</v>
      </c>
      <c r="F757" s="57">
        <v>53.284574824670955</v>
      </c>
      <c r="G7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8" spans="1:7" x14ac:dyDescent="0.35">
      <c r="A758" s="46">
        <v>45812</v>
      </c>
      <c r="B758" s="32" t="s">
        <v>4</v>
      </c>
      <c r="C758" s="32" t="s">
        <v>26</v>
      </c>
      <c r="D758" s="33">
        <v>195.81</v>
      </c>
      <c r="E758" s="35">
        <v>2.33</v>
      </c>
      <c r="F758" s="35">
        <v>53.316700561541964</v>
      </c>
      <c r="G7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59" spans="1:7" x14ac:dyDescent="0.35">
      <c r="A759" s="45">
        <v>45897</v>
      </c>
      <c r="B759" s="39" t="s">
        <v>2</v>
      </c>
      <c r="C759" s="39" t="s">
        <v>26</v>
      </c>
      <c r="D759" s="30">
        <v>294.42</v>
      </c>
      <c r="E759" s="31">
        <v>2.33</v>
      </c>
      <c r="F759" s="36">
        <v>51.909337936252726</v>
      </c>
      <c r="G7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0" spans="1:7" x14ac:dyDescent="0.35">
      <c r="A760" s="45">
        <v>45787</v>
      </c>
      <c r="B760" s="29" t="s">
        <v>3</v>
      </c>
      <c r="C760" s="29" t="s">
        <v>26</v>
      </c>
      <c r="D760" s="30">
        <v>67.16</v>
      </c>
      <c r="E760" s="36">
        <v>2.3379500000000002</v>
      </c>
      <c r="F760" s="36">
        <v>52.540456651051528</v>
      </c>
      <c r="G7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1" spans="1:7" x14ac:dyDescent="0.35">
      <c r="A761" s="49">
        <v>45787</v>
      </c>
      <c r="B761" s="40" t="s">
        <v>8</v>
      </c>
      <c r="C761" s="40" t="s">
        <v>27</v>
      </c>
      <c r="D761" s="33">
        <v>156.14099999999999</v>
      </c>
      <c r="E761" s="42">
        <v>2.3379500000000002</v>
      </c>
      <c r="F761" s="56">
        <v>52.868927465855847</v>
      </c>
      <c r="G7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2" spans="1:7" x14ac:dyDescent="0.35">
      <c r="A762" s="46">
        <v>45926</v>
      </c>
      <c r="B762" s="40" t="s">
        <v>8</v>
      </c>
      <c r="C762" s="40" t="s">
        <v>27</v>
      </c>
      <c r="D762" s="33">
        <v>1066.7439999999999</v>
      </c>
      <c r="E762" s="32">
        <v>2.34</v>
      </c>
      <c r="F762" s="32">
        <v>52.4</v>
      </c>
      <c r="G7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3" spans="1:7" x14ac:dyDescent="0.35">
      <c r="A763" s="46">
        <v>45754</v>
      </c>
      <c r="B763" s="32" t="s">
        <v>3</v>
      </c>
      <c r="C763" s="32" t="s">
        <v>26</v>
      </c>
      <c r="D763" s="33">
        <v>130.02000000000001</v>
      </c>
      <c r="E763" s="35">
        <v>2.3406250000000002</v>
      </c>
      <c r="F763" s="35">
        <v>53.521167809600641</v>
      </c>
      <c r="G7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4" spans="1:7" x14ac:dyDescent="0.35">
      <c r="A764" s="45">
        <v>45754</v>
      </c>
      <c r="B764" s="29" t="s">
        <v>3</v>
      </c>
      <c r="C764" s="29" t="s">
        <v>26</v>
      </c>
      <c r="D764" s="30">
        <v>130.02000000000001</v>
      </c>
      <c r="E764" s="36">
        <v>2.3406250000000002</v>
      </c>
      <c r="F764" s="36">
        <v>53.521167809600641</v>
      </c>
      <c r="G7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5" spans="1:7" x14ac:dyDescent="0.35">
      <c r="A765" s="46">
        <v>45786</v>
      </c>
      <c r="B765" s="32" t="s">
        <v>3</v>
      </c>
      <c r="C765" s="32" t="s">
        <v>26</v>
      </c>
      <c r="D765" s="33">
        <v>67.16</v>
      </c>
      <c r="E765" s="35">
        <v>2.3406250000000002</v>
      </c>
      <c r="F765" s="35">
        <v>53.148328220551377</v>
      </c>
      <c r="G7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6" spans="1:7" x14ac:dyDescent="0.35">
      <c r="A766" s="45">
        <v>45754</v>
      </c>
      <c r="B766" s="29" t="s">
        <v>4</v>
      </c>
      <c r="C766" s="29" t="s">
        <v>26</v>
      </c>
      <c r="D766" s="30">
        <v>47.33</v>
      </c>
      <c r="E766" s="36">
        <v>2.3540000000000005</v>
      </c>
      <c r="F766" s="36">
        <v>53.11716447051684</v>
      </c>
      <c r="G7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7" spans="1:7" x14ac:dyDescent="0.35">
      <c r="A767" s="45">
        <v>45785</v>
      </c>
      <c r="B767" s="29" t="s">
        <v>6</v>
      </c>
      <c r="C767" s="29" t="s">
        <v>26</v>
      </c>
      <c r="D767" s="30">
        <v>367.86</v>
      </c>
      <c r="E767" s="31">
        <v>2.3647</v>
      </c>
      <c r="F767" s="51">
        <v>53.164302073775417</v>
      </c>
      <c r="G7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8" spans="1:7" x14ac:dyDescent="0.35">
      <c r="A768" s="45">
        <v>45756</v>
      </c>
      <c r="B768" s="29" t="s">
        <v>9</v>
      </c>
      <c r="C768" s="29" t="s">
        <v>26</v>
      </c>
      <c r="D768" s="30">
        <v>170.94</v>
      </c>
      <c r="E768" s="31">
        <v>2.37005</v>
      </c>
      <c r="F768" s="51">
        <v>52.997317317317311</v>
      </c>
      <c r="G7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69" spans="1:7" x14ac:dyDescent="0.35">
      <c r="A769" s="46">
        <v>45756</v>
      </c>
      <c r="B769" s="32" t="s">
        <v>9</v>
      </c>
      <c r="C769" s="32" t="s">
        <v>26</v>
      </c>
      <c r="D769" s="33">
        <v>170.94</v>
      </c>
      <c r="E769" s="34">
        <v>2.37005</v>
      </c>
      <c r="F769" s="52">
        <v>52.997317317317311</v>
      </c>
      <c r="G7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0" spans="1:7" x14ac:dyDescent="0.35">
      <c r="A770" s="45">
        <v>46038</v>
      </c>
      <c r="B770" s="39" t="s">
        <v>6</v>
      </c>
      <c r="C770" s="39" t="s">
        <v>26</v>
      </c>
      <c r="D770" s="30">
        <v>30.14</v>
      </c>
      <c r="E770" s="41">
        <v>2.37005</v>
      </c>
      <c r="F770" s="55">
        <v>53.555492861998637</v>
      </c>
      <c r="G7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1" spans="1:7" x14ac:dyDescent="0.35">
      <c r="A771" s="47">
        <v>45713</v>
      </c>
      <c r="B771" s="29" t="s">
        <v>6</v>
      </c>
      <c r="C771" s="29" t="s">
        <v>26</v>
      </c>
      <c r="D771" s="30">
        <v>446.61</v>
      </c>
      <c r="E771" s="31">
        <v>2.3780750000000004</v>
      </c>
      <c r="F771" s="51">
        <v>52.92755389221557</v>
      </c>
      <c r="G7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2" spans="1:7" x14ac:dyDescent="0.35">
      <c r="A772" s="48">
        <v>45714</v>
      </c>
      <c r="B772" s="32" t="s">
        <v>6</v>
      </c>
      <c r="C772" s="32" t="s">
        <v>26</v>
      </c>
      <c r="D772" s="33">
        <v>348.17</v>
      </c>
      <c r="E772" s="34">
        <v>2.3780750000000004</v>
      </c>
      <c r="F772" s="52">
        <v>52.92755389221557</v>
      </c>
      <c r="G7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3" spans="1:7" x14ac:dyDescent="0.35">
      <c r="A773" s="47">
        <v>45715</v>
      </c>
      <c r="B773" s="29" t="s">
        <v>6</v>
      </c>
      <c r="C773" s="29" t="s">
        <v>26</v>
      </c>
      <c r="D773" s="30">
        <v>527.48</v>
      </c>
      <c r="E773" s="31">
        <v>2.3780750000000004</v>
      </c>
      <c r="F773" s="51">
        <v>52.92755389221557</v>
      </c>
      <c r="G7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4" spans="1:7" x14ac:dyDescent="0.35">
      <c r="A774" s="48">
        <v>45744</v>
      </c>
      <c r="B774" s="32" t="s">
        <v>4</v>
      </c>
      <c r="C774" s="32" t="s">
        <v>26</v>
      </c>
      <c r="D774" s="33">
        <v>24.41</v>
      </c>
      <c r="E774" s="35">
        <v>2.3780750000000004</v>
      </c>
      <c r="F774" s="35">
        <v>52.615537782760335</v>
      </c>
      <c r="G7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5" spans="1:7" x14ac:dyDescent="0.35">
      <c r="A775" s="46">
        <v>45836</v>
      </c>
      <c r="B775" s="32" t="s">
        <v>3</v>
      </c>
      <c r="C775" s="32" t="s">
        <v>26</v>
      </c>
      <c r="D775" s="33">
        <v>92.98</v>
      </c>
      <c r="E775" s="35">
        <v>2.3780750000000004</v>
      </c>
      <c r="F775" s="35">
        <v>52.364773980154354</v>
      </c>
      <c r="G7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6" spans="1:7" x14ac:dyDescent="0.35">
      <c r="A776" s="46">
        <v>45812</v>
      </c>
      <c r="B776" s="32" t="s">
        <v>6</v>
      </c>
      <c r="C776" s="32" t="s">
        <v>26</v>
      </c>
      <c r="D776" s="33">
        <v>240.32</v>
      </c>
      <c r="E776" s="34">
        <v>2.38</v>
      </c>
      <c r="F776" s="52">
        <v>53.099235836627145</v>
      </c>
      <c r="G7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7" spans="1:7" x14ac:dyDescent="0.35">
      <c r="A777" s="45">
        <v>45805</v>
      </c>
      <c r="B777" s="29" t="s">
        <v>6</v>
      </c>
      <c r="C777" s="29" t="s">
        <v>26</v>
      </c>
      <c r="D777" s="30">
        <v>717.78</v>
      </c>
      <c r="E777" s="31">
        <v>2.3887749999999999</v>
      </c>
      <c r="F777" s="51">
        <v>53.162182259716253</v>
      </c>
      <c r="G7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8" spans="1:7" x14ac:dyDescent="0.35">
      <c r="A778" s="45">
        <v>45860</v>
      </c>
      <c r="B778" s="29" t="s">
        <v>2</v>
      </c>
      <c r="C778" s="29" t="s">
        <v>26</v>
      </c>
      <c r="D778" s="30">
        <v>319.01</v>
      </c>
      <c r="E778" s="31">
        <v>2.39</v>
      </c>
      <c r="F778" s="36">
        <v>52.160010004168399</v>
      </c>
      <c r="G7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79" spans="1:7" x14ac:dyDescent="0.35">
      <c r="A779" s="45">
        <v>45799</v>
      </c>
      <c r="B779" s="29" t="s">
        <v>4</v>
      </c>
      <c r="C779" s="29" t="s">
        <v>26</v>
      </c>
      <c r="D779" s="30">
        <v>145.72</v>
      </c>
      <c r="E779" s="36">
        <v>2.3914499999999999</v>
      </c>
      <c r="F779" s="36">
        <v>52.977592322464496</v>
      </c>
      <c r="G7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0" spans="1:7" x14ac:dyDescent="0.35">
      <c r="A780" s="45">
        <v>45792</v>
      </c>
      <c r="B780" s="29" t="s">
        <v>3</v>
      </c>
      <c r="C780" s="29" t="s">
        <v>26</v>
      </c>
      <c r="D780" s="30">
        <v>44.06</v>
      </c>
      <c r="E780" s="36">
        <v>2.3968000000000003</v>
      </c>
      <c r="F780" s="36">
        <v>50.482820424869431</v>
      </c>
      <c r="G7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1" spans="1:7" x14ac:dyDescent="0.35">
      <c r="A781" s="47">
        <v>45911</v>
      </c>
      <c r="B781" s="39" t="s">
        <v>4</v>
      </c>
      <c r="C781" s="39" t="s">
        <v>26</v>
      </c>
      <c r="D781" s="30">
        <v>73.760000000000005</v>
      </c>
      <c r="E781" s="36">
        <v>2.4</v>
      </c>
      <c r="F781" s="53">
        <v>52.931287128712874</v>
      </c>
      <c r="G7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2" spans="1:7" x14ac:dyDescent="0.35">
      <c r="A782" s="49">
        <v>45783</v>
      </c>
      <c r="B782" s="40" t="s">
        <v>8</v>
      </c>
      <c r="C782" s="40" t="s">
        <v>27</v>
      </c>
      <c r="D782" s="33">
        <v>143.50299999999999</v>
      </c>
      <c r="E782" s="32">
        <v>2.4</v>
      </c>
      <c r="F782" s="32">
        <v>53</v>
      </c>
      <c r="G7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3" spans="1:7" x14ac:dyDescent="0.35">
      <c r="A783" s="50">
        <v>45784</v>
      </c>
      <c r="B783" s="39" t="s">
        <v>8</v>
      </c>
      <c r="C783" s="39" t="s">
        <v>27</v>
      </c>
      <c r="D783" s="30">
        <v>269.76600000000002</v>
      </c>
      <c r="E783" s="29">
        <v>2.4</v>
      </c>
      <c r="F783" s="29">
        <v>53</v>
      </c>
      <c r="G7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4" spans="1:7" x14ac:dyDescent="0.35">
      <c r="A784" s="49">
        <v>45785</v>
      </c>
      <c r="B784" s="40" t="s">
        <v>8</v>
      </c>
      <c r="C784" s="40" t="s">
        <v>27</v>
      </c>
      <c r="D784" s="33">
        <v>234.94399999999999</v>
      </c>
      <c r="E784" s="32">
        <v>2.4</v>
      </c>
      <c r="F784" s="32">
        <v>53</v>
      </c>
      <c r="G7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5" spans="1:7" x14ac:dyDescent="0.35">
      <c r="A785" s="50">
        <v>45786</v>
      </c>
      <c r="B785" s="39" t="s">
        <v>8</v>
      </c>
      <c r="C785" s="39" t="s">
        <v>27</v>
      </c>
      <c r="D785" s="30">
        <v>222.05099999999999</v>
      </c>
      <c r="E785" s="29">
        <v>2.4</v>
      </c>
      <c r="F785" s="29">
        <v>53</v>
      </c>
      <c r="G7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6" spans="1:7" x14ac:dyDescent="0.35">
      <c r="A786" s="46">
        <v>45925</v>
      </c>
      <c r="B786" s="40" t="s">
        <v>4</v>
      </c>
      <c r="C786" s="40" t="s">
        <v>26</v>
      </c>
      <c r="D786" s="33">
        <v>151.76</v>
      </c>
      <c r="E786" s="43">
        <v>2.4</v>
      </c>
      <c r="F786" s="43">
        <v>52.5</v>
      </c>
      <c r="G7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7" spans="1:7" x14ac:dyDescent="0.35">
      <c r="A787" s="45">
        <v>45997</v>
      </c>
      <c r="B787" s="39" t="s">
        <v>6</v>
      </c>
      <c r="C787" s="39" t="s">
        <v>26</v>
      </c>
      <c r="D787" s="30">
        <v>258.2</v>
      </c>
      <c r="E787" s="29">
        <v>2.4</v>
      </c>
      <c r="F787" s="29">
        <v>54.1</v>
      </c>
      <c r="G7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8" spans="1:7" x14ac:dyDescent="0.35">
      <c r="A788" s="48">
        <v>45719</v>
      </c>
      <c r="B788" s="32" t="s">
        <v>2</v>
      </c>
      <c r="C788" s="32" t="s">
        <v>26</v>
      </c>
      <c r="D788" s="33">
        <v>171.35333333333335</v>
      </c>
      <c r="E788" s="34">
        <v>2.4021500000000002</v>
      </c>
      <c r="F788" s="35">
        <v>53.087507840681369</v>
      </c>
      <c r="G7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89" spans="1:7" x14ac:dyDescent="0.35">
      <c r="A789" s="45">
        <v>45936</v>
      </c>
      <c r="B789" s="39" t="s">
        <v>7</v>
      </c>
      <c r="C789" s="39" t="s">
        <v>26</v>
      </c>
      <c r="D789" s="30">
        <v>76.36</v>
      </c>
      <c r="E789" s="41">
        <v>2.41</v>
      </c>
      <c r="F789" s="44">
        <v>53.414987971130707</v>
      </c>
      <c r="G7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90" spans="1:7" x14ac:dyDescent="0.35">
      <c r="A790" s="47">
        <v>45694</v>
      </c>
      <c r="B790" s="29" t="s">
        <v>5</v>
      </c>
      <c r="C790" s="29" t="s">
        <v>26</v>
      </c>
      <c r="D790" s="30">
        <v>139.63</v>
      </c>
      <c r="E790" s="31">
        <v>2.4128500000000002</v>
      </c>
      <c r="F790" s="51">
        <v>52.813708679359934</v>
      </c>
      <c r="G7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91" spans="1:7" x14ac:dyDescent="0.35">
      <c r="A791" s="45">
        <v>45796</v>
      </c>
      <c r="B791" s="29" t="s">
        <v>6</v>
      </c>
      <c r="C791" s="29" t="s">
        <v>26</v>
      </c>
      <c r="D791" s="30">
        <v>82.54</v>
      </c>
      <c r="E791" s="31">
        <v>2.4128500000000002</v>
      </c>
      <c r="F791" s="51">
        <v>53.419773819055244</v>
      </c>
      <c r="G7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92" spans="1:7" x14ac:dyDescent="0.35">
      <c r="A792" s="46">
        <v>45922</v>
      </c>
      <c r="B792" s="40" t="s">
        <v>3</v>
      </c>
      <c r="C792" s="40" t="s">
        <v>26</v>
      </c>
      <c r="D792" s="33">
        <v>43.08</v>
      </c>
      <c r="E792" s="35">
        <v>2.42</v>
      </c>
      <c r="F792" s="35">
        <v>52.687533632287</v>
      </c>
      <c r="G7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93" spans="1:7" x14ac:dyDescent="0.35">
      <c r="A793" s="45">
        <v>45684</v>
      </c>
      <c r="B793" s="29" t="s">
        <v>6</v>
      </c>
      <c r="C793" s="29" t="s">
        <v>26</v>
      </c>
      <c r="D793" s="30">
        <v>339.07</v>
      </c>
      <c r="E793" s="31">
        <v>2.4235500000000001</v>
      </c>
      <c r="F793" s="51">
        <v>53.291775000000001</v>
      </c>
      <c r="G7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94" spans="1:7" x14ac:dyDescent="0.35">
      <c r="A794" s="45">
        <v>45780</v>
      </c>
      <c r="B794" s="29" t="s">
        <v>6</v>
      </c>
      <c r="C794" s="29" t="s">
        <v>26</v>
      </c>
      <c r="D794" s="30">
        <v>394.57</v>
      </c>
      <c r="E794" s="31">
        <v>2.4235500000000001</v>
      </c>
      <c r="F794" s="51">
        <v>53.02664658909309</v>
      </c>
      <c r="G7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795" spans="1:7" x14ac:dyDescent="0.35">
      <c r="A795" s="46">
        <v>45919</v>
      </c>
      <c r="B795" s="40" t="s">
        <v>4</v>
      </c>
      <c r="C795" s="40" t="s">
        <v>26</v>
      </c>
      <c r="D795" s="33">
        <v>101.75</v>
      </c>
      <c r="E795" s="35">
        <v>2.4300000000000002</v>
      </c>
      <c r="F795" s="35">
        <v>53.174499612102402</v>
      </c>
      <c r="G7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796" spans="1:7" x14ac:dyDescent="0.35">
      <c r="A796" s="46">
        <v>45667</v>
      </c>
      <c r="B796" s="32" t="s">
        <v>5</v>
      </c>
      <c r="C796" s="32" t="s">
        <v>26</v>
      </c>
      <c r="D796" s="33">
        <v>32.99</v>
      </c>
      <c r="E796" s="34">
        <v>2.43425</v>
      </c>
      <c r="F796" s="52">
        <v>52.39142212300991</v>
      </c>
      <c r="G7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797" spans="1:7" x14ac:dyDescent="0.35">
      <c r="A797" s="45">
        <v>45668</v>
      </c>
      <c r="B797" s="29" t="s">
        <v>6</v>
      </c>
      <c r="C797" s="29" t="s">
        <v>26</v>
      </c>
      <c r="D797" s="30">
        <v>335.36</v>
      </c>
      <c r="E797" s="31">
        <v>2.4396</v>
      </c>
      <c r="F797" s="51">
        <v>53.232114618746962</v>
      </c>
      <c r="G7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798" spans="1:7" x14ac:dyDescent="0.35">
      <c r="A798" s="45">
        <v>45815</v>
      </c>
      <c r="B798" s="29" t="s">
        <v>6</v>
      </c>
      <c r="C798" s="29" t="s">
        <v>26</v>
      </c>
      <c r="D798" s="30">
        <v>25.4</v>
      </c>
      <c r="E798" s="31">
        <v>2.44</v>
      </c>
      <c r="F798" s="51">
        <v>51.74842232202262</v>
      </c>
      <c r="G7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799" spans="1:7" x14ac:dyDescent="0.35">
      <c r="A799" s="45">
        <v>45912</v>
      </c>
      <c r="B799" s="39" t="s">
        <v>6</v>
      </c>
      <c r="C799" s="39" t="s">
        <v>26</v>
      </c>
      <c r="D799" s="30">
        <v>209.23</v>
      </c>
      <c r="E799" s="31">
        <v>2.44</v>
      </c>
      <c r="F799" s="51">
        <v>53.07240535818287</v>
      </c>
      <c r="G7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0" spans="1:7" x14ac:dyDescent="0.35">
      <c r="A800" s="46">
        <v>46050</v>
      </c>
      <c r="B800" s="40" t="s">
        <v>18</v>
      </c>
      <c r="C800" s="40" t="s">
        <v>27</v>
      </c>
      <c r="D800" s="33">
        <v>332.2</v>
      </c>
      <c r="E800" s="32">
        <v>2.44</v>
      </c>
      <c r="F800" s="32">
        <v>52.4</v>
      </c>
      <c r="G8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1" spans="1:7" x14ac:dyDescent="0.35">
      <c r="A801" s="46">
        <v>45688</v>
      </c>
      <c r="B801" s="32" t="s">
        <v>6</v>
      </c>
      <c r="C801" s="32" t="s">
        <v>26</v>
      </c>
      <c r="D801" s="33">
        <v>905.68</v>
      </c>
      <c r="E801" s="34">
        <v>2.4422750000000004</v>
      </c>
      <c r="F801" s="52">
        <v>53.375025565633408</v>
      </c>
      <c r="G8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2" spans="1:7" x14ac:dyDescent="0.35">
      <c r="A802" s="47">
        <v>45689</v>
      </c>
      <c r="B802" s="29" t="s">
        <v>6</v>
      </c>
      <c r="C802" s="29" t="s">
        <v>26</v>
      </c>
      <c r="D802" s="30">
        <v>137.19</v>
      </c>
      <c r="E802" s="31">
        <v>2.4422750000000004</v>
      </c>
      <c r="F802" s="51">
        <v>53.375025565633408</v>
      </c>
      <c r="G8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3" spans="1:7" x14ac:dyDescent="0.35">
      <c r="A803" s="45">
        <v>45817</v>
      </c>
      <c r="B803" s="29" t="s">
        <v>2</v>
      </c>
      <c r="C803" s="29" t="s">
        <v>26</v>
      </c>
      <c r="D803" s="30">
        <v>332.06</v>
      </c>
      <c r="E803" s="31">
        <v>2.4500000000000002</v>
      </c>
      <c r="F803" s="36">
        <v>52.74923729518423</v>
      </c>
      <c r="G8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4" spans="1:7" x14ac:dyDescent="0.35">
      <c r="A804" s="45">
        <v>45881</v>
      </c>
      <c r="B804" s="39" t="s">
        <v>4</v>
      </c>
      <c r="C804" s="39" t="s">
        <v>26</v>
      </c>
      <c r="D804" s="30">
        <v>218.95</v>
      </c>
      <c r="E804" s="36">
        <v>2.4500000000000002</v>
      </c>
      <c r="F804" s="36">
        <v>52.855878626208735</v>
      </c>
      <c r="G8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5" spans="1:7" x14ac:dyDescent="0.35">
      <c r="A805" s="45">
        <v>45917</v>
      </c>
      <c r="B805" s="39" t="s">
        <v>4</v>
      </c>
      <c r="C805" s="39" t="s">
        <v>26</v>
      </c>
      <c r="D805" s="30">
        <v>151.5</v>
      </c>
      <c r="E805" s="36">
        <v>2.46</v>
      </c>
      <c r="F805" s="36">
        <v>53.396123880958143</v>
      </c>
      <c r="G8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6" spans="1:7" x14ac:dyDescent="0.35">
      <c r="A806" s="45">
        <v>45933</v>
      </c>
      <c r="B806" s="39" t="s">
        <v>2</v>
      </c>
      <c r="C806" s="39" t="s">
        <v>26</v>
      </c>
      <c r="D806" s="30">
        <v>191.29</v>
      </c>
      <c r="E806" s="41">
        <v>2.46</v>
      </c>
      <c r="F806" s="44">
        <v>50.518567745155117</v>
      </c>
      <c r="G8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7" spans="1:7" x14ac:dyDescent="0.35">
      <c r="A807" s="50">
        <v>45782</v>
      </c>
      <c r="B807" s="39" t="s">
        <v>8</v>
      </c>
      <c r="C807" s="39" t="s">
        <v>27</v>
      </c>
      <c r="D807" s="30">
        <v>271.113</v>
      </c>
      <c r="E807" s="41">
        <v>2.4636750000000003</v>
      </c>
      <c r="F807" s="55">
        <v>53.042758229665075</v>
      </c>
      <c r="G8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8" spans="1:7" x14ac:dyDescent="0.35">
      <c r="A808" s="50">
        <v>45796</v>
      </c>
      <c r="B808" s="39" t="s">
        <v>8</v>
      </c>
      <c r="C808" s="39" t="s">
        <v>27</v>
      </c>
      <c r="D808" s="30">
        <v>155.34</v>
      </c>
      <c r="E808" s="41">
        <v>2.4636750000000003</v>
      </c>
      <c r="F808" s="55">
        <v>53.523927522797877</v>
      </c>
      <c r="G8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09" spans="1:7" x14ac:dyDescent="0.35">
      <c r="A809" s="47">
        <v>45691</v>
      </c>
      <c r="B809" s="29" t="s">
        <v>6</v>
      </c>
      <c r="C809" s="29" t="s">
        <v>26</v>
      </c>
      <c r="D809" s="30">
        <v>490.27</v>
      </c>
      <c r="E809" s="31">
        <v>2.4850749999999997</v>
      </c>
      <c r="F809" s="51">
        <v>52.858330744526647</v>
      </c>
      <c r="G8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0" spans="1:7" x14ac:dyDescent="0.35">
      <c r="A810" s="45">
        <v>45904</v>
      </c>
      <c r="B810" s="39" t="s">
        <v>6</v>
      </c>
      <c r="C810" s="39" t="s">
        <v>26</v>
      </c>
      <c r="D810" s="30">
        <v>111.59</v>
      </c>
      <c r="E810" s="31">
        <v>2.4900000000000002</v>
      </c>
      <c r="F810" s="51">
        <v>53.168836801203312</v>
      </c>
      <c r="G8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1" spans="1:7" x14ac:dyDescent="0.35">
      <c r="A811" s="45">
        <v>45994</v>
      </c>
      <c r="B811" s="39" t="s">
        <v>6</v>
      </c>
      <c r="C811" s="39" t="s">
        <v>26</v>
      </c>
      <c r="D811" s="30">
        <v>232.44</v>
      </c>
      <c r="E811" s="29">
        <v>2.4900000000000002</v>
      </c>
      <c r="F811" s="29">
        <v>52.6</v>
      </c>
      <c r="G8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2" spans="1:7" x14ac:dyDescent="0.35">
      <c r="A812" s="46">
        <v>45762</v>
      </c>
      <c r="B812" s="32" t="s">
        <v>6</v>
      </c>
      <c r="C812" s="32" t="s">
        <v>26</v>
      </c>
      <c r="D812" s="33">
        <v>238.69</v>
      </c>
      <c r="E812" s="34">
        <v>2.4984500000000001</v>
      </c>
      <c r="F812" s="52">
        <v>53.150148099538427</v>
      </c>
      <c r="G8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3" spans="1:7" x14ac:dyDescent="0.35">
      <c r="A813" s="45">
        <v>45692</v>
      </c>
      <c r="B813" s="29" t="s">
        <v>2</v>
      </c>
      <c r="C813" s="29" t="s">
        <v>26</v>
      </c>
      <c r="D813" s="30">
        <v>303.42</v>
      </c>
      <c r="E813" s="31">
        <v>2.5</v>
      </c>
      <c r="F813" s="36">
        <v>54.084384787542497</v>
      </c>
      <c r="G8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4" spans="1:7" x14ac:dyDescent="0.35">
      <c r="A814" s="46">
        <v>45880</v>
      </c>
      <c r="B814" s="40" t="s">
        <v>4</v>
      </c>
      <c r="C814" s="40" t="s">
        <v>26</v>
      </c>
      <c r="D814" s="33">
        <v>223.17</v>
      </c>
      <c r="E814" s="34">
        <v>2.5</v>
      </c>
      <c r="F814" s="52">
        <v>53.278666888851859</v>
      </c>
      <c r="G8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5" spans="1:7" x14ac:dyDescent="0.35">
      <c r="A815" s="45">
        <v>45897</v>
      </c>
      <c r="B815" s="39" t="s">
        <v>5</v>
      </c>
      <c r="C815" s="39" t="s">
        <v>26</v>
      </c>
      <c r="D815" s="30">
        <v>106.64</v>
      </c>
      <c r="E815" s="31">
        <v>2.5</v>
      </c>
      <c r="F815" s="51">
        <v>52.753983029698027</v>
      </c>
      <c r="G8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6" spans="1:7" x14ac:dyDescent="0.35">
      <c r="A816" s="46">
        <v>45930</v>
      </c>
      <c r="B816" s="40" t="s">
        <v>3</v>
      </c>
      <c r="C816" s="40" t="s">
        <v>26</v>
      </c>
      <c r="D816" s="33">
        <v>90.98</v>
      </c>
      <c r="E816" s="32">
        <v>2.5</v>
      </c>
      <c r="F816" s="32">
        <v>52.3</v>
      </c>
      <c r="G8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7" spans="1:7" x14ac:dyDescent="0.35">
      <c r="A817" s="46">
        <v>45953</v>
      </c>
      <c r="B817" s="40" t="s">
        <v>4</v>
      </c>
      <c r="C817" s="40" t="s">
        <v>26</v>
      </c>
      <c r="D817" s="33">
        <v>153.31</v>
      </c>
      <c r="E817" s="32">
        <v>2.5</v>
      </c>
      <c r="F817" s="32">
        <v>53.2</v>
      </c>
      <c r="G8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8" spans="1:7" x14ac:dyDescent="0.35">
      <c r="A818" s="46">
        <v>45987</v>
      </c>
      <c r="B818" s="40" t="s">
        <v>3</v>
      </c>
      <c r="C818" s="40" t="s">
        <v>26</v>
      </c>
      <c r="D818" s="33">
        <v>90.28</v>
      </c>
      <c r="E818" s="32">
        <v>2.5</v>
      </c>
      <c r="F818" s="32">
        <v>51.9</v>
      </c>
      <c r="G8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19" spans="1:7" x14ac:dyDescent="0.35">
      <c r="A819" s="45">
        <v>46063</v>
      </c>
      <c r="B819" s="39" t="s">
        <v>3</v>
      </c>
      <c r="C819" s="39" t="s">
        <v>26</v>
      </c>
      <c r="D819" s="30">
        <v>72.84</v>
      </c>
      <c r="E819" s="29">
        <v>2.5</v>
      </c>
      <c r="F819" s="29">
        <v>52.8</v>
      </c>
      <c r="G8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0" spans="1:7" x14ac:dyDescent="0.35">
      <c r="A820" s="45">
        <v>45801</v>
      </c>
      <c r="B820" s="29" t="s">
        <v>4</v>
      </c>
      <c r="C820" s="29" t="s">
        <v>26</v>
      </c>
      <c r="D820" s="30">
        <v>97.72</v>
      </c>
      <c r="E820" s="36">
        <v>2.501125</v>
      </c>
      <c r="F820" s="36">
        <v>51.232135268437908</v>
      </c>
      <c r="G8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1" spans="1:7" x14ac:dyDescent="0.35">
      <c r="A821" s="48">
        <v>45730</v>
      </c>
      <c r="B821" s="32" t="s">
        <v>6</v>
      </c>
      <c r="C821" s="32" t="s">
        <v>26</v>
      </c>
      <c r="D821" s="33">
        <v>195.25</v>
      </c>
      <c r="E821" s="34">
        <v>2.5091500000000004</v>
      </c>
      <c r="F821" s="52">
        <v>52.540833029124279</v>
      </c>
      <c r="G8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2" spans="1:7" x14ac:dyDescent="0.35">
      <c r="A822" s="47">
        <v>45745</v>
      </c>
      <c r="B822" s="29" t="s">
        <v>5</v>
      </c>
      <c r="C822" s="29" t="s">
        <v>26</v>
      </c>
      <c r="D822" s="30">
        <v>137.12</v>
      </c>
      <c r="E822" s="31">
        <v>2.5091500000000004</v>
      </c>
      <c r="F822" s="51">
        <v>51.905215503712618</v>
      </c>
      <c r="G8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3" spans="1:7" x14ac:dyDescent="0.35">
      <c r="A823" s="45">
        <v>45993</v>
      </c>
      <c r="B823" s="39" t="s">
        <v>19</v>
      </c>
      <c r="C823" s="39" t="s">
        <v>29</v>
      </c>
      <c r="D823" s="30">
        <v>65</v>
      </c>
      <c r="E823" s="29">
        <v>2.5099999999999998</v>
      </c>
      <c r="F823" s="29">
        <v>52.8</v>
      </c>
      <c r="G8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4" spans="1:7" x14ac:dyDescent="0.35">
      <c r="A824" s="45">
        <v>46014</v>
      </c>
      <c r="B824" s="39" t="s">
        <v>2</v>
      </c>
      <c r="C824" s="39" t="s">
        <v>26</v>
      </c>
      <c r="D824" s="30">
        <v>279.17</v>
      </c>
      <c r="E824" s="41">
        <v>2.5099999999999998</v>
      </c>
      <c r="F824" s="44">
        <v>51.45751608961303</v>
      </c>
      <c r="G8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5" spans="1:7" x14ac:dyDescent="0.35">
      <c r="A825" s="47">
        <v>45719</v>
      </c>
      <c r="B825" s="29" t="s">
        <v>3</v>
      </c>
      <c r="C825" s="29" t="s">
        <v>26</v>
      </c>
      <c r="D825" s="30">
        <v>29.428000000000001</v>
      </c>
      <c r="E825" s="36">
        <v>2.5145000000000004</v>
      </c>
      <c r="F825" s="36">
        <v>53.22151169643746</v>
      </c>
      <c r="G8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6" spans="1:7" x14ac:dyDescent="0.35">
      <c r="A826" s="46">
        <v>46038</v>
      </c>
      <c r="B826" s="40" t="s">
        <v>3</v>
      </c>
      <c r="C826" s="40" t="s">
        <v>26</v>
      </c>
      <c r="D826" s="33">
        <v>48.8</v>
      </c>
      <c r="E826" s="43">
        <v>2.5198499999999999</v>
      </c>
      <c r="F826" s="43">
        <v>51.595813035551508</v>
      </c>
      <c r="G8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7" spans="1:7" x14ac:dyDescent="0.35">
      <c r="A827" s="45">
        <v>45814</v>
      </c>
      <c r="B827" s="29" t="s">
        <v>6</v>
      </c>
      <c r="C827" s="29" t="s">
        <v>26</v>
      </c>
      <c r="D827" s="30">
        <v>25.4</v>
      </c>
      <c r="E827" s="31">
        <v>2.52</v>
      </c>
      <c r="F827" s="51">
        <v>52.978015965408282</v>
      </c>
      <c r="G8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8" spans="1:7" x14ac:dyDescent="0.35">
      <c r="A828" s="45">
        <v>45814</v>
      </c>
      <c r="B828" s="29" t="s">
        <v>7</v>
      </c>
      <c r="C828" s="29" t="s">
        <v>26</v>
      </c>
      <c r="D828" s="30">
        <v>71.14</v>
      </c>
      <c r="E828" s="31">
        <v>2.52</v>
      </c>
      <c r="F828" s="36">
        <v>53.478618766131049</v>
      </c>
      <c r="G8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29" spans="1:7" x14ac:dyDescent="0.35">
      <c r="A829" s="45">
        <v>45925</v>
      </c>
      <c r="B829" s="39" t="s">
        <v>5</v>
      </c>
      <c r="C829" s="39" t="s">
        <v>26</v>
      </c>
      <c r="D829" s="30">
        <v>143.54</v>
      </c>
      <c r="E829" s="41">
        <v>2.52</v>
      </c>
      <c r="F829" s="55">
        <v>52.173846153846156</v>
      </c>
      <c r="G8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0" spans="1:7" x14ac:dyDescent="0.35">
      <c r="A830" s="45">
        <v>45671</v>
      </c>
      <c r="B830" s="29" t="s">
        <v>5</v>
      </c>
      <c r="C830" s="29" t="s">
        <v>26</v>
      </c>
      <c r="D830" s="30">
        <v>67.37</v>
      </c>
      <c r="E830" s="31">
        <v>2.5278749999999999</v>
      </c>
      <c r="F830" s="51">
        <v>51.818886467670829</v>
      </c>
      <c r="G8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1" spans="1:7" x14ac:dyDescent="0.35">
      <c r="A831" s="45">
        <v>45783</v>
      </c>
      <c r="B831" s="29" t="s">
        <v>6</v>
      </c>
      <c r="C831" s="29" t="s">
        <v>26</v>
      </c>
      <c r="D831" s="30">
        <v>103.27</v>
      </c>
      <c r="E831" s="31">
        <v>2.5305500000000003</v>
      </c>
      <c r="F831" s="51">
        <v>53.110793464136691</v>
      </c>
      <c r="G8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2" spans="1:7" x14ac:dyDescent="0.35">
      <c r="A832" s="45">
        <v>45821</v>
      </c>
      <c r="B832" s="29" t="s">
        <v>9</v>
      </c>
      <c r="C832" s="29" t="s">
        <v>26</v>
      </c>
      <c r="D832" s="30">
        <v>33.770000000000003</v>
      </c>
      <c r="E832" s="31">
        <v>2.5499999999999998</v>
      </c>
      <c r="F832" s="51">
        <v>52.78989674344718</v>
      </c>
      <c r="G8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3" spans="1:7" x14ac:dyDescent="0.35">
      <c r="A833" s="45">
        <v>45864</v>
      </c>
      <c r="B833" s="29" t="s">
        <v>3</v>
      </c>
      <c r="C833" s="29" t="s">
        <v>26</v>
      </c>
      <c r="D833" s="30">
        <v>44.94</v>
      </c>
      <c r="E833" s="36">
        <v>2.5499999999999998</v>
      </c>
      <c r="F833" s="36">
        <v>52.290654429369511</v>
      </c>
      <c r="G8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4" spans="1:7" x14ac:dyDescent="0.35">
      <c r="A834" s="47">
        <v>45712</v>
      </c>
      <c r="B834" s="29" t="s">
        <v>6</v>
      </c>
      <c r="C834" s="29" t="s">
        <v>26</v>
      </c>
      <c r="D834" s="30">
        <v>689.25</v>
      </c>
      <c r="E834" s="31">
        <v>2.5546250000000001</v>
      </c>
      <c r="F834" s="51">
        <v>52.926086525798034</v>
      </c>
      <c r="G8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5" spans="1:7" x14ac:dyDescent="0.35">
      <c r="A835" s="46">
        <v>45771</v>
      </c>
      <c r="B835" s="32" t="s">
        <v>4</v>
      </c>
      <c r="C835" s="32" t="s">
        <v>26</v>
      </c>
      <c r="D835" s="33">
        <v>148.94999999999999</v>
      </c>
      <c r="E835" s="35">
        <v>2.5546250000000001</v>
      </c>
      <c r="F835" s="35">
        <v>51.793917252747256</v>
      </c>
      <c r="G8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6" spans="1:7" x14ac:dyDescent="0.35">
      <c r="A836" s="46">
        <v>45757</v>
      </c>
      <c r="B836" s="32" t="s">
        <v>4</v>
      </c>
      <c r="C836" s="32" t="s">
        <v>26</v>
      </c>
      <c r="D836" s="33">
        <v>193.42</v>
      </c>
      <c r="E836" s="35">
        <v>2.5573000000000001</v>
      </c>
      <c r="F836" s="35">
        <v>53.20664690274841</v>
      </c>
      <c r="G8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7" spans="1:7" x14ac:dyDescent="0.35">
      <c r="A837" s="45">
        <v>45685</v>
      </c>
      <c r="B837" s="29" t="s">
        <v>6</v>
      </c>
      <c r="C837" s="29" t="s">
        <v>26</v>
      </c>
      <c r="D837" s="30">
        <v>649.92999999999995</v>
      </c>
      <c r="E837" s="31">
        <v>2.5599750000000001</v>
      </c>
      <c r="F837" s="51">
        <v>52.457728156952456</v>
      </c>
      <c r="G8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8" spans="1:7" x14ac:dyDescent="0.35">
      <c r="A838" s="45">
        <v>45908</v>
      </c>
      <c r="B838" s="39" t="s">
        <v>3</v>
      </c>
      <c r="C838" s="39" t="s">
        <v>26</v>
      </c>
      <c r="D838" s="30">
        <v>44.52</v>
      </c>
      <c r="E838" s="36">
        <v>2.56</v>
      </c>
      <c r="F838" s="36">
        <v>53.468205512532265</v>
      </c>
      <c r="G8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39" spans="1:7" x14ac:dyDescent="0.35">
      <c r="A839" s="48">
        <v>45721</v>
      </c>
      <c r="B839" s="32" t="s">
        <v>4</v>
      </c>
      <c r="C839" s="32" t="s">
        <v>26</v>
      </c>
      <c r="D839" s="33">
        <v>146.86000000000001</v>
      </c>
      <c r="E839" s="35">
        <v>2.5626500000000001</v>
      </c>
      <c r="F839" s="35">
        <v>53.023507499999994</v>
      </c>
      <c r="G8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0" spans="1:7" x14ac:dyDescent="0.35">
      <c r="A840" s="46">
        <v>45819</v>
      </c>
      <c r="B840" s="32" t="s">
        <v>9</v>
      </c>
      <c r="C840" s="32" t="s">
        <v>26</v>
      </c>
      <c r="D840" s="33">
        <v>104.31</v>
      </c>
      <c r="E840" s="34">
        <v>2.57</v>
      </c>
      <c r="F840" s="52">
        <v>53.327369353410099</v>
      </c>
      <c r="G8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1" spans="1:7" x14ac:dyDescent="0.35">
      <c r="A841" s="48">
        <v>45694</v>
      </c>
      <c r="B841" s="32" t="s">
        <v>2</v>
      </c>
      <c r="C841" s="32" t="s">
        <v>26</v>
      </c>
      <c r="D841" s="33">
        <v>403.26</v>
      </c>
      <c r="E841" s="34">
        <v>2.57335</v>
      </c>
      <c r="F841" s="52">
        <v>50.245641967122459</v>
      </c>
      <c r="G8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2" spans="1:7" x14ac:dyDescent="0.35">
      <c r="A842" s="46">
        <v>45776</v>
      </c>
      <c r="B842" s="32" t="s">
        <v>6</v>
      </c>
      <c r="C842" s="32" t="s">
        <v>26</v>
      </c>
      <c r="D842" s="33">
        <v>313.3</v>
      </c>
      <c r="E842" s="34">
        <v>2.5813750000000004</v>
      </c>
      <c r="F842" s="52">
        <v>52.345682715589959</v>
      </c>
      <c r="G8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3" spans="1:7" x14ac:dyDescent="0.35">
      <c r="A843" s="46">
        <v>45797</v>
      </c>
      <c r="B843" s="32" t="s">
        <v>3</v>
      </c>
      <c r="C843" s="32" t="s">
        <v>26</v>
      </c>
      <c r="D843" s="33">
        <v>22.02</v>
      </c>
      <c r="E843" s="35">
        <v>2.5867249999999999</v>
      </c>
      <c r="F843" s="35">
        <v>52.589745575221237</v>
      </c>
      <c r="G8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4" spans="1:7" x14ac:dyDescent="0.35">
      <c r="A844" s="45">
        <v>45681</v>
      </c>
      <c r="B844" s="29" t="s">
        <v>6</v>
      </c>
      <c r="C844" s="29" t="s">
        <v>26</v>
      </c>
      <c r="D844" s="30">
        <v>572.64</v>
      </c>
      <c r="E844" s="31">
        <v>2.5893999999999999</v>
      </c>
      <c r="F844" s="51">
        <v>53.255459934308377</v>
      </c>
      <c r="G8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5" spans="1:7" x14ac:dyDescent="0.35">
      <c r="A845" s="46">
        <v>46002</v>
      </c>
      <c r="B845" s="40" t="s">
        <v>6</v>
      </c>
      <c r="C845" s="40" t="s">
        <v>26</v>
      </c>
      <c r="D845" s="33">
        <v>209.74</v>
      </c>
      <c r="E845" s="32">
        <v>2.59</v>
      </c>
      <c r="F845" s="32">
        <v>53.2</v>
      </c>
      <c r="G8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6" spans="1:7" x14ac:dyDescent="0.35">
      <c r="A846" s="47">
        <v>45702</v>
      </c>
      <c r="B846" s="29" t="s">
        <v>3</v>
      </c>
      <c r="C846" s="29" t="s">
        <v>26</v>
      </c>
      <c r="D846" s="30">
        <v>64.540000000000006</v>
      </c>
      <c r="E846" s="31">
        <v>2.5947499999999999</v>
      </c>
      <c r="F846" s="51">
        <v>53.028450220887521</v>
      </c>
      <c r="G8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7" spans="1:7" x14ac:dyDescent="0.35">
      <c r="A847" s="46">
        <v>45941</v>
      </c>
      <c r="B847" s="40" t="s">
        <v>17</v>
      </c>
      <c r="C847" s="40" t="s">
        <v>27</v>
      </c>
      <c r="D847" s="33">
        <v>159.24</v>
      </c>
      <c r="E847" s="32">
        <v>2.6</v>
      </c>
      <c r="F847" s="32">
        <v>52.6</v>
      </c>
      <c r="G8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8" spans="1:7" x14ac:dyDescent="0.35">
      <c r="A848" s="45">
        <v>45947</v>
      </c>
      <c r="B848" s="39" t="s">
        <v>3</v>
      </c>
      <c r="C848" s="39" t="s">
        <v>26</v>
      </c>
      <c r="D848" s="30">
        <v>94.24</v>
      </c>
      <c r="E848" s="29">
        <v>2.6</v>
      </c>
      <c r="F848" s="29">
        <v>52.8</v>
      </c>
      <c r="G8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49" spans="1:7" x14ac:dyDescent="0.35">
      <c r="A849" s="45">
        <v>45950</v>
      </c>
      <c r="B849" s="39" t="s">
        <v>3</v>
      </c>
      <c r="C849" s="39" t="s">
        <v>26</v>
      </c>
      <c r="D849" s="30">
        <v>71.260000000000005</v>
      </c>
      <c r="E849" s="29">
        <v>2.6</v>
      </c>
      <c r="F849" s="29">
        <v>53.3</v>
      </c>
      <c r="G8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0" spans="1:7" x14ac:dyDescent="0.35">
      <c r="A850" s="48">
        <v>45719</v>
      </c>
      <c r="B850" s="32" t="s">
        <v>6</v>
      </c>
      <c r="C850" s="32" t="s">
        <v>26</v>
      </c>
      <c r="D850" s="33">
        <v>223.89</v>
      </c>
      <c r="E850" s="34">
        <v>2.6027750000000003</v>
      </c>
      <c r="F850" s="52">
        <v>52.395409632683652</v>
      </c>
      <c r="G8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1" spans="1:7" x14ac:dyDescent="0.35">
      <c r="A851" s="45">
        <v>45763</v>
      </c>
      <c r="B851" s="29" t="s">
        <v>6</v>
      </c>
      <c r="C851" s="29" t="s">
        <v>26</v>
      </c>
      <c r="D851" s="30">
        <v>691.7</v>
      </c>
      <c r="E851" s="31">
        <v>2.6027750000000003</v>
      </c>
      <c r="F851" s="51">
        <v>53.020877270169805</v>
      </c>
      <c r="G8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2" spans="1:7" x14ac:dyDescent="0.35">
      <c r="A852" s="45">
        <v>45751</v>
      </c>
      <c r="B852" s="29" t="s">
        <v>6</v>
      </c>
      <c r="C852" s="29" t="s">
        <v>26</v>
      </c>
      <c r="D852" s="30">
        <v>463.36</v>
      </c>
      <c r="E852" s="31">
        <v>2.6081250000000002</v>
      </c>
      <c r="F852" s="51">
        <v>52.30727036481759</v>
      </c>
      <c r="G8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3" spans="1:7" x14ac:dyDescent="0.35">
      <c r="A853" s="46">
        <v>45794</v>
      </c>
      <c r="B853" s="32" t="s">
        <v>6</v>
      </c>
      <c r="C853" s="32" t="s">
        <v>26</v>
      </c>
      <c r="D853" s="33">
        <v>399.21</v>
      </c>
      <c r="E853" s="34">
        <v>2.6081250000000002</v>
      </c>
      <c r="F853" s="52">
        <v>52.942992276055769</v>
      </c>
      <c r="G8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4" spans="1:7" x14ac:dyDescent="0.35">
      <c r="A854" s="45">
        <v>45906</v>
      </c>
      <c r="B854" s="39" t="s">
        <v>6</v>
      </c>
      <c r="C854" s="39" t="s">
        <v>26</v>
      </c>
      <c r="D854" s="30">
        <v>34.39</v>
      </c>
      <c r="E854" s="31">
        <v>2.61</v>
      </c>
      <c r="F854" s="51">
        <v>52.691281174409873</v>
      </c>
      <c r="G8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5" spans="1:7" x14ac:dyDescent="0.35">
      <c r="A855" s="45">
        <v>45913</v>
      </c>
      <c r="B855" s="39" t="s">
        <v>4</v>
      </c>
      <c r="C855" s="39" t="s">
        <v>26</v>
      </c>
      <c r="D855" s="30">
        <v>202.03</v>
      </c>
      <c r="E855" s="36">
        <v>2.62</v>
      </c>
      <c r="F855" s="36">
        <v>52.147257257257252</v>
      </c>
      <c r="G8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6" spans="1:7" x14ac:dyDescent="0.35">
      <c r="A856" s="50">
        <v>45803</v>
      </c>
      <c r="B856" s="39" t="s">
        <v>8</v>
      </c>
      <c r="C856" s="39" t="s">
        <v>27</v>
      </c>
      <c r="D856" s="30">
        <v>318.45499999999998</v>
      </c>
      <c r="E856" s="29">
        <v>2.62</v>
      </c>
      <c r="F856" s="29">
        <v>52.7</v>
      </c>
      <c r="G8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7" spans="1:7" x14ac:dyDescent="0.35">
      <c r="A857" s="49">
        <v>45804</v>
      </c>
      <c r="B857" s="40" t="s">
        <v>8</v>
      </c>
      <c r="C857" s="40" t="s">
        <v>27</v>
      </c>
      <c r="D857" s="33">
        <v>225.32900000000001</v>
      </c>
      <c r="E857" s="32">
        <v>2.62</v>
      </c>
      <c r="F857" s="32">
        <v>52.7</v>
      </c>
      <c r="G8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8" spans="1:7" x14ac:dyDescent="0.35">
      <c r="A858" s="50">
        <v>45805</v>
      </c>
      <c r="B858" s="39" t="s">
        <v>8</v>
      </c>
      <c r="C858" s="39" t="s">
        <v>27</v>
      </c>
      <c r="D858" s="30">
        <v>306.16399999999999</v>
      </c>
      <c r="E858" s="29">
        <v>2.62</v>
      </c>
      <c r="F858" s="29">
        <v>52.7</v>
      </c>
      <c r="G8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59" spans="1:7" x14ac:dyDescent="0.35">
      <c r="A859" s="49">
        <v>45806</v>
      </c>
      <c r="B859" s="40" t="s">
        <v>8</v>
      </c>
      <c r="C859" s="40" t="s">
        <v>27</v>
      </c>
      <c r="D859" s="33">
        <v>408.166</v>
      </c>
      <c r="E859" s="32">
        <v>2.62</v>
      </c>
      <c r="F859" s="32">
        <v>52.7</v>
      </c>
      <c r="G8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0" spans="1:7" x14ac:dyDescent="0.35">
      <c r="A860" s="45">
        <v>45960</v>
      </c>
      <c r="B860" s="39" t="s">
        <v>3</v>
      </c>
      <c r="C860" s="39" t="s">
        <v>26</v>
      </c>
      <c r="D860" s="30">
        <v>91.62</v>
      </c>
      <c r="E860" s="29">
        <v>2.62</v>
      </c>
      <c r="F860" s="29">
        <v>52.7</v>
      </c>
      <c r="G8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1" spans="1:7" x14ac:dyDescent="0.35">
      <c r="A861" s="47">
        <v>45738</v>
      </c>
      <c r="B861" s="29" t="s">
        <v>6</v>
      </c>
      <c r="C861" s="29" t="s">
        <v>26</v>
      </c>
      <c r="D861" s="30">
        <v>281.43</v>
      </c>
      <c r="E861" s="31">
        <v>2.6215000000000002</v>
      </c>
      <c r="F861" s="51">
        <v>52.398561007294887</v>
      </c>
      <c r="G8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2" spans="1:7" x14ac:dyDescent="0.35">
      <c r="A862" s="45">
        <v>45946</v>
      </c>
      <c r="B862" s="39" t="s">
        <v>7</v>
      </c>
      <c r="C862" s="39" t="s">
        <v>26</v>
      </c>
      <c r="D862" s="30">
        <v>25.87</v>
      </c>
      <c r="E862" s="41">
        <v>2.63</v>
      </c>
      <c r="F862" s="44">
        <v>52.66449860390906</v>
      </c>
      <c r="G8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3" spans="1:7" x14ac:dyDescent="0.35">
      <c r="A863" s="45">
        <v>45673</v>
      </c>
      <c r="B863" s="29" t="s">
        <v>6</v>
      </c>
      <c r="C863" s="29" t="s">
        <v>26</v>
      </c>
      <c r="D863" s="30">
        <v>314.39999999999998</v>
      </c>
      <c r="E863" s="31">
        <v>2.6375500000000001</v>
      </c>
      <c r="F863" s="51">
        <v>52.369473684210519</v>
      </c>
      <c r="G8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4" spans="1:7" x14ac:dyDescent="0.35">
      <c r="A864" s="46">
        <v>45864</v>
      </c>
      <c r="B864" s="40" t="s">
        <v>8</v>
      </c>
      <c r="C864" s="40" t="s">
        <v>27</v>
      </c>
      <c r="D864" s="33">
        <v>124.7</v>
      </c>
      <c r="E864" s="32">
        <v>2.64</v>
      </c>
      <c r="F864" s="32">
        <v>52.8</v>
      </c>
      <c r="G8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5" spans="1:7" x14ac:dyDescent="0.35">
      <c r="A865" s="46">
        <v>45825</v>
      </c>
      <c r="B865" s="40" t="s">
        <v>8</v>
      </c>
      <c r="C865" s="40" t="s">
        <v>27</v>
      </c>
      <c r="D865" s="33">
        <v>601.10400000000004</v>
      </c>
      <c r="E865" s="42">
        <v>2.64</v>
      </c>
      <c r="F865" s="56">
        <v>52.166716517115319</v>
      </c>
      <c r="G8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6" spans="1:7" x14ac:dyDescent="0.35">
      <c r="A866" s="48">
        <v>45699</v>
      </c>
      <c r="B866" s="32" t="s">
        <v>6</v>
      </c>
      <c r="C866" s="32" t="s">
        <v>26</v>
      </c>
      <c r="D866" s="33">
        <v>222.76</v>
      </c>
      <c r="E866" s="34">
        <v>2.640225</v>
      </c>
      <c r="F866" s="52">
        <v>52.462151493954231</v>
      </c>
      <c r="G8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7" spans="1:7" x14ac:dyDescent="0.35">
      <c r="A867" s="46">
        <v>45791</v>
      </c>
      <c r="B867" s="32" t="s">
        <v>9</v>
      </c>
      <c r="C867" s="32" t="s">
        <v>26</v>
      </c>
      <c r="D867" s="33">
        <v>275.89999999999998</v>
      </c>
      <c r="E867" s="34">
        <v>2.640225</v>
      </c>
      <c r="F867" s="52">
        <v>52.64653073242382</v>
      </c>
      <c r="G8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8" spans="1:7" x14ac:dyDescent="0.35">
      <c r="A868" s="46">
        <v>45665</v>
      </c>
      <c r="B868" s="32" t="s">
        <v>6</v>
      </c>
      <c r="C868" s="32" t="s">
        <v>26</v>
      </c>
      <c r="D868" s="33">
        <v>129.80000000000001</v>
      </c>
      <c r="E868" s="34">
        <v>2.6429000000000005</v>
      </c>
      <c r="F868" s="52">
        <v>52.770127416790857</v>
      </c>
      <c r="G8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69" spans="1:7" x14ac:dyDescent="0.35">
      <c r="A869" s="45">
        <v>45821</v>
      </c>
      <c r="B869" s="29" t="s">
        <v>7</v>
      </c>
      <c r="C869" s="29" t="s">
        <v>26</v>
      </c>
      <c r="D869" s="30">
        <v>24.66</v>
      </c>
      <c r="E869" s="31">
        <v>2.65</v>
      </c>
      <c r="F869" s="36">
        <v>49.819784679420472</v>
      </c>
      <c r="G8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0" spans="1:7" x14ac:dyDescent="0.35">
      <c r="A870" s="45">
        <v>45920</v>
      </c>
      <c r="B870" s="39" t="s">
        <v>8</v>
      </c>
      <c r="C870" s="39" t="s">
        <v>27</v>
      </c>
      <c r="D870" s="30">
        <v>117.621</v>
      </c>
      <c r="E870" s="29">
        <v>2.65</v>
      </c>
      <c r="F870" s="29">
        <v>53.1</v>
      </c>
      <c r="G8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1" spans="1:7" x14ac:dyDescent="0.35">
      <c r="A871" s="45">
        <v>46036</v>
      </c>
      <c r="B871" s="39" t="s">
        <v>6</v>
      </c>
      <c r="C871" s="39" t="s">
        <v>26</v>
      </c>
      <c r="D871" s="30">
        <v>190.54</v>
      </c>
      <c r="E871" s="29">
        <v>2.65</v>
      </c>
      <c r="F871" s="29">
        <v>52</v>
      </c>
      <c r="G8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2" spans="1:7" x14ac:dyDescent="0.35">
      <c r="A872" s="46">
        <v>45801</v>
      </c>
      <c r="B872" s="32" t="s">
        <v>6</v>
      </c>
      <c r="C872" s="32" t="s">
        <v>26</v>
      </c>
      <c r="D872" s="33">
        <v>364.89</v>
      </c>
      <c r="E872" s="34">
        <v>2.650925</v>
      </c>
      <c r="F872" s="52">
        <v>51.62347204161248</v>
      </c>
      <c r="G8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3" spans="1:7" x14ac:dyDescent="0.35">
      <c r="A873" s="46">
        <v>45829</v>
      </c>
      <c r="B873" s="40" t="s">
        <v>8</v>
      </c>
      <c r="C873" s="40" t="s">
        <v>27</v>
      </c>
      <c r="D873" s="33">
        <v>569.68100000000004</v>
      </c>
      <c r="E873" s="42">
        <v>2.66</v>
      </c>
      <c r="F873" s="56">
        <v>52.764215650257157</v>
      </c>
      <c r="G8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4" spans="1:7" x14ac:dyDescent="0.35">
      <c r="A874" s="46">
        <v>45822</v>
      </c>
      <c r="B874" s="32" t="s">
        <v>9</v>
      </c>
      <c r="C874" s="32" t="s">
        <v>26</v>
      </c>
      <c r="D874" s="33">
        <v>34.69</v>
      </c>
      <c r="E874" s="34">
        <v>2.67</v>
      </c>
      <c r="F874" s="52">
        <v>52.971069366580203</v>
      </c>
      <c r="G8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5" spans="1:7" x14ac:dyDescent="0.35">
      <c r="A875" s="46">
        <v>46027</v>
      </c>
      <c r="B875" s="40" t="s">
        <v>6</v>
      </c>
      <c r="C875" s="40" t="s">
        <v>26</v>
      </c>
      <c r="D875" s="33">
        <v>155.96</v>
      </c>
      <c r="E875" s="32">
        <v>2.67</v>
      </c>
      <c r="F875" s="32">
        <v>52.8</v>
      </c>
      <c r="G8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6" spans="1:7" x14ac:dyDescent="0.35">
      <c r="A876" s="47">
        <v>45698</v>
      </c>
      <c r="B876" s="29" t="s">
        <v>3</v>
      </c>
      <c r="C876" s="29" t="s">
        <v>26</v>
      </c>
      <c r="D876" s="30">
        <v>45.54</v>
      </c>
      <c r="E876" s="31">
        <v>2.6803500000000002</v>
      </c>
      <c r="F876" s="51">
        <v>53.028511046978522</v>
      </c>
      <c r="G8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7" spans="1:7" x14ac:dyDescent="0.35">
      <c r="A877" s="46">
        <v>46008</v>
      </c>
      <c r="B877" s="40" t="s">
        <v>3</v>
      </c>
      <c r="C877" s="40" t="s">
        <v>26</v>
      </c>
      <c r="D877" s="33">
        <v>91.36</v>
      </c>
      <c r="E877" s="32">
        <v>2.7</v>
      </c>
      <c r="F877" s="32">
        <v>50.3</v>
      </c>
      <c r="G8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8" spans="1:7" x14ac:dyDescent="0.35">
      <c r="A878" s="45">
        <v>46064</v>
      </c>
      <c r="B878" s="39" t="s">
        <v>4</v>
      </c>
      <c r="C878" s="39" t="s">
        <v>26</v>
      </c>
      <c r="D878" s="30">
        <v>72.97</v>
      </c>
      <c r="E878" s="29">
        <v>2.7</v>
      </c>
      <c r="F878" s="29">
        <v>52.5</v>
      </c>
      <c r="G8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79" spans="1:7" x14ac:dyDescent="0.35">
      <c r="A879" s="45">
        <v>46066</v>
      </c>
      <c r="B879" s="39" t="s">
        <v>3</v>
      </c>
      <c r="C879" s="39" t="s">
        <v>26</v>
      </c>
      <c r="D879" s="30">
        <v>88.38</v>
      </c>
      <c r="E879" s="29">
        <v>2.7</v>
      </c>
      <c r="F879" s="29">
        <v>52</v>
      </c>
      <c r="G8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0" spans="1:7" x14ac:dyDescent="0.35">
      <c r="A880" s="46">
        <v>46042</v>
      </c>
      <c r="B880" s="40" t="s">
        <v>3</v>
      </c>
      <c r="C880" s="40" t="s">
        <v>26</v>
      </c>
      <c r="D880" s="33">
        <v>90.94</v>
      </c>
      <c r="E880" s="43">
        <v>2.7071000000000001</v>
      </c>
      <c r="F880" s="43">
        <v>51.926318901266072</v>
      </c>
      <c r="G8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1" spans="1:7" x14ac:dyDescent="0.35">
      <c r="A881" s="46">
        <v>46043</v>
      </c>
      <c r="B881" s="40" t="s">
        <v>3</v>
      </c>
      <c r="C881" s="40" t="s">
        <v>26</v>
      </c>
      <c r="D881" s="33">
        <v>190.52</v>
      </c>
      <c r="E881" s="43">
        <v>2.7071000000000001</v>
      </c>
      <c r="F881" s="43">
        <v>51.926318901266072</v>
      </c>
      <c r="G8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2" spans="1:7" x14ac:dyDescent="0.35">
      <c r="A882" s="47">
        <v>45707</v>
      </c>
      <c r="B882" s="29" t="s">
        <v>3</v>
      </c>
      <c r="C882" s="29" t="s">
        <v>26</v>
      </c>
      <c r="D882" s="30">
        <v>21.32</v>
      </c>
      <c r="E882" s="31">
        <v>2.7124500000000005</v>
      </c>
      <c r="F882" s="51">
        <v>51.967276375664028</v>
      </c>
      <c r="G8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3" spans="1:7" x14ac:dyDescent="0.35">
      <c r="A883" s="48">
        <v>45909</v>
      </c>
      <c r="B883" s="40" t="s">
        <v>5</v>
      </c>
      <c r="C883" s="40" t="s">
        <v>26</v>
      </c>
      <c r="D883" s="33">
        <v>106.65</v>
      </c>
      <c r="E883" s="34">
        <v>2.72</v>
      </c>
      <c r="F883" s="54">
        <v>52.742617840219467</v>
      </c>
      <c r="G8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4" spans="1:7" x14ac:dyDescent="0.35">
      <c r="A884" s="46">
        <v>45750</v>
      </c>
      <c r="B884" s="32" t="s">
        <v>6</v>
      </c>
      <c r="C884" s="32" t="s">
        <v>26</v>
      </c>
      <c r="D884" s="33">
        <v>275.32</v>
      </c>
      <c r="E884" s="34">
        <v>2.7258249999999999</v>
      </c>
      <c r="F884" s="52">
        <v>52.572026423292044</v>
      </c>
      <c r="G8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5" spans="1:7" x14ac:dyDescent="0.35">
      <c r="A885" s="45">
        <v>45828</v>
      </c>
      <c r="B885" s="29" t="s">
        <v>4</v>
      </c>
      <c r="C885" s="29" t="s">
        <v>26</v>
      </c>
      <c r="D885" s="30">
        <v>228.39</v>
      </c>
      <c r="E885" s="36">
        <v>2.74</v>
      </c>
      <c r="F885" s="36">
        <v>53.475581223281814</v>
      </c>
      <c r="G8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6" spans="1:7" x14ac:dyDescent="0.35">
      <c r="A886" s="45">
        <v>46013</v>
      </c>
      <c r="B886" s="39" t="s">
        <v>5</v>
      </c>
      <c r="C886" s="39" t="s">
        <v>26</v>
      </c>
      <c r="D886" s="30">
        <v>67.11</v>
      </c>
      <c r="E886" s="41">
        <v>2.74</v>
      </c>
      <c r="F886" s="55">
        <v>53.308675220796538</v>
      </c>
      <c r="G8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7" spans="1:7" x14ac:dyDescent="0.35">
      <c r="A887" s="46">
        <v>46045</v>
      </c>
      <c r="B887" s="40" t="s">
        <v>6</v>
      </c>
      <c r="C887" s="40" t="s">
        <v>26</v>
      </c>
      <c r="D887" s="33">
        <v>134.36000000000001</v>
      </c>
      <c r="E887" s="32">
        <v>2.74</v>
      </c>
      <c r="F887" s="32">
        <v>52.4</v>
      </c>
      <c r="G8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8" spans="1:7" x14ac:dyDescent="0.35">
      <c r="A888" s="45">
        <v>45752</v>
      </c>
      <c r="B888" s="29" t="s">
        <v>9</v>
      </c>
      <c r="C888" s="29" t="s">
        <v>26</v>
      </c>
      <c r="D888" s="30">
        <v>173.56</v>
      </c>
      <c r="E888" s="31">
        <v>2.7418750000000003</v>
      </c>
      <c r="F888" s="51">
        <v>52.769865731462929</v>
      </c>
      <c r="G8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89" spans="1:7" x14ac:dyDescent="0.35">
      <c r="A889" s="46">
        <v>45821</v>
      </c>
      <c r="B889" s="32" t="s">
        <v>3</v>
      </c>
      <c r="C889" s="32" t="s">
        <v>26</v>
      </c>
      <c r="D889" s="33">
        <v>248.72</v>
      </c>
      <c r="E889" s="35">
        <v>2.75</v>
      </c>
      <c r="F889" s="35">
        <v>53.132135922330093</v>
      </c>
      <c r="G8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0" spans="1:7" x14ac:dyDescent="0.35">
      <c r="A890" s="47">
        <v>45700</v>
      </c>
      <c r="B890" s="29" t="s">
        <v>2</v>
      </c>
      <c r="C890" s="29" t="s">
        <v>26</v>
      </c>
      <c r="D890" s="30">
        <v>278.82</v>
      </c>
      <c r="E890" s="31">
        <v>2.7632750000000001</v>
      </c>
      <c r="F890" s="51">
        <v>50.618307808601941</v>
      </c>
      <c r="G8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1" spans="1:7" x14ac:dyDescent="0.35">
      <c r="A891" s="47">
        <v>45731</v>
      </c>
      <c r="B891" s="29" t="s">
        <v>3</v>
      </c>
      <c r="C891" s="29" t="s">
        <v>26</v>
      </c>
      <c r="D891" s="30">
        <v>64.739999999999995</v>
      </c>
      <c r="E891" s="36">
        <v>2.7659500000000001</v>
      </c>
      <c r="F891" s="36">
        <v>52.562549808230123</v>
      </c>
      <c r="G8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2" spans="1:7" x14ac:dyDescent="0.35">
      <c r="A892" s="46">
        <v>45821</v>
      </c>
      <c r="B892" s="32" t="s">
        <v>4</v>
      </c>
      <c r="C892" s="32" t="s">
        <v>26</v>
      </c>
      <c r="D892" s="33">
        <v>212.19</v>
      </c>
      <c r="E892" s="35">
        <v>2.77</v>
      </c>
      <c r="F892" s="35">
        <v>53.184229906397455</v>
      </c>
      <c r="G8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3" spans="1:7" x14ac:dyDescent="0.35">
      <c r="A893" s="45">
        <v>45852</v>
      </c>
      <c r="B893" s="29" t="s">
        <v>4</v>
      </c>
      <c r="C893" s="29" t="s">
        <v>26</v>
      </c>
      <c r="D893" s="30">
        <v>79.63</v>
      </c>
      <c r="E893" s="36">
        <v>2.77</v>
      </c>
      <c r="F893" s="36">
        <v>53.311905519725272</v>
      </c>
      <c r="G8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4" spans="1:7" x14ac:dyDescent="0.35">
      <c r="A894" s="45">
        <v>45898</v>
      </c>
      <c r="B894" s="39" t="s">
        <v>8</v>
      </c>
      <c r="C894" s="39" t="s">
        <v>27</v>
      </c>
      <c r="D894" s="30">
        <v>28.222000000000001</v>
      </c>
      <c r="E894" s="29">
        <v>2.77</v>
      </c>
      <c r="F894" s="29">
        <v>52.8</v>
      </c>
      <c r="G8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5" spans="1:7" x14ac:dyDescent="0.35">
      <c r="A895" s="46">
        <v>45759</v>
      </c>
      <c r="B895" s="32" t="s">
        <v>6</v>
      </c>
      <c r="C895" s="32" t="s">
        <v>26</v>
      </c>
      <c r="D895" s="33">
        <v>586.13</v>
      </c>
      <c r="E895" s="34">
        <v>2.7713000000000001</v>
      </c>
      <c r="F895" s="52">
        <v>52.824657023330651</v>
      </c>
      <c r="G8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6" spans="1:7" x14ac:dyDescent="0.35">
      <c r="A896" s="46">
        <v>45755</v>
      </c>
      <c r="B896" s="32" t="s">
        <v>6</v>
      </c>
      <c r="C896" s="32" t="s">
        <v>26</v>
      </c>
      <c r="D896" s="33">
        <v>277.3</v>
      </c>
      <c r="E896" s="34">
        <v>2.7820000000000005</v>
      </c>
      <c r="F896" s="52">
        <v>52.354538384845462</v>
      </c>
      <c r="G8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7" spans="1:7" x14ac:dyDescent="0.35">
      <c r="A897" s="45">
        <v>45761</v>
      </c>
      <c r="B897" s="29" t="s">
        <v>4</v>
      </c>
      <c r="C897" s="29" t="s">
        <v>26</v>
      </c>
      <c r="D897" s="30">
        <v>150.32</v>
      </c>
      <c r="E897" s="36">
        <v>2.784675</v>
      </c>
      <c r="F897" s="36">
        <v>52.141916768775694</v>
      </c>
      <c r="G8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8" spans="1:7" x14ac:dyDescent="0.35">
      <c r="A898" s="46">
        <v>45863</v>
      </c>
      <c r="B898" s="32" t="s">
        <v>3</v>
      </c>
      <c r="C898" s="32" t="s">
        <v>26</v>
      </c>
      <c r="D898" s="33">
        <v>0</v>
      </c>
      <c r="E898" s="35">
        <v>2.8</v>
      </c>
      <c r="F898" s="35">
        <v>52.035732135884416</v>
      </c>
      <c r="G8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899" spans="1:7" x14ac:dyDescent="0.35">
      <c r="A899" s="46">
        <v>46050</v>
      </c>
      <c r="B899" s="40" t="s">
        <v>3</v>
      </c>
      <c r="C899" s="40" t="s">
        <v>26</v>
      </c>
      <c r="D899" s="33">
        <v>62.72</v>
      </c>
      <c r="E899" s="32">
        <v>2.8</v>
      </c>
      <c r="F899" s="32">
        <v>52.8</v>
      </c>
      <c r="G8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0" spans="1:7" x14ac:dyDescent="0.35">
      <c r="A900" s="46">
        <v>46066</v>
      </c>
      <c r="B900" s="40" t="s">
        <v>6</v>
      </c>
      <c r="C900" s="40" t="s">
        <v>26</v>
      </c>
      <c r="D900" s="33">
        <v>82.04</v>
      </c>
      <c r="E900" s="32">
        <v>2.8</v>
      </c>
      <c r="F900" s="32">
        <v>53.6</v>
      </c>
      <c r="G9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1" spans="1:7" x14ac:dyDescent="0.35">
      <c r="A901" s="46">
        <v>45829</v>
      </c>
      <c r="B901" s="32" t="s">
        <v>3</v>
      </c>
      <c r="C901" s="32" t="s">
        <v>26</v>
      </c>
      <c r="D901" s="33">
        <v>63.38</v>
      </c>
      <c r="E901" s="35">
        <v>2.81</v>
      </c>
      <c r="F901" s="35">
        <v>52.785660802134572</v>
      </c>
      <c r="G9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2" spans="1:7" x14ac:dyDescent="0.35">
      <c r="A902" s="46">
        <v>45987</v>
      </c>
      <c r="B902" s="40" t="s">
        <v>19</v>
      </c>
      <c r="C902" s="40" t="s">
        <v>29</v>
      </c>
      <c r="D902" s="33">
        <v>453.12</v>
      </c>
      <c r="E902" s="32">
        <v>2.83</v>
      </c>
      <c r="F902" s="32">
        <v>50.9</v>
      </c>
      <c r="G9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3" spans="1:7" x14ac:dyDescent="0.35">
      <c r="A903" s="47">
        <v>45700</v>
      </c>
      <c r="B903" s="29" t="s">
        <v>6</v>
      </c>
      <c r="C903" s="29" t="s">
        <v>26</v>
      </c>
      <c r="D903" s="30">
        <v>35.21</v>
      </c>
      <c r="E903" s="31">
        <v>2.8381750000000001</v>
      </c>
      <c r="F903" s="51">
        <v>52.640434190844289</v>
      </c>
      <c r="G9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4" spans="1:7" x14ac:dyDescent="0.35">
      <c r="A904" s="46">
        <v>45804</v>
      </c>
      <c r="B904" s="32" t="s">
        <v>5</v>
      </c>
      <c r="C904" s="32" t="s">
        <v>26</v>
      </c>
      <c r="D904" s="33">
        <v>195.92</v>
      </c>
      <c r="E904" s="34">
        <v>2.8462000000000005</v>
      </c>
      <c r="F904" s="52">
        <v>52.39685919275783</v>
      </c>
      <c r="G9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5" spans="1:7" x14ac:dyDescent="0.35">
      <c r="A905" s="45">
        <v>45940</v>
      </c>
      <c r="B905" s="39" t="s">
        <v>3</v>
      </c>
      <c r="C905" s="39" t="s">
        <v>26</v>
      </c>
      <c r="D905" s="30">
        <v>71.12</v>
      </c>
      <c r="E905" s="44">
        <v>2.86</v>
      </c>
      <c r="F905" s="44">
        <v>51.88333588370314</v>
      </c>
      <c r="G9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6" spans="1:7" x14ac:dyDescent="0.35">
      <c r="A906" s="45">
        <v>45675</v>
      </c>
      <c r="B906" s="29" t="s">
        <v>3</v>
      </c>
      <c r="C906" s="29" t="s">
        <v>26</v>
      </c>
      <c r="D906" s="30">
        <v>20.36</v>
      </c>
      <c r="E906" s="36">
        <v>2.8649250000000004</v>
      </c>
      <c r="F906" s="36">
        <v>52.905372300637964</v>
      </c>
      <c r="G9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7" spans="1:7" x14ac:dyDescent="0.35">
      <c r="A907" s="46">
        <v>45941</v>
      </c>
      <c r="B907" s="40" t="s">
        <v>3</v>
      </c>
      <c r="C907" s="40" t="s">
        <v>26</v>
      </c>
      <c r="D907" s="33">
        <v>46</v>
      </c>
      <c r="E907" s="43">
        <v>2.87</v>
      </c>
      <c r="F907" s="43">
        <v>52.30056207844116</v>
      </c>
      <c r="G9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8" spans="1:7" x14ac:dyDescent="0.35">
      <c r="A908" s="46">
        <v>46052</v>
      </c>
      <c r="B908" s="40" t="s">
        <v>18</v>
      </c>
      <c r="C908" s="40" t="s">
        <v>27</v>
      </c>
      <c r="D908" s="33">
        <v>267.44</v>
      </c>
      <c r="E908" s="32">
        <v>2.87</v>
      </c>
      <c r="F908" s="32">
        <v>52.3</v>
      </c>
      <c r="G9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09" spans="1:7" x14ac:dyDescent="0.35">
      <c r="A909" s="45">
        <v>45673</v>
      </c>
      <c r="B909" s="29" t="s">
        <v>2</v>
      </c>
      <c r="C909" s="29" t="s">
        <v>26</v>
      </c>
      <c r="D909" s="30">
        <v>249.64</v>
      </c>
      <c r="E909" s="31">
        <v>2.8863249999999998</v>
      </c>
      <c r="F909" s="36">
        <v>50.457904865771809</v>
      </c>
      <c r="G9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0" spans="1:7" x14ac:dyDescent="0.35">
      <c r="A910" s="46">
        <v>45779</v>
      </c>
      <c r="B910" s="32" t="s">
        <v>6</v>
      </c>
      <c r="C910" s="32" t="s">
        <v>26</v>
      </c>
      <c r="D910" s="33">
        <v>103.52</v>
      </c>
      <c r="E910" s="34">
        <v>2.9050500000000001</v>
      </c>
      <c r="F910" s="52">
        <v>51.837299996235316</v>
      </c>
      <c r="G9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1" spans="1:7" x14ac:dyDescent="0.35">
      <c r="A911" s="45">
        <v>45749</v>
      </c>
      <c r="B911" s="29" t="s">
        <v>6</v>
      </c>
      <c r="C911" s="29" t="s">
        <v>26</v>
      </c>
      <c r="D911" s="30">
        <v>342.49</v>
      </c>
      <c r="E911" s="31">
        <v>2.92645</v>
      </c>
      <c r="F911" s="51">
        <v>52.481170551948054</v>
      </c>
      <c r="G9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2" spans="1:7" x14ac:dyDescent="0.35">
      <c r="A912" s="45">
        <v>45818</v>
      </c>
      <c r="B912" s="29" t="s">
        <v>5</v>
      </c>
      <c r="C912" s="29" t="s">
        <v>26</v>
      </c>
      <c r="D912" s="30">
        <v>68.53</v>
      </c>
      <c r="E912" s="31">
        <v>2.94</v>
      </c>
      <c r="F912" s="51">
        <v>51.904741717433026</v>
      </c>
      <c r="G9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3" spans="1:7" x14ac:dyDescent="0.35">
      <c r="A913" s="48">
        <v>45696</v>
      </c>
      <c r="B913" s="32" t="s">
        <v>3</v>
      </c>
      <c r="C913" s="32" t="s">
        <v>26</v>
      </c>
      <c r="D913" s="33">
        <v>93.34</v>
      </c>
      <c r="E913" s="38">
        <v>2.9451750000000003</v>
      </c>
      <c r="F913" s="52">
        <v>51.989616650019975</v>
      </c>
      <c r="G9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4" spans="1:7" x14ac:dyDescent="0.35">
      <c r="A914" s="45">
        <v>45847</v>
      </c>
      <c r="B914" s="29" t="s">
        <v>8</v>
      </c>
      <c r="C914" s="29" t="s">
        <v>27</v>
      </c>
      <c r="D914" s="30">
        <v>235</v>
      </c>
      <c r="E914" s="31">
        <v>2.95</v>
      </c>
      <c r="F914" s="51">
        <v>52.265404418159683</v>
      </c>
      <c r="G9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5" spans="1:7" x14ac:dyDescent="0.35">
      <c r="A915" s="46">
        <v>45790</v>
      </c>
      <c r="B915" s="32" t="s">
        <v>3</v>
      </c>
      <c r="C915" s="32" t="s">
        <v>26</v>
      </c>
      <c r="D915" s="33">
        <v>23.42</v>
      </c>
      <c r="E915" s="35">
        <v>2.9558750000000003</v>
      </c>
      <c r="F915" s="35">
        <v>52.181094176706821</v>
      </c>
      <c r="G9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6" spans="1:7" x14ac:dyDescent="0.35">
      <c r="A916" s="46">
        <v>45922</v>
      </c>
      <c r="B916" s="40" t="s">
        <v>8</v>
      </c>
      <c r="C916" s="40" t="s">
        <v>27</v>
      </c>
      <c r="D916" s="33">
        <v>196.02799999999999</v>
      </c>
      <c r="E916" s="32">
        <v>2.97</v>
      </c>
      <c r="F916" s="32">
        <v>52.6</v>
      </c>
      <c r="G9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7" spans="1:7" x14ac:dyDescent="0.35">
      <c r="A917" s="46">
        <v>45923</v>
      </c>
      <c r="B917" s="40" t="s">
        <v>8</v>
      </c>
      <c r="C917" s="40" t="s">
        <v>27</v>
      </c>
      <c r="D917" s="33">
        <v>496.51</v>
      </c>
      <c r="E917" s="42">
        <v>2.97</v>
      </c>
      <c r="F917" s="56">
        <v>52.611787758696607</v>
      </c>
      <c r="G9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8" spans="1:7" x14ac:dyDescent="0.35">
      <c r="A918" s="49">
        <v>45801</v>
      </c>
      <c r="B918" s="40" t="s">
        <v>8</v>
      </c>
      <c r="C918" s="40" t="s">
        <v>27</v>
      </c>
      <c r="D918" s="33">
        <v>271.81200000000001</v>
      </c>
      <c r="E918" s="42">
        <v>2.9719250000000001</v>
      </c>
      <c r="F918" s="56">
        <v>52.186490803787272</v>
      </c>
      <c r="G9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19" spans="1:7" x14ac:dyDescent="0.35">
      <c r="A919" s="46">
        <v>45804</v>
      </c>
      <c r="B919" s="32" t="s">
        <v>4</v>
      </c>
      <c r="C919" s="32" t="s">
        <v>26</v>
      </c>
      <c r="D919" s="33">
        <v>196.96</v>
      </c>
      <c r="E919" s="35">
        <v>2.9772750000000006</v>
      </c>
      <c r="F919" s="35">
        <v>52.977513169665045</v>
      </c>
      <c r="G9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0" spans="1:7" x14ac:dyDescent="0.35">
      <c r="A920" s="46">
        <v>45680</v>
      </c>
      <c r="B920" s="32" t="s">
        <v>3</v>
      </c>
      <c r="C920" s="32" t="s">
        <v>26</v>
      </c>
      <c r="D920" s="33">
        <v>46</v>
      </c>
      <c r="E920" s="35">
        <v>2.9799500000000005</v>
      </c>
      <c r="F920" s="35">
        <v>52.893719254786006</v>
      </c>
      <c r="G9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1" spans="1:7" x14ac:dyDescent="0.35">
      <c r="A921" s="46">
        <v>45850</v>
      </c>
      <c r="B921" s="40" t="s">
        <v>8</v>
      </c>
      <c r="C921" s="40" t="s">
        <v>27</v>
      </c>
      <c r="D921" s="33">
        <v>186.83500000000001</v>
      </c>
      <c r="E921" s="32">
        <v>2.98</v>
      </c>
      <c r="F921" s="32">
        <v>52.6</v>
      </c>
      <c r="G9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2" spans="1:7" x14ac:dyDescent="0.35">
      <c r="A922" s="48">
        <v>45701</v>
      </c>
      <c r="B922" s="32" t="s">
        <v>3</v>
      </c>
      <c r="C922" s="32" t="s">
        <v>26</v>
      </c>
      <c r="D922" s="33">
        <v>89.16</v>
      </c>
      <c r="E922" s="38">
        <v>2.996</v>
      </c>
      <c r="F922" s="52">
        <v>52.118926946423201</v>
      </c>
      <c r="G9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3" spans="1:7" x14ac:dyDescent="0.35">
      <c r="A923" s="45">
        <v>45924</v>
      </c>
      <c r="B923" s="39" t="s">
        <v>4</v>
      </c>
      <c r="C923" s="39" t="s">
        <v>26</v>
      </c>
      <c r="D923" s="30">
        <v>74.67</v>
      </c>
      <c r="E923" s="44">
        <v>3</v>
      </c>
      <c r="F923" s="44">
        <v>52.4</v>
      </c>
      <c r="G9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4" spans="1:7" x14ac:dyDescent="0.35">
      <c r="A924" s="45">
        <v>45939</v>
      </c>
      <c r="B924" s="39" t="s">
        <v>3</v>
      </c>
      <c r="C924" s="39" t="s">
        <v>26</v>
      </c>
      <c r="D924" s="30">
        <v>71.92</v>
      </c>
      <c r="E924" s="29">
        <v>3</v>
      </c>
      <c r="F924" s="29">
        <v>50.9</v>
      </c>
      <c r="G9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5" spans="1:7" x14ac:dyDescent="0.35">
      <c r="A925" s="45">
        <v>45980</v>
      </c>
      <c r="B925" s="39" t="s">
        <v>3</v>
      </c>
      <c r="C925" s="39" t="s">
        <v>26</v>
      </c>
      <c r="D925" s="30">
        <v>92.1</v>
      </c>
      <c r="E925" s="29">
        <v>3</v>
      </c>
      <c r="F925" s="29">
        <v>50</v>
      </c>
      <c r="G9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6" spans="1:7" x14ac:dyDescent="0.35">
      <c r="A926" s="46">
        <v>45995</v>
      </c>
      <c r="B926" s="40" t="s">
        <v>4</v>
      </c>
      <c r="C926" s="40" t="s">
        <v>26</v>
      </c>
      <c r="D926" s="33">
        <v>126.91</v>
      </c>
      <c r="E926" s="32">
        <v>3</v>
      </c>
      <c r="F926" s="32">
        <v>52.6</v>
      </c>
      <c r="G9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7" spans="1:7" x14ac:dyDescent="0.35">
      <c r="A927" s="45">
        <v>46000</v>
      </c>
      <c r="B927" s="39" t="s">
        <v>3</v>
      </c>
      <c r="C927" s="39" t="s">
        <v>26</v>
      </c>
      <c r="D927" s="30">
        <v>93.56</v>
      </c>
      <c r="E927" s="29">
        <v>3</v>
      </c>
      <c r="F927" s="29">
        <v>54.2</v>
      </c>
      <c r="G9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8" spans="1:7" x14ac:dyDescent="0.35">
      <c r="A928" s="45">
        <v>46007</v>
      </c>
      <c r="B928" s="39" t="s">
        <v>3</v>
      </c>
      <c r="C928" s="39" t="s">
        <v>26</v>
      </c>
      <c r="D928" s="30">
        <v>46.4</v>
      </c>
      <c r="E928" s="29">
        <v>3</v>
      </c>
      <c r="F928" s="29">
        <v>52.5</v>
      </c>
      <c r="G9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29" spans="1:7" x14ac:dyDescent="0.35">
      <c r="A929" s="46">
        <v>46062</v>
      </c>
      <c r="B929" s="40" t="s">
        <v>3</v>
      </c>
      <c r="C929" s="40" t="s">
        <v>26</v>
      </c>
      <c r="D929" s="33">
        <v>68.8</v>
      </c>
      <c r="E929" s="32">
        <v>3</v>
      </c>
      <c r="F929" s="32">
        <v>52.1</v>
      </c>
      <c r="G9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0" spans="1:7" x14ac:dyDescent="0.35">
      <c r="A930" s="45">
        <v>46069</v>
      </c>
      <c r="B930" s="39" t="s">
        <v>3</v>
      </c>
      <c r="C930" s="39" t="s">
        <v>26</v>
      </c>
      <c r="D930" s="30">
        <v>67.3</v>
      </c>
      <c r="E930" s="29">
        <v>3</v>
      </c>
      <c r="F930" s="29">
        <v>51.8</v>
      </c>
      <c r="G9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1" spans="1:7" x14ac:dyDescent="0.35">
      <c r="A931" s="45">
        <v>45748</v>
      </c>
      <c r="B931" s="29" t="s">
        <v>4</v>
      </c>
      <c r="C931" s="29" t="s">
        <v>26</v>
      </c>
      <c r="D931" s="30">
        <v>146.94</v>
      </c>
      <c r="E931" s="36">
        <v>3.0093750000000004</v>
      </c>
      <c r="F931" s="36">
        <v>52.478972979813193</v>
      </c>
      <c r="G9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2" spans="1:7" x14ac:dyDescent="0.35">
      <c r="A932" s="45">
        <v>45821</v>
      </c>
      <c r="B932" s="29" t="s">
        <v>4</v>
      </c>
      <c r="C932" s="29" t="s">
        <v>26</v>
      </c>
      <c r="D932" s="30">
        <v>126.22</v>
      </c>
      <c r="E932" s="36">
        <v>3.01</v>
      </c>
      <c r="F932" s="36">
        <v>51.236813258943222</v>
      </c>
      <c r="G9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3" spans="1:7" x14ac:dyDescent="0.35">
      <c r="A933" s="47">
        <v>45744</v>
      </c>
      <c r="B933" s="29" t="s">
        <v>3</v>
      </c>
      <c r="C933" s="29" t="s">
        <v>26</v>
      </c>
      <c r="D933" s="30">
        <v>89.24</v>
      </c>
      <c r="E933" s="36">
        <v>3.0120500000000003</v>
      </c>
      <c r="F933" s="36">
        <v>51.493911719765926</v>
      </c>
      <c r="G9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4" spans="1:7" x14ac:dyDescent="0.35">
      <c r="A934" s="48">
        <v>45745</v>
      </c>
      <c r="B934" s="32" t="s">
        <v>3</v>
      </c>
      <c r="C934" s="32" t="s">
        <v>26</v>
      </c>
      <c r="D934" s="33">
        <v>72.88</v>
      </c>
      <c r="E934" s="35">
        <v>3.0120500000000003</v>
      </c>
      <c r="F934" s="35">
        <v>51.493911719765926</v>
      </c>
      <c r="G9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5" spans="1:7" x14ac:dyDescent="0.35">
      <c r="A935" s="46">
        <v>45775</v>
      </c>
      <c r="B935" s="32" t="s">
        <v>3</v>
      </c>
      <c r="C935" s="32" t="s">
        <v>26</v>
      </c>
      <c r="D935" s="33">
        <v>44.66</v>
      </c>
      <c r="E935" s="35">
        <v>3.0120500000000003</v>
      </c>
      <c r="F935" s="35">
        <v>52.982444933920704</v>
      </c>
      <c r="G9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6" spans="1:7" x14ac:dyDescent="0.35">
      <c r="A936" s="45">
        <v>45800</v>
      </c>
      <c r="B936" s="29" t="s">
        <v>6</v>
      </c>
      <c r="C936" s="29" t="s">
        <v>26</v>
      </c>
      <c r="D936" s="30">
        <v>172.21</v>
      </c>
      <c r="E936" s="31">
        <v>3.0120500000000003</v>
      </c>
      <c r="F936" s="51">
        <v>52.677937968984494</v>
      </c>
      <c r="G9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7" spans="1:7" x14ac:dyDescent="0.35">
      <c r="A937" s="48">
        <v>45741</v>
      </c>
      <c r="B937" s="32" t="s">
        <v>6</v>
      </c>
      <c r="C937" s="32" t="s">
        <v>26</v>
      </c>
      <c r="D937" s="33">
        <v>204.46</v>
      </c>
      <c r="E937" s="34">
        <v>3.0307750000000002</v>
      </c>
      <c r="F937" s="52">
        <v>52.343875263210172</v>
      </c>
      <c r="G9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8" spans="1:7" x14ac:dyDescent="0.35">
      <c r="A938" s="47">
        <v>45744</v>
      </c>
      <c r="B938" s="29" t="s">
        <v>6</v>
      </c>
      <c r="C938" s="29" t="s">
        <v>26</v>
      </c>
      <c r="D938" s="30">
        <v>247.26</v>
      </c>
      <c r="E938" s="31">
        <v>3.0307750000000002</v>
      </c>
      <c r="F938" s="51">
        <v>51.822821001907435</v>
      </c>
      <c r="G9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39" spans="1:7" x14ac:dyDescent="0.35">
      <c r="A939" s="46">
        <v>45882</v>
      </c>
      <c r="B939" s="40" t="s">
        <v>3</v>
      </c>
      <c r="C939" s="40" t="s">
        <v>26</v>
      </c>
      <c r="D939" s="33">
        <v>165.02</v>
      </c>
      <c r="E939" s="35">
        <v>3.04</v>
      </c>
      <c r="F939" s="35">
        <v>52.143208761809213</v>
      </c>
      <c r="G9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0" spans="1:7" x14ac:dyDescent="0.35">
      <c r="A940" s="45">
        <v>45937</v>
      </c>
      <c r="B940" s="39" t="s">
        <v>4</v>
      </c>
      <c r="C940" s="39" t="s">
        <v>26</v>
      </c>
      <c r="D940" s="30">
        <v>174.96</v>
      </c>
      <c r="E940" s="44">
        <v>3.04</v>
      </c>
      <c r="F940" s="44">
        <v>52.998327926129271</v>
      </c>
      <c r="G9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1" spans="1:7" x14ac:dyDescent="0.35">
      <c r="A941" s="47">
        <v>45728</v>
      </c>
      <c r="B941" s="29" t="s">
        <v>4</v>
      </c>
      <c r="C941" s="29" t="s">
        <v>26</v>
      </c>
      <c r="D941" s="30">
        <v>123.02</v>
      </c>
      <c r="E941" s="36">
        <v>3.0495000000000001</v>
      </c>
      <c r="F941" s="36">
        <v>52.673123559474895</v>
      </c>
      <c r="G9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2" spans="1:7" x14ac:dyDescent="0.35">
      <c r="A942" s="46">
        <v>45833</v>
      </c>
      <c r="B942" s="32" t="s">
        <v>2</v>
      </c>
      <c r="C942" s="32" t="s">
        <v>26</v>
      </c>
      <c r="D942" s="33">
        <v>570</v>
      </c>
      <c r="E942" s="34">
        <v>3.05</v>
      </c>
      <c r="F942" s="35">
        <v>51.193446092317949</v>
      </c>
      <c r="G9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3" spans="1:7" x14ac:dyDescent="0.35">
      <c r="A943" s="46">
        <v>45852</v>
      </c>
      <c r="B943" s="32" t="s">
        <v>2</v>
      </c>
      <c r="C943" s="32" t="s">
        <v>26</v>
      </c>
      <c r="D943" s="33">
        <v>212.49</v>
      </c>
      <c r="E943" s="34">
        <v>3.05</v>
      </c>
      <c r="F943" s="35">
        <v>53.026866439777542</v>
      </c>
      <c r="G9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4" spans="1:7" x14ac:dyDescent="0.35">
      <c r="A944" s="47">
        <v>46041</v>
      </c>
      <c r="B944" s="39" t="s">
        <v>6</v>
      </c>
      <c r="C944" s="39" t="s">
        <v>26</v>
      </c>
      <c r="D944" s="30">
        <v>129.16</v>
      </c>
      <c r="E944" s="41">
        <v>3.0548500000000001</v>
      </c>
      <c r="F944" s="57">
        <v>52.434208322784812</v>
      </c>
      <c r="G9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5" spans="1:7" x14ac:dyDescent="0.35">
      <c r="A945" s="45">
        <v>45959</v>
      </c>
      <c r="B945" s="39" t="s">
        <v>4</v>
      </c>
      <c r="C945" s="39" t="s">
        <v>26</v>
      </c>
      <c r="D945" s="30">
        <v>157.71</v>
      </c>
      <c r="E945" s="29">
        <v>3.06</v>
      </c>
      <c r="F945" s="29">
        <v>51.4</v>
      </c>
      <c r="G9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6" spans="1:7" x14ac:dyDescent="0.35">
      <c r="A946" s="45">
        <v>45808</v>
      </c>
      <c r="B946" s="29" t="s">
        <v>7</v>
      </c>
      <c r="C946" s="29" t="s">
        <v>26</v>
      </c>
      <c r="D946" s="30">
        <v>30</v>
      </c>
      <c r="E946" s="31">
        <v>3.07</v>
      </c>
      <c r="F946" s="36">
        <v>51.781112501042458</v>
      </c>
      <c r="G9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7" spans="1:7" x14ac:dyDescent="0.35">
      <c r="A947" s="46">
        <v>45757</v>
      </c>
      <c r="B947" s="32" t="s">
        <v>9</v>
      </c>
      <c r="C947" s="32" t="s">
        <v>26</v>
      </c>
      <c r="D947" s="33">
        <v>104.29</v>
      </c>
      <c r="E947" s="34">
        <v>3.0709000000000004</v>
      </c>
      <c r="F947" s="52">
        <v>52.984523952695938</v>
      </c>
      <c r="G9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8" spans="1:7" x14ac:dyDescent="0.35">
      <c r="A948" s="45">
        <v>45757</v>
      </c>
      <c r="B948" s="29" t="s">
        <v>9</v>
      </c>
      <c r="C948" s="29" t="s">
        <v>26</v>
      </c>
      <c r="D948" s="30">
        <v>104.29</v>
      </c>
      <c r="E948" s="31">
        <v>3.0709000000000004</v>
      </c>
      <c r="F948" s="51">
        <v>52.984523952695938</v>
      </c>
      <c r="G9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49" spans="1:7" x14ac:dyDescent="0.35">
      <c r="A949" s="46">
        <v>45752</v>
      </c>
      <c r="B949" s="32" t="s">
        <v>7</v>
      </c>
      <c r="C949" s="32" t="s">
        <v>26</v>
      </c>
      <c r="D949" s="33">
        <v>49.72</v>
      </c>
      <c r="E949" s="34">
        <v>3.0789249999999999</v>
      </c>
      <c r="F949" s="35">
        <v>52.878005376128378</v>
      </c>
      <c r="G9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0" spans="1:7" x14ac:dyDescent="0.35">
      <c r="A950" s="45">
        <v>45752</v>
      </c>
      <c r="B950" s="29" t="s">
        <v>7</v>
      </c>
      <c r="C950" s="29" t="s">
        <v>26</v>
      </c>
      <c r="D950" s="30">
        <v>49.72</v>
      </c>
      <c r="E950" s="31">
        <v>3.0789249999999999</v>
      </c>
      <c r="F950" s="36">
        <v>52.878005376128378</v>
      </c>
      <c r="G9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1" spans="1:7" x14ac:dyDescent="0.35">
      <c r="A951" s="46">
        <v>45966</v>
      </c>
      <c r="B951" s="40" t="s">
        <v>4</v>
      </c>
      <c r="C951" s="40" t="s">
        <v>26</v>
      </c>
      <c r="D951" s="33">
        <v>43.56</v>
      </c>
      <c r="E951" s="43">
        <v>3.08</v>
      </c>
      <c r="F951" s="43">
        <v>52.77380057212914</v>
      </c>
      <c r="G9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2" spans="1:7" x14ac:dyDescent="0.35">
      <c r="A952" s="45">
        <v>45813</v>
      </c>
      <c r="B952" s="29" t="s">
        <v>6</v>
      </c>
      <c r="C952" s="29" t="s">
        <v>26</v>
      </c>
      <c r="D952" s="30">
        <v>787.77</v>
      </c>
      <c r="E952" s="31">
        <v>3.1</v>
      </c>
      <c r="F952" s="51">
        <v>52.526128091946369</v>
      </c>
      <c r="G9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3" spans="1:7" x14ac:dyDescent="0.35">
      <c r="A953" s="45">
        <v>46056</v>
      </c>
      <c r="B953" s="39" t="s">
        <v>3</v>
      </c>
      <c r="C953" s="39" t="s">
        <v>26</v>
      </c>
      <c r="D953" s="30">
        <v>91.98</v>
      </c>
      <c r="E953" s="29">
        <v>3.1</v>
      </c>
      <c r="F953" s="29">
        <v>50.2</v>
      </c>
      <c r="G9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4" spans="1:7" x14ac:dyDescent="0.35">
      <c r="A954" s="45">
        <v>45842</v>
      </c>
      <c r="B954" s="29" t="s">
        <v>7</v>
      </c>
      <c r="C954" s="29" t="s">
        <v>26</v>
      </c>
      <c r="D954" s="30">
        <v>149.09</v>
      </c>
      <c r="E954" s="31">
        <v>3.1003250000000002</v>
      </c>
      <c r="F954" s="36">
        <v>48.782470908179633</v>
      </c>
      <c r="G9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5" spans="1:7" x14ac:dyDescent="0.35">
      <c r="A955" s="47">
        <v>45736</v>
      </c>
      <c r="B955" s="29" t="s">
        <v>6</v>
      </c>
      <c r="C955" s="29" t="s">
        <v>26</v>
      </c>
      <c r="D955" s="30">
        <v>258.37</v>
      </c>
      <c r="E955" s="31">
        <v>3.1030000000000002</v>
      </c>
      <c r="F955" s="51">
        <v>51.686341728308676</v>
      </c>
      <c r="G9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6" spans="1:7" x14ac:dyDescent="0.35">
      <c r="A956" s="46">
        <v>45806</v>
      </c>
      <c r="B956" s="32" t="s">
        <v>5</v>
      </c>
      <c r="C956" s="32" t="s">
        <v>26</v>
      </c>
      <c r="D956" s="33">
        <v>105.8</v>
      </c>
      <c r="E956" s="34">
        <v>3.1137000000000001</v>
      </c>
      <c r="F956" s="52">
        <v>52.649524635941717</v>
      </c>
      <c r="G9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7" spans="1:7" x14ac:dyDescent="0.35">
      <c r="A957" s="46">
        <v>45771</v>
      </c>
      <c r="B957" s="32" t="s">
        <v>2</v>
      </c>
      <c r="C957" s="32" t="s">
        <v>26</v>
      </c>
      <c r="D957" s="33">
        <v>220.94</v>
      </c>
      <c r="E957" s="34">
        <v>3.1190500000000001</v>
      </c>
      <c r="F957" s="35">
        <v>51.753741216623169</v>
      </c>
      <c r="G9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8" spans="1:7" x14ac:dyDescent="0.35">
      <c r="A958" s="47">
        <v>45737</v>
      </c>
      <c r="B958" s="29" t="s">
        <v>4</v>
      </c>
      <c r="C958" s="29" t="s">
        <v>26</v>
      </c>
      <c r="D958" s="30">
        <v>74.91</v>
      </c>
      <c r="E958" s="36">
        <v>3.12975</v>
      </c>
      <c r="F958" s="36">
        <v>52.719316237942124</v>
      </c>
      <c r="G9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59" spans="1:7" x14ac:dyDescent="0.35">
      <c r="A959" s="46">
        <v>45800</v>
      </c>
      <c r="B959" s="32" t="s">
        <v>4</v>
      </c>
      <c r="C959" s="32" t="s">
        <v>26</v>
      </c>
      <c r="D959" s="33">
        <v>48.51</v>
      </c>
      <c r="E959" s="35">
        <v>3.1351000000000004</v>
      </c>
      <c r="F959" s="35">
        <v>52.215603139904609</v>
      </c>
      <c r="G9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0" spans="1:7" x14ac:dyDescent="0.35">
      <c r="A960" s="47">
        <v>45700</v>
      </c>
      <c r="B960" s="29" t="s">
        <v>3</v>
      </c>
      <c r="C960" s="29" t="s">
        <v>26</v>
      </c>
      <c r="D960" s="30">
        <v>91.34</v>
      </c>
      <c r="E960" s="37">
        <v>3.1377750000000004</v>
      </c>
      <c r="F960" s="51">
        <v>49.871142775779376</v>
      </c>
      <c r="G9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1" spans="1:7" x14ac:dyDescent="0.35">
      <c r="A961" s="46">
        <v>45849</v>
      </c>
      <c r="B961" s="32" t="s">
        <v>4</v>
      </c>
      <c r="C961" s="32" t="s">
        <v>26</v>
      </c>
      <c r="D961" s="33">
        <v>269.20999999999998</v>
      </c>
      <c r="E961" s="35">
        <v>3.14</v>
      </c>
      <c r="F961" s="35">
        <v>52.28930483452303</v>
      </c>
      <c r="G9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2" spans="1:7" x14ac:dyDescent="0.35">
      <c r="A962" s="45">
        <v>45783</v>
      </c>
      <c r="B962" s="29" t="s">
        <v>3</v>
      </c>
      <c r="C962" s="29" t="s">
        <v>26</v>
      </c>
      <c r="D962" s="30">
        <v>43.56</v>
      </c>
      <c r="E962" s="36">
        <v>3.1404500000000004</v>
      </c>
      <c r="F962" s="36">
        <v>52.193658308090875</v>
      </c>
      <c r="G9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3" spans="1:7" x14ac:dyDescent="0.35">
      <c r="A963" s="45">
        <v>45866</v>
      </c>
      <c r="B963" s="39" t="s">
        <v>8</v>
      </c>
      <c r="C963" s="39" t="s">
        <v>27</v>
      </c>
      <c r="D963" s="30">
        <v>99.563000000000002</v>
      </c>
      <c r="E963" s="29">
        <v>3.15</v>
      </c>
      <c r="F963" s="29">
        <v>50.7</v>
      </c>
      <c r="G9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4" spans="1:7" x14ac:dyDescent="0.35">
      <c r="A964" s="45">
        <v>45679</v>
      </c>
      <c r="B964" s="29" t="s">
        <v>6</v>
      </c>
      <c r="C964" s="29" t="s">
        <v>26</v>
      </c>
      <c r="D964" s="30">
        <v>209.66</v>
      </c>
      <c r="E964" s="31">
        <v>3.1538249999999999</v>
      </c>
      <c r="F964" s="51">
        <v>52.914745405513386</v>
      </c>
      <c r="G9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5" spans="1:7" x14ac:dyDescent="0.35">
      <c r="A965" s="45">
        <v>45805</v>
      </c>
      <c r="B965" s="29" t="s">
        <v>4</v>
      </c>
      <c r="C965" s="29" t="s">
        <v>26</v>
      </c>
      <c r="D965" s="30">
        <v>97.75</v>
      </c>
      <c r="E965" s="36">
        <v>3.1645250000000003</v>
      </c>
      <c r="F965" s="36">
        <v>52.416843547017095</v>
      </c>
      <c r="G9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6" spans="1:7" x14ac:dyDescent="0.35">
      <c r="A966" s="46">
        <v>45762</v>
      </c>
      <c r="B966" s="32" t="s">
        <v>9</v>
      </c>
      <c r="C966" s="32" t="s">
        <v>26</v>
      </c>
      <c r="D966" s="33">
        <v>172.56</v>
      </c>
      <c r="E966" s="34">
        <v>3.1698750000000002</v>
      </c>
      <c r="F966" s="52">
        <v>52.261611355457816</v>
      </c>
      <c r="G9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7" spans="1:7" x14ac:dyDescent="0.35">
      <c r="A967" s="46">
        <v>45903</v>
      </c>
      <c r="B967" s="40" t="s">
        <v>2</v>
      </c>
      <c r="C967" s="40" t="s">
        <v>26</v>
      </c>
      <c r="D967" s="33">
        <v>244.08</v>
      </c>
      <c r="E967" s="34">
        <v>3.17</v>
      </c>
      <c r="F967" s="35">
        <v>50.230147874306837</v>
      </c>
      <c r="G9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8" spans="1:7" x14ac:dyDescent="0.35">
      <c r="A968" s="48">
        <v>45721</v>
      </c>
      <c r="B968" s="32" t="s">
        <v>6</v>
      </c>
      <c r="C968" s="32" t="s">
        <v>26</v>
      </c>
      <c r="D968" s="33">
        <v>416.24</v>
      </c>
      <c r="E968" s="34">
        <v>3.1779000000000006</v>
      </c>
      <c r="F968" s="52">
        <v>52.045027282554052</v>
      </c>
      <c r="G9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69" spans="1:7" x14ac:dyDescent="0.35">
      <c r="A969" s="45">
        <v>45681</v>
      </c>
      <c r="B969" s="29" t="s">
        <v>3</v>
      </c>
      <c r="C969" s="29" t="s">
        <v>26</v>
      </c>
      <c r="D969" s="30">
        <v>86</v>
      </c>
      <c r="E969" s="36">
        <v>3.1993000000000005</v>
      </c>
      <c r="F969" s="36">
        <v>52.392762074038558</v>
      </c>
      <c r="G9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70" spans="1:7" x14ac:dyDescent="0.35">
      <c r="A970" s="45">
        <v>45983</v>
      </c>
      <c r="B970" s="39" t="s">
        <v>4</v>
      </c>
      <c r="C970" s="39" t="s">
        <v>26</v>
      </c>
      <c r="D970" s="30">
        <v>250.58</v>
      </c>
      <c r="E970" s="44">
        <v>3.2</v>
      </c>
      <c r="F970" s="44">
        <v>52.599999999999994</v>
      </c>
      <c r="G9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71" spans="1:7" x14ac:dyDescent="0.35">
      <c r="A971" s="47">
        <v>45742</v>
      </c>
      <c r="B971" s="29" t="s">
        <v>6</v>
      </c>
      <c r="C971" s="29" t="s">
        <v>26</v>
      </c>
      <c r="D971" s="30">
        <v>264.52</v>
      </c>
      <c r="E971" s="31">
        <v>3.21</v>
      </c>
      <c r="F971" s="51">
        <v>52.283891891891891</v>
      </c>
      <c r="G9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72" spans="1:7" x14ac:dyDescent="0.35">
      <c r="A972" s="46">
        <v>45939</v>
      </c>
      <c r="B972" s="40" t="s">
        <v>4</v>
      </c>
      <c r="C972" s="40" t="s">
        <v>26</v>
      </c>
      <c r="D972" s="33">
        <v>207.68</v>
      </c>
      <c r="E972" s="43">
        <v>3.21</v>
      </c>
      <c r="F972" s="43">
        <v>51.724508100885252</v>
      </c>
      <c r="G9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73" spans="1:7" x14ac:dyDescent="0.35">
      <c r="A973" s="46">
        <v>45888</v>
      </c>
      <c r="B973" s="40" t="s">
        <v>4</v>
      </c>
      <c r="C973" s="40" t="s">
        <v>26</v>
      </c>
      <c r="D973" s="33">
        <v>250.22</v>
      </c>
      <c r="E973" s="35">
        <v>3.24</v>
      </c>
      <c r="F973" s="35">
        <v>51.093820598006644</v>
      </c>
      <c r="G9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T3</v>
      </c>
    </row>
    <row r="974" spans="1:7" x14ac:dyDescent="0.35">
      <c r="A974" s="45">
        <v>45927</v>
      </c>
      <c r="B974" s="39" t="s">
        <v>4</v>
      </c>
      <c r="C974" s="39" t="s">
        <v>26</v>
      </c>
      <c r="D974" s="30">
        <v>48.78</v>
      </c>
      <c r="E974" s="44">
        <v>3.25</v>
      </c>
      <c r="F974" s="44">
        <v>52.970746953763971</v>
      </c>
      <c r="G9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75" spans="1:7" x14ac:dyDescent="0.35">
      <c r="A975" s="45">
        <v>45847</v>
      </c>
      <c r="B975" s="29" t="s">
        <v>8</v>
      </c>
      <c r="C975" s="29" t="s">
        <v>27</v>
      </c>
      <c r="D975" s="30">
        <v>235</v>
      </c>
      <c r="E975" s="31">
        <v>3.26</v>
      </c>
      <c r="F975" s="51">
        <v>52.429602385685882</v>
      </c>
      <c r="G9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76" spans="1:7" x14ac:dyDescent="0.35">
      <c r="A976" s="49">
        <v>45797</v>
      </c>
      <c r="B976" s="40" t="s">
        <v>8</v>
      </c>
      <c r="C976" s="40" t="s">
        <v>27</v>
      </c>
      <c r="D976" s="33">
        <v>199.19900000000001</v>
      </c>
      <c r="E976" s="32">
        <v>3.27</v>
      </c>
      <c r="F976" s="32">
        <v>52.6</v>
      </c>
      <c r="G9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77" spans="1:7" x14ac:dyDescent="0.35">
      <c r="A977" s="50">
        <v>45798</v>
      </c>
      <c r="B977" s="39" t="s">
        <v>8</v>
      </c>
      <c r="C977" s="39" t="s">
        <v>27</v>
      </c>
      <c r="D977" s="30">
        <v>76.903999999999996</v>
      </c>
      <c r="E977" s="29">
        <v>3.27</v>
      </c>
      <c r="F977" s="29">
        <v>52.6</v>
      </c>
      <c r="G9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78" spans="1:7" x14ac:dyDescent="0.35">
      <c r="A978" s="49">
        <v>45799</v>
      </c>
      <c r="B978" s="40" t="s">
        <v>8</v>
      </c>
      <c r="C978" s="40" t="s">
        <v>27</v>
      </c>
      <c r="D978" s="33">
        <v>416.45</v>
      </c>
      <c r="E978" s="32">
        <v>3.27</v>
      </c>
      <c r="F978" s="32">
        <v>52.6</v>
      </c>
      <c r="G9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79" spans="1:7" x14ac:dyDescent="0.35">
      <c r="A979" s="48">
        <v>45730</v>
      </c>
      <c r="B979" s="32" t="s">
        <v>3</v>
      </c>
      <c r="C979" s="32" t="s">
        <v>26</v>
      </c>
      <c r="D979" s="33">
        <v>80.739999999999995</v>
      </c>
      <c r="E979" s="35">
        <v>3.2715250000000005</v>
      </c>
      <c r="F979" s="35">
        <v>51.166329723656766</v>
      </c>
      <c r="G9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0" spans="1:7" x14ac:dyDescent="0.35">
      <c r="A980" s="45">
        <v>45820</v>
      </c>
      <c r="B980" s="29" t="s">
        <v>4</v>
      </c>
      <c r="C980" s="29" t="s">
        <v>26</v>
      </c>
      <c r="D980" s="30">
        <v>96.13</v>
      </c>
      <c r="E980" s="36">
        <v>3.28</v>
      </c>
      <c r="F980" s="36">
        <v>52.099954682779455</v>
      </c>
      <c r="G9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1" spans="1:7" x14ac:dyDescent="0.35">
      <c r="A981" s="45">
        <v>45988</v>
      </c>
      <c r="B981" s="39" t="s">
        <v>3</v>
      </c>
      <c r="C981" s="39" t="s">
        <v>26</v>
      </c>
      <c r="D981" s="30">
        <v>90.28</v>
      </c>
      <c r="E981" s="44">
        <v>3.28</v>
      </c>
      <c r="F981" s="44">
        <v>51.091323283082076</v>
      </c>
      <c r="G9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2" spans="1:7" x14ac:dyDescent="0.35">
      <c r="A982" s="46">
        <v>45772</v>
      </c>
      <c r="B982" s="32" t="s">
        <v>3</v>
      </c>
      <c r="C982" s="32" t="s">
        <v>26</v>
      </c>
      <c r="D982" s="33">
        <v>87.5</v>
      </c>
      <c r="E982" s="35">
        <v>3.2822249999999999</v>
      </c>
      <c r="F982" s="35">
        <v>52.572848905642509</v>
      </c>
      <c r="G9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3" spans="1:7" x14ac:dyDescent="0.35">
      <c r="A983" s="46">
        <v>45677</v>
      </c>
      <c r="B983" s="32" t="s">
        <v>5</v>
      </c>
      <c r="C983" s="32" t="s">
        <v>26</v>
      </c>
      <c r="D983" s="33">
        <v>213.26</v>
      </c>
      <c r="E983" s="34">
        <v>3.2848999999999999</v>
      </c>
      <c r="F983" s="52">
        <v>51.720139770908368</v>
      </c>
      <c r="G9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4" spans="1:7" x14ac:dyDescent="0.35">
      <c r="A984" s="46">
        <v>45906</v>
      </c>
      <c r="B984" s="40" t="s">
        <v>3</v>
      </c>
      <c r="C984" s="40" t="s">
        <v>26</v>
      </c>
      <c r="D984" s="33">
        <v>68.92</v>
      </c>
      <c r="E984" s="35">
        <v>3.29</v>
      </c>
      <c r="F984" s="35">
        <v>52.266311236796142</v>
      </c>
      <c r="G9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5" spans="1:7" x14ac:dyDescent="0.35">
      <c r="A985" s="45">
        <v>45960</v>
      </c>
      <c r="B985" s="39" t="s">
        <v>18</v>
      </c>
      <c r="C985" s="39" t="s">
        <v>27</v>
      </c>
      <c r="D985" s="30">
        <v>227.6</v>
      </c>
      <c r="E985" s="29">
        <v>3.29</v>
      </c>
      <c r="F985" s="29">
        <v>53.2</v>
      </c>
      <c r="G9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6" spans="1:7" x14ac:dyDescent="0.35">
      <c r="A986" s="46">
        <v>46049</v>
      </c>
      <c r="B986" s="40" t="s">
        <v>2</v>
      </c>
      <c r="C986" s="40" t="s">
        <v>26</v>
      </c>
      <c r="D986" s="33">
        <v>358.78</v>
      </c>
      <c r="E986" s="32">
        <v>3.29</v>
      </c>
      <c r="F986" s="32">
        <v>49.8</v>
      </c>
      <c r="G9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7" spans="1:7" x14ac:dyDescent="0.35">
      <c r="A987" s="45">
        <v>45675</v>
      </c>
      <c r="B987" s="29" t="s">
        <v>6</v>
      </c>
      <c r="C987" s="29" t="s">
        <v>26</v>
      </c>
      <c r="D987" s="30">
        <v>384.74</v>
      </c>
      <c r="E987" s="31">
        <v>3.2929250000000003</v>
      </c>
      <c r="F987" s="51">
        <v>52.38972972972973</v>
      </c>
      <c r="G9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8" spans="1:7" x14ac:dyDescent="0.35">
      <c r="A988" s="46">
        <v>45937</v>
      </c>
      <c r="B988" s="40" t="s">
        <v>16</v>
      </c>
      <c r="C988" s="40" t="s">
        <v>27</v>
      </c>
      <c r="D988" s="33">
        <v>169.66</v>
      </c>
      <c r="E988" s="42">
        <v>3.3</v>
      </c>
      <c r="F988" s="58">
        <v>52.209841468502297</v>
      </c>
      <c r="G9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89" spans="1:7" x14ac:dyDescent="0.35">
      <c r="A989" s="46">
        <v>45972</v>
      </c>
      <c r="B989" s="40" t="s">
        <v>4</v>
      </c>
      <c r="C989" s="40" t="s">
        <v>26</v>
      </c>
      <c r="D989" s="33">
        <v>45.96</v>
      </c>
      <c r="E989" s="32">
        <v>3.3</v>
      </c>
      <c r="F989" s="32">
        <v>52.9</v>
      </c>
      <c r="G9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0" spans="1:7" x14ac:dyDescent="0.35">
      <c r="A990" s="46">
        <v>45827</v>
      </c>
      <c r="B990" s="32" t="s">
        <v>4</v>
      </c>
      <c r="C990" s="32" t="s">
        <v>26</v>
      </c>
      <c r="D990" s="33">
        <v>272.36</v>
      </c>
      <c r="E990" s="35">
        <v>3.31</v>
      </c>
      <c r="F990" s="35">
        <v>50.618333333333339</v>
      </c>
      <c r="G9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1" spans="1:7" x14ac:dyDescent="0.35">
      <c r="A991" s="45">
        <v>45828</v>
      </c>
      <c r="B991" s="39" t="s">
        <v>8</v>
      </c>
      <c r="C991" s="39" t="s">
        <v>27</v>
      </c>
      <c r="D991" s="30">
        <v>684.45399999999995</v>
      </c>
      <c r="E991" s="41">
        <v>3.32</v>
      </c>
      <c r="F991" s="55">
        <v>52.428369710096625</v>
      </c>
      <c r="G9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2" spans="1:7" x14ac:dyDescent="0.35">
      <c r="A992" s="45">
        <v>46038</v>
      </c>
      <c r="B992" s="39" t="s">
        <v>18</v>
      </c>
      <c r="C992" s="39" t="s">
        <v>27</v>
      </c>
      <c r="D992" s="30">
        <v>299.52</v>
      </c>
      <c r="E992" s="29">
        <v>3.33</v>
      </c>
      <c r="F992" s="29">
        <v>51.9</v>
      </c>
      <c r="G9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3" spans="1:7" x14ac:dyDescent="0.35">
      <c r="A993" s="46">
        <v>45806</v>
      </c>
      <c r="B993" s="32" t="s">
        <v>6</v>
      </c>
      <c r="C993" s="32" t="s">
        <v>26</v>
      </c>
      <c r="D993" s="33">
        <v>68.89</v>
      </c>
      <c r="E993" s="34">
        <v>3.3303750000000001</v>
      </c>
      <c r="F993" s="52">
        <v>50.984553383458639</v>
      </c>
      <c r="G9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4" spans="1:7" x14ac:dyDescent="0.35">
      <c r="A994" s="45">
        <v>45959</v>
      </c>
      <c r="B994" s="39" t="s">
        <v>3</v>
      </c>
      <c r="C994" s="39" t="s">
        <v>26</v>
      </c>
      <c r="D994" s="30">
        <v>68.459999999999994</v>
      </c>
      <c r="E994" s="29">
        <v>3.34</v>
      </c>
      <c r="F994" s="29">
        <v>51.4</v>
      </c>
      <c r="G9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5" spans="1:7" x14ac:dyDescent="0.35">
      <c r="A995" s="45">
        <v>46043</v>
      </c>
      <c r="B995" s="39" t="s">
        <v>18</v>
      </c>
      <c r="C995" s="39" t="s">
        <v>27</v>
      </c>
      <c r="D995" s="30">
        <v>322.52</v>
      </c>
      <c r="E995" s="29">
        <v>3.34</v>
      </c>
      <c r="F995" s="29">
        <v>52.1</v>
      </c>
      <c r="G9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6" spans="1:7" x14ac:dyDescent="0.35">
      <c r="A996" s="48">
        <v>45735</v>
      </c>
      <c r="B996" s="32" t="s">
        <v>6</v>
      </c>
      <c r="C996" s="32" t="s">
        <v>26</v>
      </c>
      <c r="D996" s="33">
        <v>324.97000000000003</v>
      </c>
      <c r="E996" s="34">
        <v>3.3410750000000005</v>
      </c>
      <c r="F996" s="52">
        <v>52.282724368573426</v>
      </c>
      <c r="G9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7" spans="1:7" x14ac:dyDescent="0.35">
      <c r="A997" s="45">
        <v>45680</v>
      </c>
      <c r="B997" s="29" t="s">
        <v>5</v>
      </c>
      <c r="C997" s="29" t="s">
        <v>26</v>
      </c>
      <c r="D997" s="30">
        <v>169.16</v>
      </c>
      <c r="E997" s="31">
        <v>3.3491</v>
      </c>
      <c r="F997" s="51">
        <v>51.803621792101339</v>
      </c>
      <c r="G9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8" spans="1:7" x14ac:dyDescent="0.35">
      <c r="A998" s="45">
        <v>45924</v>
      </c>
      <c r="B998" s="39" t="s">
        <v>8</v>
      </c>
      <c r="C998" s="39" t="s">
        <v>27</v>
      </c>
      <c r="D998" s="30">
        <v>488.75400000000002</v>
      </c>
      <c r="E998" s="29">
        <v>3.351</v>
      </c>
      <c r="F998" s="29">
        <v>52.9</v>
      </c>
      <c r="G9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999" spans="1:7" x14ac:dyDescent="0.35">
      <c r="A999" s="46">
        <v>45686</v>
      </c>
      <c r="B999" s="32" t="s">
        <v>6</v>
      </c>
      <c r="C999" s="32" t="s">
        <v>26</v>
      </c>
      <c r="D999" s="33">
        <v>487.05</v>
      </c>
      <c r="E999" s="34">
        <v>3.3517749999999999</v>
      </c>
      <c r="F999" s="52">
        <v>52.484571428571428</v>
      </c>
      <c r="G9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0" spans="1:7" x14ac:dyDescent="0.35">
      <c r="A1000" s="45">
        <v>45853</v>
      </c>
      <c r="B1000" s="29" t="s">
        <v>8</v>
      </c>
      <c r="C1000" s="29" t="s">
        <v>27</v>
      </c>
      <c r="D1000" s="30">
        <v>235</v>
      </c>
      <c r="E1000" s="31">
        <v>3.37</v>
      </c>
      <c r="F1000" s="51">
        <v>49.099693919305999</v>
      </c>
      <c r="G10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1" spans="1:7" x14ac:dyDescent="0.35">
      <c r="A1001" s="46">
        <v>45853</v>
      </c>
      <c r="B1001" s="40" t="s">
        <v>8</v>
      </c>
      <c r="C1001" s="40" t="s">
        <v>27</v>
      </c>
      <c r="D1001" s="33">
        <v>131.33799999999999</v>
      </c>
      <c r="E1001" s="42">
        <v>3.37</v>
      </c>
      <c r="F1001" s="56">
        <v>49.099693919305999</v>
      </c>
      <c r="G10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2" spans="1:7" x14ac:dyDescent="0.35">
      <c r="A1002" s="46">
        <v>45952</v>
      </c>
      <c r="B1002" s="40" t="s">
        <v>16</v>
      </c>
      <c r="C1002" s="40" t="s">
        <v>27</v>
      </c>
      <c r="D1002" s="33">
        <v>193.94</v>
      </c>
      <c r="E1002" s="32">
        <v>3.37</v>
      </c>
      <c r="F1002" s="32">
        <v>52.4</v>
      </c>
      <c r="G10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3" spans="1:7" x14ac:dyDescent="0.35">
      <c r="A1003" s="46">
        <v>45847</v>
      </c>
      <c r="B1003" s="32" t="s">
        <v>8</v>
      </c>
      <c r="C1003" s="32" t="s">
        <v>27</v>
      </c>
      <c r="D1003" s="33">
        <v>235</v>
      </c>
      <c r="E1003" s="34">
        <v>3.4</v>
      </c>
      <c r="F1003" s="52">
        <v>52.042179487179489</v>
      </c>
      <c r="G10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4" spans="1:7" x14ac:dyDescent="0.35">
      <c r="A1004" s="45">
        <v>45990</v>
      </c>
      <c r="B1004" s="39" t="s">
        <v>2</v>
      </c>
      <c r="C1004" s="39" t="s">
        <v>26</v>
      </c>
      <c r="D1004" s="30">
        <v>69</v>
      </c>
      <c r="E1004" s="29">
        <v>3.4</v>
      </c>
      <c r="F1004" s="29">
        <v>51.9</v>
      </c>
      <c r="G10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5" spans="1:7" x14ac:dyDescent="0.35">
      <c r="A1005" s="46">
        <v>45974</v>
      </c>
      <c r="B1005" s="40" t="s">
        <v>18</v>
      </c>
      <c r="C1005" s="40" t="s">
        <v>27</v>
      </c>
      <c r="D1005" s="33">
        <v>160.22</v>
      </c>
      <c r="E1005" s="32">
        <v>3.41</v>
      </c>
      <c r="F1005" s="32">
        <v>52.5</v>
      </c>
      <c r="G10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6" spans="1:7" x14ac:dyDescent="0.35">
      <c r="A1006" s="45">
        <v>45798</v>
      </c>
      <c r="B1006" s="29" t="s">
        <v>6</v>
      </c>
      <c r="C1006" s="29" t="s">
        <v>26</v>
      </c>
      <c r="D1006" s="30">
        <v>34.369999999999997</v>
      </c>
      <c r="E1006" s="31">
        <v>3.4266750000000004</v>
      </c>
      <c r="F1006" s="51">
        <v>52.321138745980704</v>
      </c>
      <c r="G10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7" spans="1:7" x14ac:dyDescent="0.35">
      <c r="A1007" s="45">
        <v>45824</v>
      </c>
      <c r="B1007" s="29" t="s">
        <v>4</v>
      </c>
      <c r="C1007" s="29" t="s">
        <v>26</v>
      </c>
      <c r="D1007" s="30">
        <v>47.89</v>
      </c>
      <c r="E1007" s="36">
        <v>3.43</v>
      </c>
      <c r="F1007" s="36">
        <v>52.151931238995459</v>
      </c>
      <c r="G10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8" spans="1:7" x14ac:dyDescent="0.35">
      <c r="A1008" s="45">
        <v>45862</v>
      </c>
      <c r="B1008" s="29" t="s">
        <v>8</v>
      </c>
      <c r="C1008" s="29" t="s">
        <v>27</v>
      </c>
      <c r="D1008" s="30">
        <v>235</v>
      </c>
      <c r="E1008" s="31">
        <v>3.45</v>
      </c>
      <c r="F1008" s="51">
        <v>50.877602436785445</v>
      </c>
      <c r="G10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09" spans="1:7" x14ac:dyDescent="0.35">
      <c r="A1009" s="46">
        <v>45862</v>
      </c>
      <c r="B1009" s="40" t="s">
        <v>8</v>
      </c>
      <c r="C1009" s="40" t="s">
        <v>27</v>
      </c>
      <c r="D1009" s="33">
        <v>815.15</v>
      </c>
      <c r="E1009" s="32">
        <v>3.45</v>
      </c>
      <c r="F1009" s="32">
        <v>50.9</v>
      </c>
      <c r="G10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0" spans="1:7" x14ac:dyDescent="0.35">
      <c r="A1010" s="46">
        <v>45799</v>
      </c>
      <c r="B1010" s="32" t="s">
        <v>6</v>
      </c>
      <c r="C1010" s="32" t="s">
        <v>26</v>
      </c>
      <c r="D1010" s="33">
        <v>103.92</v>
      </c>
      <c r="E1010" s="34">
        <v>3.4587750000000002</v>
      </c>
      <c r="F1010" s="52">
        <v>52.561121785249675</v>
      </c>
      <c r="G10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1" spans="1:7" x14ac:dyDescent="0.35">
      <c r="A1011" s="46">
        <v>46036</v>
      </c>
      <c r="B1011" s="40" t="s">
        <v>5</v>
      </c>
      <c r="C1011" s="40" t="s">
        <v>26</v>
      </c>
      <c r="D1011" s="33">
        <v>35.67</v>
      </c>
      <c r="E1011" s="32">
        <v>3.46</v>
      </c>
      <c r="F1011" s="32">
        <v>51.7</v>
      </c>
      <c r="G10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2" spans="1:7" x14ac:dyDescent="0.35">
      <c r="A1012" s="48">
        <v>45688</v>
      </c>
      <c r="B1012" s="32" t="s">
        <v>3</v>
      </c>
      <c r="C1012" s="32" t="s">
        <v>26</v>
      </c>
      <c r="D1012" s="33">
        <v>153.26</v>
      </c>
      <c r="E1012" s="34">
        <v>3.4614500000000001</v>
      </c>
      <c r="F1012" s="52">
        <v>52.41897081002098</v>
      </c>
      <c r="G10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3" spans="1:7" x14ac:dyDescent="0.35">
      <c r="A1013" s="45">
        <v>45824</v>
      </c>
      <c r="B1013" s="29" t="s">
        <v>3</v>
      </c>
      <c r="C1013" s="29" t="s">
        <v>26</v>
      </c>
      <c r="D1013" s="30">
        <v>20.5</v>
      </c>
      <c r="E1013" s="36">
        <v>3.48</v>
      </c>
      <c r="F1013" s="36">
        <v>51.388081457663446</v>
      </c>
      <c r="G10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4" spans="1:7" x14ac:dyDescent="0.35">
      <c r="A1014" s="46">
        <v>45856</v>
      </c>
      <c r="B1014" s="32" t="s">
        <v>3</v>
      </c>
      <c r="C1014" s="32" t="s">
        <v>26</v>
      </c>
      <c r="D1014" s="33">
        <v>45.44</v>
      </c>
      <c r="E1014" s="35">
        <v>3.48</v>
      </c>
      <c r="F1014" s="35">
        <v>52.184516827724096</v>
      </c>
      <c r="G10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5" spans="1:7" x14ac:dyDescent="0.35">
      <c r="A1015" s="46">
        <v>45945</v>
      </c>
      <c r="B1015" s="40" t="s">
        <v>17</v>
      </c>
      <c r="C1015" s="40" t="s">
        <v>27</v>
      </c>
      <c r="D1015" s="33">
        <v>24.72</v>
      </c>
      <c r="E1015" s="32">
        <v>3.48</v>
      </c>
      <c r="F1015" s="32">
        <v>52.3</v>
      </c>
      <c r="G10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6" spans="1:7" x14ac:dyDescent="0.35">
      <c r="A1016" s="45">
        <v>45801</v>
      </c>
      <c r="B1016" s="29" t="s">
        <v>3</v>
      </c>
      <c r="C1016" s="29" t="s">
        <v>26</v>
      </c>
      <c r="D1016" s="30">
        <v>22.36</v>
      </c>
      <c r="E1016" s="36">
        <v>3.48285</v>
      </c>
      <c r="F1016" s="36">
        <v>52.295324348260699</v>
      </c>
      <c r="G10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7" spans="1:7" x14ac:dyDescent="0.35">
      <c r="A1017" s="48">
        <v>45686</v>
      </c>
      <c r="B1017" s="32" t="s">
        <v>3</v>
      </c>
      <c r="C1017" s="32" t="s">
        <v>26</v>
      </c>
      <c r="D1017" s="33">
        <v>43.32</v>
      </c>
      <c r="E1017" s="34">
        <v>3.485525</v>
      </c>
      <c r="F1017" s="52">
        <v>50.449958732369709</v>
      </c>
      <c r="G10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8" spans="1:7" x14ac:dyDescent="0.35">
      <c r="A1018" s="47">
        <v>45744</v>
      </c>
      <c r="B1018" s="29" t="s">
        <v>9</v>
      </c>
      <c r="C1018" s="29" t="s">
        <v>26</v>
      </c>
      <c r="D1018" s="30">
        <v>139.66</v>
      </c>
      <c r="E1018" s="31">
        <v>3.485525</v>
      </c>
      <c r="F1018" s="51">
        <v>52.483330668939921</v>
      </c>
      <c r="G10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19" spans="1:7" x14ac:dyDescent="0.35">
      <c r="A1019" s="45">
        <v>45849</v>
      </c>
      <c r="B1019" s="29" t="s">
        <v>3</v>
      </c>
      <c r="C1019" s="29" t="s">
        <v>26</v>
      </c>
      <c r="D1019" s="30">
        <v>91.4</v>
      </c>
      <c r="E1019" s="36">
        <v>3.49</v>
      </c>
      <c r="F1019" s="36">
        <v>51.971717180244823</v>
      </c>
      <c r="G10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0" spans="1:7" x14ac:dyDescent="0.35">
      <c r="A1020" s="46">
        <v>45852</v>
      </c>
      <c r="B1020" s="32" t="s">
        <v>3</v>
      </c>
      <c r="C1020" s="32" t="s">
        <v>26</v>
      </c>
      <c r="D1020" s="33">
        <v>89.7</v>
      </c>
      <c r="E1020" s="35">
        <v>3.49</v>
      </c>
      <c r="F1020" s="35">
        <v>51.971717180244823</v>
      </c>
      <c r="G10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1" spans="1:7" x14ac:dyDescent="0.35">
      <c r="A1021" s="45">
        <v>45877</v>
      </c>
      <c r="B1021" s="39" t="s">
        <v>3</v>
      </c>
      <c r="C1021" s="39" t="s">
        <v>26</v>
      </c>
      <c r="D1021" s="30">
        <v>63.06</v>
      </c>
      <c r="E1021" s="36">
        <v>3.49</v>
      </c>
      <c r="F1021" s="36">
        <v>52.208815603426764</v>
      </c>
      <c r="G10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2" spans="1:7" x14ac:dyDescent="0.35">
      <c r="A1022" s="47">
        <v>45720</v>
      </c>
      <c r="B1022" s="29" t="s">
        <v>4</v>
      </c>
      <c r="C1022" s="29" t="s">
        <v>26</v>
      </c>
      <c r="D1022" s="30">
        <v>51.06</v>
      </c>
      <c r="E1022" s="36">
        <v>3.4935500000000004</v>
      </c>
      <c r="F1022" s="36">
        <v>51.811511079915775</v>
      </c>
      <c r="G10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3" spans="1:7" x14ac:dyDescent="0.35">
      <c r="A1023" s="45">
        <v>46049</v>
      </c>
      <c r="B1023" s="39" t="s">
        <v>3</v>
      </c>
      <c r="C1023" s="39" t="s">
        <v>26</v>
      </c>
      <c r="D1023" s="30">
        <v>23.9</v>
      </c>
      <c r="E1023" s="29">
        <v>3.5</v>
      </c>
      <c r="F1023" s="29">
        <v>52.3</v>
      </c>
      <c r="G10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4" spans="1:7" x14ac:dyDescent="0.35">
      <c r="A1024" s="46">
        <v>45762</v>
      </c>
      <c r="B1024" s="32" t="s">
        <v>4</v>
      </c>
      <c r="C1024" s="32" t="s">
        <v>26</v>
      </c>
      <c r="D1024" s="33">
        <v>100.35</v>
      </c>
      <c r="E1024" s="35">
        <v>3.5015750000000003</v>
      </c>
      <c r="F1024" s="35">
        <v>52.608269578957895</v>
      </c>
      <c r="G10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5" spans="1:7" x14ac:dyDescent="0.35">
      <c r="A1025" s="47">
        <v>45721</v>
      </c>
      <c r="B1025" s="29" t="s">
        <v>5</v>
      </c>
      <c r="C1025" s="29" t="s">
        <v>26</v>
      </c>
      <c r="D1025" s="30">
        <v>220.58</v>
      </c>
      <c r="E1025" s="31">
        <v>3.5069249999999998</v>
      </c>
      <c r="F1025" s="51">
        <v>51.805284070033871</v>
      </c>
      <c r="G10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6" spans="1:7" x14ac:dyDescent="0.35">
      <c r="A1026" s="46">
        <v>45792</v>
      </c>
      <c r="B1026" s="32" t="s">
        <v>7</v>
      </c>
      <c r="C1026" s="32" t="s">
        <v>26</v>
      </c>
      <c r="D1026" s="33">
        <v>75.91</v>
      </c>
      <c r="E1026" s="34">
        <v>3.5095999999999998</v>
      </c>
      <c r="F1026" s="35">
        <v>51.961352084541552</v>
      </c>
      <c r="G10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7" spans="1:7" x14ac:dyDescent="0.35">
      <c r="A1027" s="45">
        <v>45678</v>
      </c>
      <c r="B1027" s="29" t="s">
        <v>5</v>
      </c>
      <c r="C1027" s="29" t="s">
        <v>26</v>
      </c>
      <c r="D1027" s="30">
        <v>108.29</v>
      </c>
      <c r="E1027" s="31">
        <v>3.5149500000000002</v>
      </c>
      <c r="F1027" s="51">
        <v>51.811445586061481</v>
      </c>
      <c r="G10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8" spans="1:7" x14ac:dyDescent="0.35">
      <c r="A1028" s="48">
        <v>45737</v>
      </c>
      <c r="B1028" s="32" t="s">
        <v>6</v>
      </c>
      <c r="C1028" s="32" t="s">
        <v>26</v>
      </c>
      <c r="D1028" s="33">
        <v>34.15</v>
      </c>
      <c r="E1028" s="34">
        <v>3.5203000000000002</v>
      </c>
      <c r="F1028" s="52">
        <v>52.213659634036595</v>
      </c>
      <c r="G10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29" spans="1:7" x14ac:dyDescent="0.35">
      <c r="A1029" s="47">
        <v>45695</v>
      </c>
      <c r="B1029" s="29" t="s">
        <v>3</v>
      </c>
      <c r="C1029" s="29" t="s">
        <v>26</v>
      </c>
      <c r="D1029" s="30">
        <v>89.42</v>
      </c>
      <c r="E1029" s="37">
        <v>3.5390250000000005</v>
      </c>
      <c r="F1029" s="51">
        <v>50.8691282633512</v>
      </c>
      <c r="G10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0" spans="1:7" x14ac:dyDescent="0.35">
      <c r="A1030" s="45">
        <v>45968</v>
      </c>
      <c r="B1030" s="39" t="s">
        <v>4</v>
      </c>
      <c r="C1030" s="39" t="s">
        <v>26</v>
      </c>
      <c r="D1030" s="30">
        <v>141.1</v>
      </c>
      <c r="E1030" s="44">
        <v>3.54</v>
      </c>
      <c r="F1030" s="44">
        <v>52.179267343851308</v>
      </c>
      <c r="G10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1" spans="1:7" x14ac:dyDescent="0.35">
      <c r="A1031" s="46">
        <v>45961</v>
      </c>
      <c r="B1031" s="40" t="s">
        <v>18</v>
      </c>
      <c r="C1031" s="40" t="s">
        <v>27</v>
      </c>
      <c r="D1031" s="33">
        <v>291.62</v>
      </c>
      <c r="E1031" s="32">
        <v>3.55</v>
      </c>
      <c r="F1031" s="32">
        <v>51.5</v>
      </c>
      <c r="G10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2" spans="1:7" x14ac:dyDescent="0.35">
      <c r="A1032" s="45">
        <v>45981</v>
      </c>
      <c r="B1032" s="39" t="s">
        <v>4</v>
      </c>
      <c r="C1032" s="39" t="s">
        <v>26</v>
      </c>
      <c r="D1032" s="30">
        <v>121.86</v>
      </c>
      <c r="E1032" s="44">
        <v>3.56</v>
      </c>
      <c r="F1032" s="44">
        <v>52.497419971730267</v>
      </c>
      <c r="G10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3" spans="1:7" x14ac:dyDescent="0.35">
      <c r="A1033" s="45">
        <v>45982</v>
      </c>
      <c r="B1033" s="39" t="s">
        <v>4</v>
      </c>
      <c r="C1033" s="39" t="s">
        <v>26</v>
      </c>
      <c r="D1033" s="30">
        <v>74.25</v>
      </c>
      <c r="E1033" s="44">
        <v>3.56</v>
      </c>
      <c r="F1033" s="44">
        <v>52.497419971730267</v>
      </c>
      <c r="G10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4" spans="1:7" x14ac:dyDescent="0.35">
      <c r="A1034" s="46">
        <v>45938</v>
      </c>
      <c r="B1034" s="40" t="s">
        <v>16</v>
      </c>
      <c r="C1034" s="40" t="s">
        <v>27</v>
      </c>
      <c r="D1034" s="33">
        <v>385.08</v>
      </c>
      <c r="E1034" s="42">
        <v>3.59</v>
      </c>
      <c r="F1034" s="56">
        <v>51.362233820459288</v>
      </c>
      <c r="G10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5" spans="1:7" x14ac:dyDescent="0.35">
      <c r="A1035" s="45">
        <v>45939</v>
      </c>
      <c r="B1035" s="39" t="s">
        <v>16</v>
      </c>
      <c r="C1035" s="39" t="s">
        <v>27</v>
      </c>
      <c r="D1035" s="30">
        <v>347.38</v>
      </c>
      <c r="E1035" s="41">
        <v>3.59</v>
      </c>
      <c r="F1035" s="55">
        <v>51.362233820459288</v>
      </c>
      <c r="G10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6" spans="1:7" x14ac:dyDescent="0.35">
      <c r="A1036" s="46">
        <v>46052</v>
      </c>
      <c r="B1036" s="40" t="s">
        <v>3</v>
      </c>
      <c r="C1036" s="40" t="s">
        <v>26</v>
      </c>
      <c r="D1036" s="33">
        <v>23.1</v>
      </c>
      <c r="E1036" s="32">
        <v>3.6</v>
      </c>
      <c r="F1036" s="32">
        <v>52.3</v>
      </c>
      <c r="G10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7" spans="1:7" x14ac:dyDescent="0.35">
      <c r="A1037" s="45">
        <v>45857</v>
      </c>
      <c r="B1037" s="29" t="s">
        <v>3</v>
      </c>
      <c r="C1037" s="29" t="s">
        <v>26</v>
      </c>
      <c r="D1037" s="30">
        <v>23.06</v>
      </c>
      <c r="E1037" s="36">
        <v>3.61</v>
      </c>
      <c r="F1037" s="36">
        <v>52.025266183454143</v>
      </c>
      <c r="G10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8" spans="1:7" x14ac:dyDescent="0.35">
      <c r="A1038" s="46">
        <v>45848</v>
      </c>
      <c r="B1038" s="32" t="s">
        <v>8</v>
      </c>
      <c r="C1038" s="32" t="s">
        <v>27</v>
      </c>
      <c r="D1038" s="33">
        <v>235</v>
      </c>
      <c r="E1038" s="34">
        <v>3.61</v>
      </c>
      <c r="F1038" s="52">
        <v>52.49330788002834</v>
      </c>
      <c r="G10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39" spans="1:7" x14ac:dyDescent="0.35">
      <c r="A1039" s="45">
        <v>45852</v>
      </c>
      <c r="B1039" s="39" t="s">
        <v>8</v>
      </c>
      <c r="C1039" s="39" t="s">
        <v>27</v>
      </c>
      <c r="D1039" s="30">
        <v>222.16800000000001</v>
      </c>
      <c r="E1039" s="41">
        <v>3.61</v>
      </c>
      <c r="F1039" s="55">
        <v>52.49330788002834</v>
      </c>
      <c r="G10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0" spans="1:7" x14ac:dyDescent="0.35">
      <c r="A1040" s="46">
        <v>45786</v>
      </c>
      <c r="B1040" s="32" t="s">
        <v>9</v>
      </c>
      <c r="C1040" s="32" t="s">
        <v>26</v>
      </c>
      <c r="D1040" s="33">
        <v>170.46</v>
      </c>
      <c r="E1040" s="34">
        <v>3.6166</v>
      </c>
      <c r="F1040" s="52">
        <v>52.382002207948609</v>
      </c>
      <c r="G10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1" spans="1:7" x14ac:dyDescent="0.35">
      <c r="A1041" s="45">
        <v>46029</v>
      </c>
      <c r="B1041" s="39" t="s">
        <v>18</v>
      </c>
      <c r="C1041" s="39" t="s">
        <v>27</v>
      </c>
      <c r="D1041" s="30">
        <v>300</v>
      </c>
      <c r="E1041" s="29">
        <v>3.62</v>
      </c>
      <c r="F1041" s="29">
        <v>51.3</v>
      </c>
      <c r="G10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2" spans="1:7" x14ac:dyDescent="0.35">
      <c r="A1042" s="45">
        <v>45985</v>
      </c>
      <c r="B1042" s="39" t="s">
        <v>18</v>
      </c>
      <c r="C1042" s="39" t="s">
        <v>27</v>
      </c>
      <c r="D1042" s="30">
        <v>163</v>
      </c>
      <c r="E1042" s="29">
        <v>3.65</v>
      </c>
      <c r="F1042" s="29">
        <v>49</v>
      </c>
      <c r="G10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3" spans="1:7" x14ac:dyDescent="0.35">
      <c r="A1043" s="46">
        <v>45890</v>
      </c>
      <c r="B1043" s="40" t="s">
        <v>4</v>
      </c>
      <c r="C1043" s="40" t="s">
        <v>26</v>
      </c>
      <c r="D1043" s="33">
        <v>155.52000000000001</v>
      </c>
      <c r="E1043" s="35">
        <v>3.67</v>
      </c>
      <c r="F1043" s="35">
        <v>51.088549786965437</v>
      </c>
      <c r="G10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4" spans="1:7" x14ac:dyDescent="0.35">
      <c r="A1044" s="45">
        <v>45756</v>
      </c>
      <c r="B1044" s="29" t="s">
        <v>5</v>
      </c>
      <c r="C1044" s="29" t="s">
        <v>26</v>
      </c>
      <c r="D1044" s="30">
        <v>33.799999999999997</v>
      </c>
      <c r="E1044" s="31">
        <v>3.6754500000000001</v>
      </c>
      <c r="F1044" s="51">
        <v>52.453542061762946</v>
      </c>
      <c r="G10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5" spans="1:7" x14ac:dyDescent="0.35">
      <c r="A1045" s="46">
        <v>45756</v>
      </c>
      <c r="B1045" s="32" t="s">
        <v>5</v>
      </c>
      <c r="C1045" s="32" t="s">
        <v>26</v>
      </c>
      <c r="D1045" s="33">
        <v>33.799999999999997</v>
      </c>
      <c r="E1045" s="34">
        <v>3.6754500000000001</v>
      </c>
      <c r="F1045" s="52">
        <v>52.453542061762946</v>
      </c>
      <c r="G10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6" spans="1:7" x14ac:dyDescent="0.35">
      <c r="A1046" s="46">
        <v>45800</v>
      </c>
      <c r="B1046" s="32" t="s">
        <v>3</v>
      </c>
      <c r="C1046" s="32" t="s">
        <v>26</v>
      </c>
      <c r="D1046" s="33">
        <v>45.22</v>
      </c>
      <c r="E1046" s="35">
        <v>3.6808000000000001</v>
      </c>
      <c r="F1046" s="35">
        <v>51.586297335203369</v>
      </c>
      <c r="G10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7" spans="1:7" x14ac:dyDescent="0.35">
      <c r="A1047" s="45">
        <v>45820</v>
      </c>
      <c r="B1047" s="29" t="s">
        <v>3</v>
      </c>
      <c r="C1047" s="29" t="s">
        <v>26</v>
      </c>
      <c r="D1047" s="30">
        <v>24.39</v>
      </c>
      <c r="E1047" s="36">
        <v>3.69</v>
      </c>
      <c r="F1047" s="36">
        <v>51.82959960857864</v>
      </c>
      <c r="G10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8" spans="1:7" x14ac:dyDescent="0.35">
      <c r="A1048" s="48">
        <v>45727</v>
      </c>
      <c r="B1048" s="32" t="s">
        <v>4</v>
      </c>
      <c r="C1048" s="32" t="s">
        <v>26</v>
      </c>
      <c r="D1048" s="33">
        <v>24.01</v>
      </c>
      <c r="E1048" s="35">
        <v>3.6941750000000004</v>
      </c>
      <c r="F1048" s="35">
        <v>52.323937079643819</v>
      </c>
      <c r="G10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49" spans="1:7" x14ac:dyDescent="0.35">
      <c r="A1049" s="48">
        <v>45717</v>
      </c>
      <c r="B1049" s="32" t="s">
        <v>5</v>
      </c>
      <c r="C1049" s="32" t="s">
        <v>26</v>
      </c>
      <c r="D1049" s="33">
        <v>64.63</v>
      </c>
      <c r="E1049" s="34">
        <v>3.6968500000000004</v>
      </c>
      <c r="F1049" s="52">
        <v>51.851464684466023</v>
      </c>
      <c r="G10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0" spans="1:7" x14ac:dyDescent="0.35">
      <c r="A1050" s="48">
        <v>45717</v>
      </c>
      <c r="B1050" s="32" t="s">
        <v>5</v>
      </c>
      <c r="C1050" s="32" t="s">
        <v>26</v>
      </c>
      <c r="D1050" s="33">
        <v>127.58</v>
      </c>
      <c r="E1050" s="34">
        <v>3.6968500000000004</v>
      </c>
      <c r="F1050" s="52">
        <v>51.851464684466023</v>
      </c>
      <c r="G10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1" spans="1:7" x14ac:dyDescent="0.35">
      <c r="A1051" s="46">
        <v>46044</v>
      </c>
      <c r="B1051" s="40" t="s">
        <v>3</v>
      </c>
      <c r="C1051" s="40" t="s">
        <v>26</v>
      </c>
      <c r="D1051" s="33">
        <v>191.54</v>
      </c>
      <c r="E1051" s="32">
        <v>3.7</v>
      </c>
      <c r="F1051" s="32">
        <v>50.3</v>
      </c>
      <c r="G10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2" spans="1:7" x14ac:dyDescent="0.35">
      <c r="A1052" s="46">
        <v>45797</v>
      </c>
      <c r="B1052" s="32" t="s">
        <v>6</v>
      </c>
      <c r="C1052" s="32" t="s">
        <v>26</v>
      </c>
      <c r="D1052" s="33">
        <v>34.79</v>
      </c>
      <c r="E1052" s="34">
        <v>3.7155750000000003</v>
      </c>
      <c r="F1052" s="52">
        <v>51.615550444955502</v>
      </c>
      <c r="G10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3" spans="1:7" x14ac:dyDescent="0.35">
      <c r="A1053" s="45">
        <v>45771</v>
      </c>
      <c r="B1053" s="29" t="s">
        <v>4</v>
      </c>
      <c r="C1053" s="29" t="s">
        <v>26</v>
      </c>
      <c r="D1053" s="30">
        <v>198.84</v>
      </c>
      <c r="E1053" s="36">
        <v>3.7343000000000006</v>
      </c>
      <c r="F1053" s="36">
        <v>52.449675921351634</v>
      </c>
      <c r="G10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4" spans="1:7" x14ac:dyDescent="0.35">
      <c r="A1054" s="45">
        <v>45771</v>
      </c>
      <c r="B1054" s="29" t="s">
        <v>4</v>
      </c>
      <c r="C1054" s="29" t="s">
        <v>26</v>
      </c>
      <c r="D1054" s="30">
        <v>148.94999999999999</v>
      </c>
      <c r="E1054" s="36">
        <v>3.7343000000000006</v>
      </c>
      <c r="F1054" s="36">
        <v>52.449675921351634</v>
      </c>
      <c r="G10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5" spans="1:7" x14ac:dyDescent="0.35">
      <c r="A1055" s="45">
        <v>45853</v>
      </c>
      <c r="B1055" s="29" t="s">
        <v>3</v>
      </c>
      <c r="C1055" s="29" t="s">
        <v>26</v>
      </c>
      <c r="D1055" s="30">
        <v>87.38</v>
      </c>
      <c r="E1055" s="36">
        <v>3.74</v>
      </c>
      <c r="F1055" s="36">
        <v>51.920830822895198</v>
      </c>
      <c r="G10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6" spans="1:7" x14ac:dyDescent="0.35">
      <c r="A1056" s="46">
        <v>45920</v>
      </c>
      <c r="B1056" s="40" t="s">
        <v>3</v>
      </c>
      <c r="C1056" s="40" t="s">
        <v>26</v>
      </c>
      <c r="D1056" s="33">
        <v>87.62</v>
      </c>
      <c r="E1056" s="35">
        <v>3.75</v>
      </c>
      <c r="F1056" s="35">
        <v>52.765077191235065</v>
      </c>
      <c r="G10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7" spans="1:7" x14ac:dyDescent="0.35">
      <c r="A1057" s="45">
        <v>45920</v>
      </c>
      <c r="B1057" s="39" t="s">
        <v>3</v>
      </c>
      <c r="C1057" s="39" t="s">
        <v>26</v>
      </c>
      <c r="D1057" s="30">
        <v>87.62</v>
      </c>
      <c r="E1057" s="36">
        <v>3.75</v>
      </c>
      <c r="F1057" s="36">
        <v>52.765077191235065</v>
      </c>
      <c r="G10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8" spans="1:7" x14ac:dyDescent="0.35">
      <c r="A1058" s="45">
        <v>45780</v>
      </c>
      <c r="B1058" s="29" t="s">
        <v>5</v>
      </c>
      <c r="C1058" s="29" t="s">
        <v>26</v>
      </c>
      <c r="D1058" s="30">
        <v>101.66</v>
      </c>
      <c r="E1058" s="31">
        <v>3.7530250000000001</v>
      </c>
      <c r="F1058" s="51">
        <v>51.43989131926385</v>
      </c>
      <c r="G10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59" spans="1:7" x14ac:dyDescent="0.35">
      <c r="A1059" s="48">
        <v>45723</v>
      </c>
      <c r="B1059" s="32" t="s">
        <v>4</v>
      </c>
      <c r="C1059" s="32" t="s">
        <v>26</v>
      </c>
      <c r="D1059" s="33">
        <v>26.5</v>
      </c>
      <c r="E1059" s="35">
        <v>3.7878000000000003</v>
      </c>
      <c r="F1059" s="35">
        <v>51.366474499648341</v>
      </c>
      <c r="G10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0" spans="1:7" x14ac:dyDescent="0.35">
      <c r="A1060" s="45">
        <v>45863</v>
      </c>
      <c r="B1060" s="39" t="s">
        <v>8</v>
      </c>
      <c r="C1060" s="39" t="s">
        <v>27</v>
      </c>
      <c r="D1060" s="30">
        <v>836.62</v>
      </c>
      <c r="E1060" s="29">
        <v>3.8</v>
      </c>
      <c r="F1060" s="29">
        <v>49.9</v>
      </c>
      <c r="G10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1" spans="1:7" x14ac:dyDescent="0.35">
      <c r="A1061" s="45">
        <v>45940</v>
      </c>
      <c r="B1061" s="39" t="s">
        <v>17</v>
      </c>
      <c r="C1061" s="39" t="s">
        <v>27</v>
      </c>
      <c r="D1061" s="30">
        <v>110.88</v>
      </c>
      <c r="E1061" s="29">
        <v>3.8</v>
      </c>
      <c r="F1061" s="29">
        <v>50</v>
      </c>
      <c r="G10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2" spans="1:7" x14ac:dyDescent="0.35">
      <c r="A1062" s="45">
        <v>46051</v>
      </c>
      <c r="B1062" s="39" t="s">
        <v>3</v>
      </c>
      <c r="C1062" s="39" t="s">
        <v>26</v>
      </c>
      <c r="D1062" s="30">
        <v>45.04</v>
      </c>
      <c r="E1062" s="29">
        <v>3.8</v>
      </c>
      <c r="F1062" s="29">
        <v>50.3</v>
      </c>
      <c r="G10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3" spans="1:7" x14ac:dyDescent="0.35">
      <c r="A1063" s="46">
        <v>46054</v>
      </c>
      <c r="B1063" s="40" t="s">
        <v>3</v>
      </c>
      <c r="C1063" s="40" t="s">
        <v>26</v>
      </c>
      <c r="D1063" s="33">
        <v>397</v>
      </c>
      <c r="E1063" s="32">
        <v>3.8</v>
      </c>
      <c r="F1063" s="32">
        <v>51.3</v>
      </c>
      <c r="G10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4" spans="1:7" x14ac:dyDescent="0.35">
      <c r="A1064" s="45">
        <v>46055</v>
      </c>
      <c r="B1064" s="39" t="s">
        <v>3</v>
      </c>
      <c r="C1064" s="39" t="s">
        <v>26</v>
      </c>
      <c r="D1064" s="30">
        <v>396.14</v>
      </c>
      <c r="E1064" s="29">
        <v>3.8</v>
      </c>
      <c r="F1064" s="29">
        <v>51.3</v>
      </c>
      <c r="G10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5" spans="1:7" x14ac:dyDescent="0.35">
      <c r="A1065" s="45">
        <v>45763</v>
      </c>
      <c r="B1065" s="29" t="s">
        <v>3</v>
      </c>
      <c r="C1065" s="29" t="s">
        <v>26</v>
      </c>
      <c r="D1065" s="30">
        <v>62.36</v>
      </c>
      <c r="E1065" s="36">
        <v>3.8065250000000002</v>
      </c>
      <c r="F1065" s="36">
        <v>51.534112353529295</v>
      </c>
      <c r="G10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6" spans="1:7" x14ac:dyDescent="0.35">
      <c r="A1066" s="46">
        <v>46035</v>
      </c>
      <c r="B1066" s="40" t="s">
        <v>18</v>
      </c>
      <c r="C1066" s="40" t="s">
        <v>27</v>
      </c>
      <c r="D1066" s="33">
        <v>212.86</v>
      </c>
      <c r="E1066" s="32">
        <v>3.81</v>
      </c>
      <c r="F1066" s="32">
        <v>50.7</v>
      </c>
      <c r="G10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7" spans="1:7" x14ac:dyDescent="0.35">
      <c r="A1067" s="46">
        <v>45680</v>
      </c>
      <c r="B1067" s="32" t="s">
        <v>6</v>
      </c>
      <c r="C1067" s="32" t="s">
        <v>26</v>
      </c>
      <c r="D1067" s="33">
        <v>1066.32</v>
      </c>
      <c r="E1067" s="34">
        <v>3.8252500000000005</v>
      </c>
      <c r="F1067" s="52">
        <v>52.207476318675837</v>
      </c>
      <c r="G10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8" spans="1:7" x14ac:dyDescent="0.35">
      <c r="A1068" s="48">
        <v>45728</v>
      </c>
      <c r="B1068" s="32" t="s">
        <v>6</v>
      </c>
      <c r="C1068" s="32" t="s">
        <v>26</v>
      </c>
      <c r="D1068" s="33">
        <v>243.23</v>
      </c>
      <c r="E1068" s="34">
        <v>3.8332750000000004</v>
      </c>
      <c r="F1068" s="52">
        <v>51.930575601094269</v>
      </c>
      <c r="G10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69" spans="1:7" x14ac:dyDescent="0.35">
      <c r="A1069" s="46">
        <v>45756</v>
      </c>
      <c r="B1069" s="32" t="s">
        <v>3</v>
      </c>
      <c r="C1069" s="32" t="s">
        <v>26</v>
      </c>
      <c r="D1069" s="33">
        <v>88.02</v>
      </c>
      <c r="E1069" s="35">
        <v>3.8520000000000003</v>
      </c>
      <c r="F1069" s="35">
        <v>52.555038503850383</v>
      </c>
      <c r="G10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0" spans="1:7" x14ac:dyDescent="0.35">
      <c r="A1070" s="45">
        <v>45756</v>
      </c>
      <c r="B1070" s="29" t="s">
        <v>3</v>
      </c>
      <c r="C1070" s="29" t="s">
        <v>26</v>
      </c>
      <c r="D1070" s="30">
        <v>88.02</v>
      </c>
      <c r="E1070" s="36">
        <v>3.8520000000000003</v>
      </c>
      <c r="F1070" s="36">
        <v>52.555038503850383</v>
      </c>
      <c r="G10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1" spans="1:7" x14ac:dyDescent="0.35">
      <c r="A1071" s="48">
        <v>45842</v>
      </c>
      <c r="B1071" s="32" t="s">
        <v>3</v>
      </c>
      <c r="C1071" s="32" t="s">
        <v>26</v>
      </c>
      <c r="D1071" s="33">
        <v>88.92</v>
      </c>
      <c r="E1071" s="35">
        <v>3.8573500000000003</v>
      </c>
      <c r="F1071" s="35">
        <v>51.718755925039872</v>
      </c>
      <c r="G10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2" spans="1:7" x14ac:dyDescent="0.35">
      <c r="A1072" s="45">
        <v>45826</v>
      </c>
      <c r="B1072" s="29" t="s">
        <v>5</v>
      </c>
      <c r="C1072" s="29" t="s">
        <v>26</v>
      </c>
      <c r="D1072" s="30">
        <v>71.069999999999993</v>
      </c>
      <c r="E1072" s="31">
        <v>3.86</v>
      </c>
      <c r="F1072" s="51">
        <v>52.139772708350684</v>
      </c>
      <c r="G10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3" spans="1:7" x14ac:dyDescent="0.35">
      <c r="A1073" s="45">
        <v>45834</v>
      </c>
      <c r="B1073" s="29" t="s">
        <v>4</v>
      </c>
      <c r="C1073" s="29" t="s">
        <v>26</v>
      </c>
      <c r="D1073" s="30">
        <v>151.22999999999999</v>
      </c>
      <c r="E1073" s="36">
        <v>3.86</v>
      </c>
      <c r="F1073" s="36">
        <v>52.460254442312497</v>
      </c>
      <c r="G10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4" spans="1:7" x14ac:dyDescent="0.35">
      <c r="A1074" s="46">
        <v>45916</v>
      </c>
      <c r="B1074" s="40" t="s">
        <v>4</v>
      </c>
      <c r="C1074" s="40" t="s">
        <v>26</v>
      </c>
      <c r="D1074" s="33">
        <v>100.79</v>
      </c>
      <c r="E1074" s="35">
        <v>3.89</v>
      </c>
      <c r="F1074" s="35">
        <v>47.421306288969291</v>
      </c>
      <c r="G10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5" spans="1:7" x14ac:dyDescent="0.35">
      <c r="A1075" s="46">
        <v>45916</v>
      </c>
      <c r="B1075" s="40" t="s">
        <v>4</v>
      </c>
      <c r="C1075" s="40" t="s">
        <v>26</v>
      </c>
      <c r="D1075" s="33">
        <v>100.79</v>
      </c>
      <c r="E1075" s="35">
        <v>3.89</v>
      </c>
      <c r="F1075" s="35">
        <v>47.421306288969291</v>
      </c>
      <c r="G10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6" spans="1:7" x14ac:dyDescent="0.35">
      <c r="A1076" s="45">
        <v>45883</v>
      </c>
      <c r="B1076" s="39" t="s">
        <v>3</v>
      </c>
      <c r="C1076" s="39" t="s">
        <v>26</v>
      </c>
      <c r="D1076" s="30">
        <v>65.400000000000006</v>
      </c>
      <c r="E1076" s="36">
        <v>3.92</v>
      </c>
      <c r="F1076" s="36">
        <v>51.503240540090019</v>
      </c>
      <c r="G10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7" spans="1:7" x14ac:dyDescent="0.35">
      <c r="A1077" s="46">
        <v>45980</v>
      </c>
      <c r="B1077" s="40" t="s">
        <v>2</v>
      </c>
      <c r="C1077" s="40" t="s">
        <v>26</v>
      </c>
      <c r="D1077" s="33">
        <v>581.28</v>
      </c>
      <c r="E1077" s="32">
        <v>3.94</v>
      </c>
      <c r="F1077" s="32">
        <v>50.7</v>
      </c>
      <c r="G10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8" spans="1:7" x14ac:dyDescent="0.35">
      <c r="A1078" s="46">
        <v>45922</v>
      </c>
      <c r="B1078" s="40" t="s">
        <v>2</v>
      </c>
      <c r="C1078" s="40" t="s">
        <v>26</v>
      </c>
      <c r="D1078" s="33">
        <v>94.48</v>
      </c>
      <c r="E1078" s="34">
        <v>3.96</v>
      </c>
      <c r="F1078" s="35">
        <v>49.333444537114261</v>
      </c>
      <c r="G10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79" spans="1:7" x14ac:dyDescent="0.35">
      <c r="A1079" s="46">
        <v>45902</v>
      </c>
      <c r="B1079" s="40" t="s">
        <v>6</v>
      </c>
      <c r="C1079" s="40" t="s">
        <v>26</v>
      </c>
      <c r="D1079" s="33">
        <v>134.88999999999999</v>
      </c>
      <c r="E1079" s="34">
        <v>3.97</v>
      </c>
      <c r="F1079" s="52">
        <v>51.868448117539025</v>
      </c>
      <c r="G10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0" spans="1:7" x14ac:dyDescent="0.35">
      <c r="A1080" s="45">
        <v>45937</v>
      </c>
      <c r="B1080" s="39" t="s">
        <v>3</v>
      </c>
      <c r="C1080" s="39" t="s">
        <v>26</v>
      </c>
      <c r="D1080" s="30">
        <v>91.1</v>
      </c>
      <c r="E1080" s="44">
        <v>3.97</v>
      </c>
      <c r="F1080" s="44">
        <v>52.326912595546702</v>
      </c>
      <c r="G10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1" spans="1:7" x14ac:dyDescent="0.35">
      <c r="A1081" s="46">
        <v>45878</v>
      </c>
      <c r="B1081" s="40" t="s">
        <v>3</v>
      </c>
      <c r="C1081" s="40" t="s">
        <v>26</v>
      </c>
      <c r="D1081" s="33">
        <v>41.44</v>
      </c>
      <c r="E1081" s="35">
        <v>3.98</v>
      </c>
      <c r="F1081" s="35">
        <v>50.84726364014994</v>
      </c>
      <c r="G10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2" spans="1:7" x14ac:dyDescent="0.35">
      <c r="A1082" s="46">
        <v>45799</v>
      </c>
      <c r="B1082" s="32" t="s">
        <v>9</v>
      </c>
      <c r="C1082" s="32" t="s">
        <v>26</v>
      </c>
      <c r="D1082" s="33">
        <v>241.16</v>
      </c>
      <c r="E1082" s="34">
        <v>3.9964500000000003</v>
      </c>
      <c r="F1082" s="52">
        <v>52.294329852470497</v>
      </c>
      <c r="G10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3" spans="1:7" x14ac:dyDescent="0.35">
      <c r="A1083" s="45">
        <v>45884</v>
      </c>
      <c r="B1083" s="39" t="s">
        <v>5</v>
      </c>
      <c r="C1083" s="39" t="s">
        <v>26</v>
      </c>
      <c r="D1083" s="30">
        <v>101.2</v>
      </c>
      <c r="E1083" s="31">
        <v>4</v>
      </c>
      <c r="F1083" s="51">
        <v>51.053073845640938</v>
      </c>
      <c r="G10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4" spans="1:7" x14ac:dyDescent="0.35">
      <c r="A1084" s="46">
        <v>46045</v>
      </c>
      <c r="B1084" s="40" t="s">
        <v>3</v>
      </c>
      <c r="C1084" s="40" t="s">
        <v>26</v>
      </c>
      <c r="D1084" s="33">
        <v>190.74</v>
      </c>
      <c r="E1084" s="32">
        <v>4</v>
      </c>
      <c r="F1084" s="32">
        <v>52.1</v>
      </c>
      <c r="G10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5" spans="1:7" x14ac:dyDescent="0.35">
      <c r="A1085" s="46">
        <v>45926</v>
      </c>
      <c r="B1085" s="40" t="s">
        <v>4</v>
      </c>
      <c r="C1085" s="40" t="s">
        <v>26</v>
      </c>
      <c r="D1085" s="33">
        <v>102.34</v>
      </c>
      <c r="E1085" s="43">
        <v>4.0599999999999996</v>
      </c>
      <c r="F1085" s="43">
        <v>52.012539109506619</v>
      </c>
      <c r="G10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6" spans="1:7" x14ac:dyDescent="0.35">
      <c r="A1086" s="50">
        <v>45800</v>
      </c>
      <c r="B1086" s="39" t="s">
        <v>8</v>
      </c>
      <c r="C1086" s="39" t="s">
        <v>27</v>
      </c>
      <c r="D1086" s="30">
        <v>314.80500000000001</v>
      </c>
      <c r="E1086" s="41">
        <v>4.0713500000000007</v>
      </c>
      <c r="F1086" s="55">
        <v>51.747938041901691</v>
      </c>
      <c r="G10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7" spans="1:7" x14ac:dyDescent="0.35">
      <c r="A1087" s="46">
        <v>45993</v>
      </c>
      <c r="B1087" s="40" t="s">
        <v>3</v>
      </c>
      <c r="C1087" s="40" t="s">
        <v>26</v>
      </c>
      <c r="D1087" s="33">
        <v>90.56</v>
      </c>
      <c r="E1087" s="32">
        <v>4.0999999999999996</v>
      </c>
      <c r="F1087" s="32">
        <v>50.6</v>
      </c>
      <c r="G10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8" spans="1:7" x14ac:dyDescent="0.35">
      <c r="A1088" s="45">
        <v>45981</v>
      </c>
      <c r="B1088" s="39" t="s">
        <v>5</v>
      </c>
      <c r="C1088" s="39" t="s">
        <v>26</v>
      </c>
      <c r="D1088" s="30">
        <v>35.534999999999997</v>
      </c>
      <c r="E1088" s="41">
        <v>4.13</v>
      </c>
      <c r="F1088" s="55">
        <v>51.993772997452595</v>
      </c>
      <c r="G10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89" spans="1:7" x14ac:dyDescent="0.35">
      <c r="A1089" s="45">
        <v>45790</v>
      </c>
      <c r="B1089" s="29" t="s">
        <v>5</v>
      </c>
      <c r="C1089" s="29" t="s">
        <v>26</v>
      </c>
      <c r="D1089" s="30">
        <v>66.59</v>
      </c>
      <c r="E1089" s="31">
        <v>4.1409000000000002</v>
      </c>
      <c r="F1089" s="51">
        <v>50.594148006379584</v>
      </c>
      <c r="G10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0" spans="1:7" x14ac:dyDescent="0.35">
      <c r="A1090" s="46">
        <v>45674</v>
      </c>
      <c r="B1090" s="32" t="s">
        <v>6</v>
      </c>
      <c r="C1090" s="32" t="s">
        <v>26</v>
      </c>
      <c r="D1090" s="33">
        <v>249.64</v>
      </c>
      <c r="E1090" s="34">
        <v>4.1435750000000002</v>
      </c>
      <c r="F1090" s="52">
        <v>51.783585459847799</v>
      </c>
      <c r="G10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1" spans="1:7" x14ac:dyDescent="0.35">
      <c r="A1091" s="46">
        <v>45772</v>
      </c>
      <c r="B1091" s="32" t="s">
        <v>4</v>
      </c>
      <c r="C1091" s="32" t="s">
        <v>26</v>
      </c>
      <c r="D1091" s="33">
        <v>198.84</v>
      </c>
      <c r="E1091" s="35">
        <v>4.1676500000000001</v>
      </c>
      <c r="F1091" s="35">
        <v>51.655544028319824</v>
      </c>
      <c r="G10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2" spans="1:7" x14ac:dyDescent="0.35">
      <c r="A1092" s="47">
        <v>45699</v>
      </c>
      <c r="B1092" s="29" t="s">
        <v>5</v>
      </c>
      <c r="C1092" s="29" t="s">
        <v>26</v>
      </c>
      <c r="D1092" s="30">
        <v>221.06</v>
      </c>
      <c r="E1092" s="31">
        <v>4.173</v>
      </c>
      <c r="F1092" s="51">
        <v>51.433164861612511</v>
      </c>
      <c r="G10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3" spans="1:7" x14ac:dyDescent="0.35">
      <c r="A1093" s="45">
        <v>45957</v>
      </c>
      <c r="B1093" s="39" t="s">
        <v>16</v>
      </c>
      <c r="C1093" s="39" t="s">
        <v>27</v>
      </c>
      <c r="D1093" s="30">
        <v>210.74</v>
      </c>
      <c r="E1093" s="44">
        <v>4.18</v>
      </c>
      <c r="F1093" s="57">
        <v>52.1</v>
      </c>
      <c r="G10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4" spans="1:7" x14ac:dyDescent="0.35">
      <c r="A1094" s="46">
        <v>45955</v>
      </c>
      <c r="B1094" s="40" t="s">
        <v>4</v>
      </c>
      <c r="C1094" s="40" t="s">
        <v>26</v>
      </c>
      <c r="D1094" s="33">
        <v>106</v>
      </c>
      <c r="E1094" s="32">
        <v>4.2</v>
      </c>
      <c r="F1094" s="32">
        <v>51.6</v>
      </c>
      <c r="G10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5" spans="1:7" x14ac:dyDescent="0.35">
      <c r="A1095" s="45">
        <v>45993</v>
      </c>
      <c r="B1095" s="39" t="s">
        <v>6</v>
      </c>
      <c r="C1095" s="39" t="s">
        <v>26</v>
      </c>
      <c r="D1095" s="30">
        <v>188.3</v>
      </c>
      <c r="E1095" s="29">
        <v>4.21</v>
      </c>
      <c r="F1095" s="29">
        <v>52.2</v>
      </c>
      <c r="G10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6" spans="1:7" x14ac:dyDescent="0.35">
      <c r="A1096" s="45">
        <v>45787</v>
      </c>
      <c r="B1096" s="29" t="s">
        <v>5</v>
      </c>
      <c r="C1096" s="29" t="s">
        <v>26</v>
      </c>
      <c r="D1096" s="30">
        <v>65.260000000000005</v>
      </c>
      <c r="E1096" s="31">
        <v>4.2452250000000005</v>
      </c>
      <c r="F1096" s="51">
        <v>51.115608003106829</v>
      </c>
      <c r="G10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7" spans="1:7" x14ac:dyDescent="0.35">
      <c r="A1097" s="47">
        <v>45722</v>
      </c>
      <c r="B1097" s="29" t="s">
        <v>4</v>
      </c>
      <c r="C1097" s="29" t="s">
        <v>26</v>
      </c>
      <c r="D1097" s="30">
        <v>72.58</v>
      </c>
      <c r="E1097" s="36">
        <v>4.2532500000000004</v>
      </c>
      <c r="F1097" s="36">
        <v>51.532872745490984</v>
      </c>
      <c r="G10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8" spans="1:7" x14ac:dyDescent="0.35">
      <c r="A1098" s="46">
        <v>45990</v>
      </c>
      <c r="B1098" s="40" t="s">
        <v>18</v>
      </c>
      <c r="C1098" s="40" t="s">
        <v>27</v>
      </c>
      <c r="D1098" s="33">
        <v>245.78</v>
      </c>
      <c r="E1098" s="32">
        <v>4.26</v>
      </c>
      <c r="F1098" s="32">
        <v>50.6</v>
      </c>
      <c r="G10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099" spans="1:7" x14ac:dyDescent="0.35">
      <c r="A1099" s="46">
        <v>45845</v>
      </c>
      <c r="B1099" s="32" t="s">
        <v>3</v>
      </c>
      <c r="C1099" s="32" t="s">
        <v>26</v>
      </c>
      <c r="D1099" s="33">
        <v>108.6</v>
      </c>
      <c r="E1099" s="35">
        <v>4.28</v>
      </c>
      <c r="F1099" s="35">
        <v>46.640357583230582</v>
      </c>
      <c r="G10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0" spans="1:7" x14ac:dyDescent="0.35">
      <c r="A1100" s="45">
        <v>45992</v>
      </c>
      <c r="B1100" s="39" t="s">
        <v>4</v>
      </c>
      <c r="C1100" s="39" t="s">
        <v>26</v>
      </c>
      <c r="D1100" s="30">
        <v>97.72</v>
      </c>
      <c r="E1100" s="29">
        <v>4.28</v>
      </c>
      <c r="F1100" s="29">
        <v>51.2</v>
      </c>
      <c r="G11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1" spans="1:7" x14ac:dyDescent="0.35">
      <c r="A1101" s="48">
        <v>45709</v>
      </c>
      <c r="B1101" s="32" t="s">
        <v>3</v>
      </c>
      <c r="C1101" s="32" t="s">
        <v>26</v>
      </c>
      <c r="D1101" s="33">
        <v>90.38</v>
      </c>
      <c r="E1101" s="38">
        <v>4.2907000000000002</v>
      </c>
      <c r="F1101" s="52">
        <v>51.306954175422796</v>
      </c>
      <c r="G11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2" spans="1:7" x14ac:dyDescent="0.35">
      <c r="A1102" s="45">
        <v>45898</v>
      </c>
      <c r="B1102" s="39" t="s">
        <v>4</v>
      </c>
      <c r="C1102" s="39" t="s">
        <v>26</v>
      </c>
      <c r="D1102" s="30">
        <v>77.19</v>
      </c>
      <c r="E1102" s="36">
        <v>4.3099999999999996</v>
      </c>
      <c r="F1102" s="36">
        <v>50.691300813008127</v>
      </c>
      <c r="G11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3" spans="1:7" x14ac:dyDescent="0.35">
      <c r="A1103" s="45">
        <v>45944</v>
      </c>
      <c r="B1103" s="39" t="s">
        <v>4</v>
      </c>
      <c r="C1103" s="39" t="s">
        <v>26</v>
      </c>
      <c r="D1103" s="30">
        <v>77.75</v>
      </c>
      <c r="E1103" s="44">
        <v>4.3099999999999996</v>
      </c>
      <c r="F1103" s="44">
        <v>51.695023596419851</v>
      </c>
      <c r="G11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4" spans="1:7" x14ac:dyDescent="0.35">
      <c r="A1104" s="46">
        <v>45976</v>
      </c>
      <c r="B1104" s="40" t="s">
        <v>5</v>
      </c>
      <c r="C1104" s="40" t="s">
        <v>26</v>
      </c>
      <c r="D1104" s="33">
        <v>109.13</v>
      </c>
      <c r="E1104" s="32">
        <v>4.34</v>
      </c>
      <c r="F1104" s="32">
        <v>52.1</v>
      </c>
      <c r="G11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5" spans="1:7" x14ac:dyDescent="0.35">
      <c r="A1105" s="46">
        <v>45665</v>
      </c>
      <c r="B1105" s="32" t="s">
        <v>5</v>
      </c>
      <c r="C1105" s="32" t="s">
        <v>26</v>
      </c>
      <c r="D1105" s="33">
        <v>238.34</v>
      </c>
      <c r="E1105" s="34">
        <v>4.3468749999999998</v>
      </c>
      <c r="F1105" s="52">
        <v>51.838560785498494</v>
      </c>
      <c r="G11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6" spans="1:7" x14ac:dyDescent="0.35">
      <c r="A1106" s="45">
        <v>45899</v>
      </c>
      <c r="B1106" s="39" t="s">
        <v>7</v>
      </c>
      <c r="C1106" s="39" t="s">
        <v>26</v>
      </c>
      <c r="D1106" s="30">
        <v>45.16</v>
      </c>
      <c r="E1106" s="31">
        <v>4.3600000000000003</v>
      </c>
      <c r="F1106" s="36">
        <v>51.290926870037602</v>
      </c>
      <c r="G11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7" spans="1:7" x14ac:dyDescent="0.35">
      <c r="A1107" s="47">
        <v>45716</v>
      </c>
      <c r="B1107" s="29" t="s">
        <v>4</v>
      </c>
      <c r="C1107" s="29" t="s">
        <v>26</v>
      </c>
      <c r="D1107" s="30">
        <v>190.64</v>
      </c>
      <c r="E1107" s="36">
        <v>4.3629249999999997</v>
      </c>
      <c r="F1107" s="36">
        <v>51.460735900271438</v>
      </c>
      <c r="G11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8" spans="1:7" x14ac:dyDescent="0.35">
      <c r="A1108" s="45">
        <v>45976</v>
      </c>
      <c r="B1108" s="39" t="s">
        <v>18</v>
      </c>
      <c r="C1108" s="39" t="s">
        <v>27</v>
      </c>
      <c r="D1108" s="30">
        <v>138.66</v>
      </c>
      <c r="E1108" s="29">
        <v>4.37</v>
      </c>
      <c r="F1108" s="29">
        <v>49.5</v>
      </c>
      <c r="G11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09" spans="1:7" x14ac:dyDescent="0.35">
      <c r="A1109" s="45">
        <v>45671</v>
      </c>
      <c r="B1109" s="29" t="s">
        <v>2</v>
      </c>
      <c r="C1109" s="29" t="s">
        <v>26</v>
      </c>
      <c r="D1109" s="30">
        <v>334.78</v>
      </c>
      <c r="E1109" s="31">
        <v>4.3843250000000005</v>
      </c>
      <c r="F1109" s="36">
        <v>49.201108341274576</v>
      </c>
      <c r="G11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0" spans="1:7" x14ac:dyDescent="0.35">
      <c r="A1110" s="46">
        <v>45982</v>
      </c>
      <c r="B1110" s="40" t="s">
        <v>3</v>
      </c>
      <c r="C1110" s="40" t="s">
        <v>26</v>
      </c>
      <c r="D1110" s="33">
        <v>89.9</v>
      </c>
      <c r="E1110" s="43">
        <v>4.46</v>
      </c>
      <c r="F1110" s="43">
        <v>51.94495304579074</v>
      </c>
      <c r="G11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1" spans="1:7" x14ac:dyDescent="0.35">
      <c r="A1111" s="46">
        <v>45681</v>
      </c>
      <c r="B1111" s="32" t="s">
        <v>5</v>
      </c>
      <c r="C1111" s="32" t="s">
        <v>26</v>
      </c>
      <c r="D1111" s="33">
        <v>205.75</v>
      </c>
      <c r="E1111" s="34">
        <v>4.4699250000000008</v>
      </c>
      <c r="F1111" s="52">
        <v>51.604925380629737</v>
      </c>
      <c r="G11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2" spans="1:7" x14ac:dyDescent="0.35">
      <c r="A1112" s="46">
        <v>45938</v>
      </c>
      <c r="B1112" s="40" t="s">
        <v>3</v>
      </c>
      <c r="C1112" s="40" t="s">
        <v>26</v>
      </c>
      <c r="D1112" s="33">
        <v>70.900000000000006</v>
      </c>
      <c r="E1112" s="43">
        <v>4.5</v>
      </c>
      <c r="F1112" s="43">
        <v>51.11533155614795</v>
      </c>
      <c r="G11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3" spans="1:7" x14ac:dyDescent="0.35">
      <c r="A1113" s="46">
        <v>45994</v>
      </c>
      <c r="B1113" s="40" t="s">
        <v>3</v>
      </c>
      <c r="C1113" s="40" t="s">
        <v>26</v>
      </c>
      <c r="D1113" s="33">
        <v>91.7</v>
      </c>
      <c r="E1113" s="32">
        <v>4.5</v>
      </c>
      <c r="F1113" s="32">
        <v>50.9</v>
      </c>
      <c r="G11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4" spans="1:7" x14ac:dyDescent="0.35">
      <c r="A1114" s="45">
        <v>45992</v>
      </c>
      <c r="B1114" s="39" t="s">
        <v>18</v>
      </c>
      <c r="C1114" s="39" t="s">
        <v>27</v>
      </c>
      <c r="D1114" s="30">
        <v>246.82</v>
      </c>
      <c r="E1114" s="29">
        <v>4.5199999999999996</v>
      </c>
      <c r="F1114" s="29">
        <v>50.3</v>
      </c>
      <c r="G11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5" spans="1:7" x14ac:dyDescent="0.35">
      <c r="A1115" s="48">
        <v>45699</v>
      </c>
      <c r="B1115" s="32" t="s">
        <v>3</v>
      </c>
      <c r="C1115" s="32" t="s">
        <v>26</v>
      </c>
      <c r="D1115" s="33">
        <v>66.400000000000006</v>
      </c>
      <c r="E1115" s="38">
        <v>4.5207499999999996</v>
      </c>
      <c r="F1115" s="52">
        <v>50.389767969293452</v>
      </c>
      <c r="G11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6" spans="1:7" x14ac:dyDescent="0.35">
      <c r="A1116" s="45">
        <v>45925</v>
      </c>
      <c r="B1116" s="39" t="s">
        <v>8</v>
      </c>
      <c r="C1116" s="39" t="s">
        <v>27</v>
      </c>
      <c r="D1116" s="30">
        <v>531.46100000000001</v>
      </c>
      <c r="E1116" s="41">
        <v>4.54</v>
      </c>
      <c r="F1116" s="55">
        <v>51.700071099958173</v>
      </c>
      <c r="G11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7" spans="1:7" x14ac:dyDescent="0.35">
      <c r="A1117" s="46">
        <v>45793</v>
      </c>
      <c r="B1117" s="32" t="s">
        <v>3</v>
      </c>
      <c r="C1117" s="32" t="s">
        <v>26</v>
      </c>
      <c r="D1117" s="33">
        <v>65.819999999999993</v>
      </c>
      <c r="E1117" s="35">
        <v>4.5448249999999994</v>
      </c>
      <c r="F1117" s="35">
        <v>51.45393716644849</v>
      </c>
      <c r="G11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8" spans="1:7" x14ac:dyDescent="0.35">
      <c r="A1118" s="47">
        <v>45685</v>
      </c>
      <c r="B1118" s="29" t="s">
        <v>3</v>
      </c>
      <c r="C1118" s="29" t="s">
        <v>26</v>
      </c>
      <c r="D1118" s="30">
        <v>21.86</v>
      </c>
      <c r="E1118" s="31">
        <v>4.5635500000000002</v>
      </c>
      <c r="F1118" s="51">
        <v>49.804938453865333</v>
      </c>
      <c r="G11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19" spans="1:7" x14ac:dyDescent="0.35">
      <c r="A1119" s="45">
        <v>45987</v>
      </c>
      <c r="B1119" s="39" t="s">
        <v>18</v>
      </c>
      <c r="C1119" s="39" t="s">
        <v>27</v>
      </c>
      <c r="D1119" s="30">
        <v>943.06</v>
      </c>
      <c r="E1119" s="29">
        <v>4.57</v>
      </c>
      <c r="F1119" s="29">
        <v>49.8</v>
      </c>
      <c r="G11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0" spans="1:7" x14ac:dyDescent="0.35">
      <c r="A1120" s="45">
        <v>46027</v>
      </c>
      <c r="B1120" s="39" t="s">
        <v>22</v>
      </c>
      <c r="C1120" s="39" t="s">
        <v>29</v>
      </c>
      <c r="D1120" s="30">
        <v>653.55999999999995</v>
      </c>
      <c r="E1120" s="29">
        <v>4.57</v>
      </c>
      <c r="F1120" s="29">
        <v>50.2</v>
      </c>
      <c r="G11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1" spans="1:7" x14ac:dyDescent="0.35">
      <c r="A1121" s="46">
        <v>45854</v>
      </c>
      <c r="B1121" s="32" t="s">
        <v>7</v>
      </c>
      <c r="C1121" s="32" t="s">
        <v>26</v>
      </c>
      <c r="D1121" s="33">
        <v>50.06</v>
      </c>
      <c r="E1121" s="34">
        <v>4.59</v>
      </c>
      <c r="F1121" s="35">
        <v>51.01153373762186</v>
      </c>
      <c r="G11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2" spans="1:7" x14ac:dyDescent="0.35">
      <c r="A1122" s="45">
        <v>45938</v>
      </c>
      <c r="B1122" s="39" t="s">
        <v>5</v>
      </c>
      <c r="C1122" s="39" t="s">
        <v>26</v>
      </c>
      <c r="D1122" s="30">
        <v>111.73</v>
      </c>
      <c r="E1122" s="41">
        <v>4.5999999999999996</v>
      </c>
      <c r="F1122" s="55">
        <v>48.303670256835126</v>
      </c>
      <c r="G11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3" spans="1:7" x14ac:dyDescent="0.35">
      <c r="A1123" s="45">
        <v>45973</v>
      </c>
      <c r="B1123" s="39" t="s">
        <v>3</v>
      </c>
      <c r="C1123" s="39" t="s">
        <v>26</v>
      </c>
      <c r="D1123" s="30">
        <v>93.76</v>
      </c>
      <c r="E1123" s="29">
        <v>4.5999999999999996</v>
      </c>
      <c r="F1123" s="29">
        <v>52.1</v>
      </c>
      <c r="G11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4" spans="1:7" x14ac:dyDescent="0.35">
      <c r="A1124" s="45">
        <v>46057</v>
      </c>
      <c r="B1124" s="39" t="s">
        <v>3</v>
      </c>
      <c r="C1124" s="39" t="s">
        <v>26</v>
      </c>
      <c r="D1124" s="30">
        <v>66.44</v>
      </c>
      <c r="E1124" s="29">
        <v>4.5999999999999996</v>
      </c>
      <c r="F1124" s="29">
        <v>48.5</v>
      </c>
      <c r="G11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5" spans="1:7" x14ac:dyDescent="0.35">
      <c r="A1125" s="45">
        <v>45791</v>
      </c>
      <c r="B1125" s="29" t="s">
        <v>6</v>
      </c>
      <c r="C1125" s="29" t="s">
        <v>26</v>
      </c>
      <c r="D1125" s="30">
        <v>519.47</v>
      </c>
      <c r="E1125" s="31">
        <v>4.601</v>
      </c>
      <c r="F1125" s="51">
        <v>51.458522078702309</v>
      </c>
      <c r="G11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6" spans="1:7" x14ac:dyDescent="0.35">
      <c r="A1126" s="45">
        <v>45828</v>
      </c>
      <c r="B1126" s="29" t="s">
        <v>3</v>
      </c>
      <c r="C1126" s="29" t="s">
        <v>26</v>
      </c>
      <c r="D1126" s="30">
        <v>91.02</v>
      </c>
      <c r="E1126" s="36">
        <v>4.62</v>
      </c>
      <c r="F1126" s="36">
        <v>51.331341051616015</v>
      </c>
      <c r="G11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7" spans="1:7" x14ac:dyDescent="0.35">
      <c r="A1127" s="45">
        <v>45965</v>
      </c>
      <c r="B1127" s="39" t="s">
        <v>16</v>
      </c>
      <c r="C1127" s="39" t="s">
        <v>27</v>
      </c>
      <c r="D1127" s="30">
        <v>351.7</v>
      </c>
      <c r="E1127" s="44">
        <v>4.68</v>
      </c>
      <c r="F1127" s="57">
        <v>49.5</v>
      </c>
      <c r="G11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8" spans="1:7" x14ac:dyDescent="0.35">
      <c r="A1128" s="46">
        <v>45859</v>
      </c>
      <c r="B1128" s="32" t="s">
        <v>3</v>
      </c>
      <c r="C1128" s="32" t="s">
        <v>26</v>
      </c>
      <c r="D1128" s="33">
        <v>67.58</v>
      </c>
      <c r="E1128" s="35">
        <v>4.7</v>
      </c>
      <c r="F1128" s="35">
        <v>51.672894824707846</v>
      </c>
      <c r="G11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29" spans="1:7" x14ac:dyDescent="0.35">
      <c r="A1129" s="46">
        <v>46065</v>
      </c>
      <c r="B1129" s="40" t="s">
        <v>4</v>
      </c>
      <c r="C1129" s="40" t="s">
        <v>26</v>
      </c>
      <c r="D1129" s="33">
        <v>89.7</v>
      </c>
      <c r="E1129" s="32">
        <v>4.7</v>
      </c>
      <c r="F1129" s="32">
        <v>51.2</v>
      </c>
      <c r="G11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0" spans="1:7" x14ac:dyDescent="0.35">
      <c r="A1130" s="47">
        <v>45702</v>
      </c>
      <c r="B1130" s="29" t="s">
        <v>6</v>
      </c>
      <c r="C1130" s="29" t="s">
        <v>26</v>
      </c>
      <c r="D1130" s="30">
        <v>308.08999999999997</v>
      </c>
      <c r="E1130" s="37">
        <v>4.7080000000000011</v>
      </c>
      <c r="F1130" s="51">
        <v>51.2896191904048</v>
      </c>
      <c r="G11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1" spans="1:7" x14ac:dyDescent="0.35">
      <c r="A1131" s="45">
        <v>45754</v>
      </c>
      <c r="B1131" s="29" t="s">
        <v>5</v>
      </c>
      <c r="C1131" s="29" t="s">
        <v>26</v>
      </c>
      <c r="D1131" s="30">
        <v>29.42</v>
      </c>
      <c r="E1131" s="31">
        <v>4.7106750000000002</v>
      </c>
      <c r="F1131" s="51">
        <v>50.996195456547859</v>
      </c>
      <c r="G11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2" spans="1:7" x14ac:dyDescent="0.35">
      <c r="A1132" s="46">
        <v>45754</v>
      </c>
      <c r="B1132" s="32" t="s">
        <v>5</v>
      </c>
      <c r="C1132" s="32" t="s">
        <v>26</v>
      </c>
      <c r="D1132" s="33">
        <v>29.42</v>
      </c>
      <c r="E1132" s="34">
        <v>4.7106750000000002</v>
      </c>
      <c r="F1132" s="52">
        <v>50.996195456547859</v>
      </c>
      <c r="G11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3" spans="1:7" x14ac:dyDescent="0.35">
      <c r="A1133" s="46">
        <v>45825</v>
      </c>
      <c r="B1133" s="32" t="s">
        <v>3</v>
      </c>
      <c r="C1133" s="32" t="s">
        <v>26</v>
      </c>
      <c r="D1133" s="33">
        <v>43.86</v>
      </c>
      <c r="E1133" s="35">
        <v>4.7300000000000004</v>
      </c>
      <c r="F1133" s="35">
        <v>45.155236673399493</v>
      </c>
      <c r="G11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4" spans="1:7" x14ac:dyDescent="0.35">
      <c r="A1134" s="45">
        <v>46049</v>
      </c>
      <c r="B1134" s="39" t="s">
        <v>18</v>
      </c>
      <c r="C1134" s="39" t="s">
        <v>27</v>
      </c>
      <c r="D1134" s="30">
        <v>75.87</v>
      </c>
      <c r="E1134" s="29">
        <v>4.7300000000000004</v>
      </c>
      <c r="F1134" s="29">
        <v>50.3</v>
      </c>
      <c r="G11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5" spans="1:7" x14ac:dyDescent="0.35">
      <c r="A1135" s="46">
        <v>45856</v>
      </c>
      <c r="B1135" s="32" t="s">
        <v>8</v>
      </c>
      <c r="C1135" s="32" t="s">
        <v>27</v>
      </c>
      <c r="D1135" s="33">
        <v>235</v>
      </c>
      <c r="E1135" s="34">
        <v>4.75</v>
      </c>
      <c r="F1135" s="52">
        <v>47.894978828792844</v>
      </c>
      <c r="G11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6" spans="1:7" x14ac:dyDescent="0.35">
      <c r="A1136" s="45">
        <v>45856</v>
      </c>
      <c r="B1136" s="39" t="s">
        <v>8</v>
      </c>
      <c r="C1136" s="39" t="s">
        <v>27</v>
      </c>
      <c r="D1136" s="30">
        <v>11.228999999999999</v>
      </c>
      <c r="E1136" s="29">
        <v>4.75</v>
      </c>
      <c r="F1136" s="29">
        <v>47.9</v>
      </c>
      <c r="G11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7" spans="1:7" x14ac:dyDescent="0.35">
      <c r="A1137" s="46">
        <v>45784</v>
      </c>
      <c r="B1137" s="32" t="s">
        <v>3</v>
      </c>
      <c r="C1137" s="32" t="s">
        <v>26</v>
      </c>
      <c r="D1137" s="33">
        <v>66.540000000000006</v>
      </c>
      <c r="E1137" s="35">
        <v>4.7668500000000007</v>
      </c>
      <c r="F1137" s="35">
        <v>48.044410770094856</v>
      </c>
      <c r="G11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8" spans="1:7" x14ac:dyDescent="0.35">
      <c r="A1138" s="46">
        <v>45892</v>
      </c>
      <c r="B1138" s="40" t="s">
        <v>3</v>
      </c>
      <c r="C1138" s="40" t="s">
        <v>26</v>
      </c>
      <c r="D1138" s="33">
        <v>95.5</v>
      </c>
      <c r="E1138" s="35">
        <v>4.79</v>
      </c>
      <c r="F1138" s="35">
        <v>51.945763521583345</v>
      </c>
      <c r="G11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39" spans="1:7" x14ac:dyDescent="0.35">
      <c r="A1139" s="48">
        <v>45735</v>
      </c>
      <c r="B1139" s="32" t="s">
        <v>4</v>
      </c>
      <c r="C1139" s="32" t="s">
        <v>26</v>
      </c>
      <c r="D1139" s="33">
        <v>75.33</v>
      </c>
      <c r="E1139" s="35">
        <v>4.7909250000000005</v>
      </c>
      <c r="F1139" s="35">
        <v>50.979802380059979</v>
      </c>
      <c r="G11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0" spans="1:7" x14ac:dyDescent="0.35">
      <c r="A1140" s="47">
        <v>45701</v>
      </c>
      <c r="B1140" s="29" t="s">
        <v>5</v>
      </c>
      <c r="C1140" s="29" t="s">
        <v>26</v>
      </c>
      <c r="D1140" s="30">
        <v>70.87</v>
      </c>
      <c r="E1140" s="31">
        <v>4.876525</v>
      </c>
      <c r="F1140" s="51">
        <v>50.764396088537005</v>
      </c>
      <c r="G11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1" spans="1:7" x14ac:dyDescent="0.35">
      <c r="A1141" s="46">
        <v>45815</v>
      </c>
      <c r="B1141" s="32" t="s">
        <v>3</v>
      </c>
      <c r="C1141" s="32" t="s">
        <v>26</v>
      </c>
      <c r="D1141" s="33">
        <v>0</v>
      </c>
      <c r="E1141" s="35">
        <v>4.8899999999999997</v>
      </c>
      <c r="F1141" s="35">
        <v>51.017186564682405</v>
      </c>
      <c r="G11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2" spans="1:7" x14ac:dyDescent="0.35">
      <c r="A1142" s="45">
        <v>45855</v>
      </c>
      <c r="B1142" s="29" t="s">
        <v>3</v>
      </c>
      <c r="C1142" s="29" t="s">
        <v>26</v>
      </c>
      <c r="D1142" s="30">
        <v>86.7</v>
      </c>
      <c r="E1142" s="36">
        <v>4.8899999999999997</v>
      </c>
      <c r="F1142" s="36">
        <v>50.76369429404415</v>
      </c>
      <c r="G11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3" spans="1:7" x14ac:dyDescent="0.35">
      <c r="A1143" s="46">
        <v>45860</v>
      </c>
      <c r="B1143" s="32" t="s">
        <v>3</v>
      </c>
      <c r="C1143" s="32" t="s">
        <v>26</v>
      </c>
      <c r="D1143" s="33">
        <v>43.66</v>
      </c>
      <c r="E1143" s="35">
        <v>4.9000000000000004</v>
      </c>
      <c r="F1143" s="35">
        <v>50.345135360266561</v>
      </c>
      <c r="G11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4" spans="1:7" x14ac:dyDescent="0.35">
      <c r="A1144" s="45">
        <v>46062</v>
      </c>
      <c r="B1144" s="39" t="s">
        <v>2</v>
      </c>
      <c r="C1144" s="39" t="s">
        <v>26</v>
      </c>
      <c r="D1144" s="30">
        <v>458.25</v>
      </c>
      <c r="E1144" s="29">
        <v>4.9000000000000004</v>
      </c>
      <c r="F1144" s="29">
        <v>49.8</v>
      </c>
      <c r="G11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5" spans="1:7" x14ac:dyDescent="0.35">
      <c r="A1145" s="45">
        <v>45967</v>
      </c>
      <c r="B1145" s="39" t="s">
        <v>4</v>
      </c>
      <c r="C1145" s="39" t="s">
        <v>26</v>
      </c>
      <c r="D1145" s="30">
        <v>72.58</v>
      </c>
      <c r="E1145" s="44">
        <v>4.9139750000000006</v>
      </c>
      <c r="F1145" s="44">
        <v>50.007290491240298</v>
      </c>
      <c r="G11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6" spans="1:7" x14ac:dyDescent="0.35">
      <c r="A1146" s="45">
        <v>45918</v>
      </c>
      <c r="B1146" s="39" t="s">
        <v>3</v>
      </c>
      <c r="C1146" s="39" t="s">
        <v>26</v>
      </c>
      <c r="D1146" s="30">
        <v>89.4</v>
      </c>
      <c r="E1146" s="36">
        <v>4.9400000000000004</v>
      </c>
      <c r="F1146" s="36">
        <v>51.294882876938303</v>
      </c>
      <c r="G11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7" spans="1:7" x14ac:dyDescent="0.35">
      <c r="A1147" s="46">
        <v>45961</v>
      </c>
      <c r="B1147" s="40" t="s">
        <v>3</v>
      </c>
      <c r="C1147" s="40" t="s">
        <v>26</v>
      </c>
      <c r="D1147" s="33">
        <v>92.62</v>
      </c>
      <c r="E1147" s="32">
        <v>4.95</v>
      </c>
      <c r="F1147" s="32">
        <v>49.52</v>
      </c>
      <c r="G11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8" spans="1:7" x14ac:dyDescent="0.35">
      <c r="A1148" s="45">
        <v>46046</v>
      </c>
      <c r="B1148" s="39" t="s">
        <v>18</v>
      </c>
      <c r="C1148" s="39" t="s">
        <v>27</v>
      </c>
      <c r="D1148" s="30">
        <v>268.04000000000002</v>
      </c>
      <c r="E1148" s="29">
        <v>5.03</v>
      </c>
      <c r="F1148" s="29">
        <v>48.7</v>
      </c>
      <c r="G11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49" spans="1:7" x14ac:dyDescent="0.35">
      <c r="A1149" s="46">
        <v>45686</v>
      </c>
      <c r="B1149" s="32" t="s">
        <v>2</v>
      </c>
      <c r="C1149" s="32" t="s">
        <v>26</v>
      </c>
      <c r="D1149" s="33">
        <v>384</v>
      </c>
      <c r="E1149" s="34">
        <v>5.0958750000000004</v>
      </c>
      <c r="F1149" s="35">
        <v>49.432427920873735</v>
      </c>
      <c r="G11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0" spans="1:7" x14ac:dyDescent="0.35">
      <c r="A1150" s="46">
        <v>45847</v>
      </c>
      <c r="B1150" s="32" t="s">
        <v>4</v>
      </c>
      <c r="C1150" s="32" t="s">
        <v>26</v>
      </c>
      <c r="D1150" s="33">
        <v>230.01</v>
      </c>
      <c r="E1150" s="35">
        <v>5.0999999999999996</v>
      </c>
      <c r="F1150" s="35">
        <v>51.336386233269593</v>
      </c>
      <c r="G11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1" spans="1:7" x14ac:dyDescent="0.35">
      <c r="A1151" s="45">
        <v>46064</v>
      </c>
      <c r="B1151" s="39" t="s">
        <v>3</v>
      </c>
      <c r="C1151" s="39" t="s">
        <v>26</v>
      </c>
      <c r="D1151" s="30">
        <v>90.44</v>
      </c>
      <c r="E1151" s="29">
        <v>5.0999999999999996</v>
      </c>
      <c r="F1151" s="29">
        <v>50.1</v>
      </c>
      <c r="G11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2" spans="1:7" x14ac:dyDescent="0.35">
      <c r="A1152" s="48">
        <v>46041</v>
      </c>
      <c r="B1152" s="40" t="s">
        <v>3</v>
      </c>
      <c r="C1152" s="40" t="s">
        <v>26</v>
      </c>
      <c r="D1152" s="33">
        <v>114.14</v>
      </c>
      <c r="E1152" s="43">
        <v>5.1360000000000001</v>
      </c>
      <c r="F1152" s="58">
        <v>49.258751199126465</v>
      </c>
      <c r="G11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3" spans="1:7" x14ac:dyDescent="0.35">
      <c r="A1153" s="50">
        <v>45789</v>
      </c>
      <c r="B1153" s="39" t="s">
        <v>8</v>
      </c>
      <c r="C1153" s="39" t="s">
        <v>27</v>
      </c>
      <c r="D1153" s="30">
        <v>193.893</v>
      </c>
      <c r="E1153" s="41">
        <v>5.2109000000000005</v>
      </c>
      <c r="F1153" s="55">
        <v>50.512002681663496</v>
      </c>
      <c r="G11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4" spans="1:7" x14ac:dyDescent="0.35">
      <c r="A1154" s="47">
        <v>45696</v>
      </c>
      <c r="B1154" s="29" t="s">
        <v>5</v>
      </c>
      <c r="C1154" s="29" t="s">
        <v>26</v>
      </c>
      <c r="D1154" s="30">
        <v>103.4</v>
      </c>
      <c r="E1154" s="31">
        <v>5.2135749999999996</v>
      </c>
      <c r="F1154" s="51">
        <v>50.829813238506603</v>
      </c>
      <c r="G11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5" spans="1:7" x14ac:dyDescent="0.35">
      <c r="A1155" s="46">
        <v>45945</v>
      </c>
      <c r="B1155" s="40" t="s">
        <v>5</v>
      </c>
      <c r="C1155" s="40" t="s">
        <v>26</v>
      </c>
      <c r="D1155" s="33">
        <v>217.71</v>
      </c>
      <c r="E1155" s="42">
        <v>5.22</v>
      </c>
      <c r="F1155" s="56">
        <v>47.704382302405499</v>
      </c>
      <c r="G11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6" spans="1:7" x14ac:dyDescent="0.35">
      <c r="A1156" s="45">
        <v>45826</v>
      </c>
      <c r="B1156" s="39" t="s">
        <v>8</v>
      </c>
      <c r="C1156" s="39" t="s">
        <v>27</v>
      </c>
      <c r="D1156" s="30">
        <v>545.67899999999997</v>
      </c>
      <c r="E1156" s="41">
        <v>5.25</v>
      </c>
      <c r="F1156" s="55">
        <v>50.97434404865335</v>
      </c>
      <c r="G11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7" spans="1:7" x14ac:dyDescent="0.35">
      <c r="A1157" s="45">
        <v>45894</v>
      </c>
      <c r="B1157" s="39" t="s">
        <v>4</v>
      </c>
      <c r="C1157" s="39" t="s">
        <v>26</v>
      </c>
      <c r="D1157" s="30">
        <v>232.03</v>
      </c>
      <c r="E1157" s="36">
        <v>5.27</v>
      </c>
      <c r="F1157" s="36">
        <v>50.863771120013936</v>
      </c>
      <c r="G11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8" spans="1:7" x14ac:dyDescent="0.35">
      <c r="A1158" s="47">
        <v>45691</v>
      </c>
      <c r="B1158" s="29" t="s">
        <v>3</v>
      </c>
      <c r="C1158" s="29" t="s">
        <v>26</v>
      </c>
      <c r="D1158" s="30">
        <v>84.92</v>
      </c>
      <c r="E1158" s="37">
        <v>5.2911500000000009</v>
      </c>
      <c r="F1158" s="51">
        <v>49.797517315194554</v>
      </c>
      <c r="G11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59" spans="1:7" x14ac:dyDescent="0.35">
      <c r="A1159" s="47">
        <v>45703</v>
      </c>
      <c r="B1159" s="29" t="s">
        <v>5</v>
      </c>
      <c r="C1159" s="29" t="s">
        <v>26</v>
      </c>
      <c r="D1159" s="30">
        <v>34.44</v>
      </c>
      <c r="E1159" s="31">
        <v>5.2965000000000009</v>
      </c>
      <c r="F1159" s="51">
        <v>51.540861298086504</v>
      </c>
      <c r="G11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0" spans="1:7" x14ac:dyDescent="0.35">
      <c r="A1160" s="45">
        <v>45862</v>
      </c>
      <c r="B1160" s="29" t="s">
        <v>3</v>
      </c>
      <c r="C1160" s="29" t="s">
        <v>26</v>
      </c>
      <c r="D1160" s="30">
        <v>44.74</v>
      </c>
      <c r="E1160" s="36">
        <v>5.3</v>
      </c>
      <c r="F1160" s="36">
        <v>50.321877554424887</v>
      </c>
      <c r="G11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1" spans="1:7" x14ac:dyDescent="0.35">
      <c r="A1161" s="46">
        <v>45958</v>
      </c>
      <c r="B1161" s="40" t="s">
        <v>18</v>
      </c>
      <c r="C1161" s="40" t="s">
        <v>27</v>
      </c>
      <c r="D1161" s="33">
        <v>53</v>
      </c>
      <c r="E1161" s="32">
        <v>5.34</v>
      </c>
      <c r="F1161" s="32">
        <v>50.6</v>
      </c>
      <c r="G11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2" spans="1:7" x14ac:dyDescent="0.35">
      <c r="A1162" s="48">
        <v>45726</v>
      </c>
      <c r="B1162" s="32" t="s">
        <v>3</v>
      </c>
      <c r="C1162" s="32" t="s">
        <v>26</v>
      </c>
      <c r="D1162" s="33">
        <v>62.9</v>
      </c>
      <c r="E1162" s="35">
        <v>5.3473249999999997</v>
      </c>
      <c r="F1162" s="35">
        <v>49.867104310827003</v>
      </c>
      <c r="G11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3" spans="1:7" x14ac:dyDescent="0.35">
      <c r="A1163" s="46">
        <v>45983</v>
      </c>
      <c r="B1163" s="40" t="s">
        <v>3</v>
      </c>
      <c r="C1163" s="40" t="s">
        <v>26</v>
      </c>
      <c r="D1163" s="33">
        <v>24.68</v>
      </c>
      <c r="E1163" s="43">
        <v>5.41</v>
      </c>
      <c r="F1163" s="43">
        <v>49.695372581309179</v>
      </c>
      <c r="G116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4" spans="1:7" x14ac:dyDescent="0.35">
      <c r="A1164" s="47">
        <v>45742</v>
      </c>
      <c r="B1164" s="29" t="s">
        <v>3</v>
      </c>
      <c r="C1164" s="29" t="s">
        <v>26</v>
      </c>
      <c r="D1164" s="30">
        <v>39.92</v>
      </c>
      <c r="E1164" s="36">
        <v>5.4436250000000008</v>
      </c>
      <c r="F1164" s="36">
        <v>49.89836359077232</v>
      </c>
      <c r="G116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5" spans="1:7" x14ac:dyDescent="0.35">
      <c r="A1165" s="46">
        <v>45938</v>
      </c>
      <c r="B1165" s="40" t="s">
        <v>17</v>
      </c>
      <c r="C1165" s="40" t="s">
        <v>27</v>
      </c>
      <c r="D1165" s="33">
        <v>345.32</v>
      </c>
      <c r="E1165" s="32">
        <v>5.5</v>
      </c>
      <c r="F1165" s="32">
        <v>50.4</v>
      </c>
      <c r="G116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6" spans="1:7" x14ac:dyDescent="0.35">
      <c r="A1166" s="46">
        <v>45840</v>
      </c>
      <c r="B1166" s="32" t="s">
        <v>3</v>
      </c>
      <c r="C1166" s="32" t="s">
        <v>26</v>
      </c>
      <c r="D1166" s="33">
        <v>0</v>
      </c>
      <c r="E1166" s="35">
        <v>5.5934250000000008</v>
      </c>
      <c r="F1166" s="35">
        <v>50.644120097240275</v>
      </c>
      <c r="G116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7" spans="1:7" x14ac:dyDescent="0.35">
      <c r="A1167" s="45">
        <v>45860</v>
      </c>
      <c r="B1167" s="29" t="s">
        <v>3</v>
      </c>
      <c r="C1167" s="29" t="s">
        <v>26</v>
      </c>
      <c r="D1167" s="30">
        <v>87.68</v>
      </c>
      <c r="E1167" s="36">
        <v>5.61</v>
      </c>
      <c r="F1167" s="36">
        <v>49.933769198837695</v>
      </c>
      <c r="G116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8" spans="1:7" x14ac:dyDescent="0.35">
      <c r="A1168" s="45">
        <v>45673</v>
      </c>
      <c r="B1168" s="29" t="s">
        <v>5</v>
      </c>
      <c r="C1168" s="29" t="s">
        <v>26</v>
      </c>
      <c r="D1168" s="30">
        <v>147.21</v>
      </c>
      <c r="E1168" s="31">
        <v>5.6469250000000004</v>
      </c>
      <c r="F1168" s="51">
        <v>49.698865976049703</v>
      </c>
      <c r="G116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69" spans="1:7" x14ac:dyDescent="0.35">
      <c r="A1169" s="45">
        <v>45811</v>
      </c>
      <c r="B1169" s="29" t="s">
        <v>3</v>
      </c>
      <c r="C1169" s="29" t="s">
        <v>26</v>
      </c>
      <c r="D1169" s="30">
        <v>85.04</v>
      </c>
      <c r="E1169" s="36">
        <v>5.68</v>
      </c>
      <c r="F1169" s="36">
        <v>48.423351671251147</v>
      </c>
      <c r="G116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0" spans="1:7" x14ac:dyDescent="0.35">
      <c r="A1170" s="46">
        <v>45843</v>
      </c>
      <c r="B1170" s="32" t="s">
        <v>7</v>
      </c>
      <c r="C1170" s="32" t="s">
        <v>26</v>
      </c>
      <c r="D1170" s="33">
        <v>22.66</v>
      </c>
      <c r="E1170" s="34">
        <v>5.687050000000001</v>
      </c>
      <c r="F1170" s="35">
        <v>49.868117439939937</v>
      </c>
      <c r="G117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1" spans="1:7" x14ac:dyDescent="0.35">
      <c r="A1171" s="46">
        <v>45926</v>
      </c>
      <c r="B1171" s="40" t="s">
        <v>3</v>
      </c>
      <c r="C1171" s="40" t="s">
        <v>26</v>
      </c>
      <c r="D1171" s="33">
        <v>97.18</v>
      </c>
      <c r="E1171" s="43">
        <v>5.7</v>
      </c>
      <c r="F1171" s="43">
        <v>47.694395811175653</v>
      </c>
      <c r="G117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2" spans="1:7" x14ac:dyDescent="0.35">
      <c r="A1172" s="46">
        <v>45953</v>
      </c>
      <c r="B1172" s="40" t="s">
        <v>16</v>
      </c>
      <c r="C1172" s="40" t="s">
        <v>27</v>
      </c>
      <c r="D1172" s="33">
        <v>139.13999999999999</v>
      </c>
      <c r="E1172" s="32">
        <v>5.72</v>
      </c>
      <c r="F1172" s="32">
        <v>51.1</v>
      </c>
      <c r="G117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3" spans="1:7" x14ac:dyDescent="0.35">
      <c r="A1173" s="47">
        <v>45729</v>
      </c>
      <c r="B1173" s="29" t="s">
        <v>3</v>
      </c>
      <c r="C1173" s="29" t="s">
        <v>26</v>
      </c>
      <c r="D1173" s="30">
        <v>63.94</v>
      </c>
      <c r="E1173" s="36">
        <v>5.7485749999999998</v>
      </c>
      <c r="F1173" s="36">
        <v>44.207239619619621</v>
      </c>
      <c r="G117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4" spans="1:7" x14ac:dyDescent="0.35">
      <c r="A1174" s="45">
        <v>45826</v>
      </c>
      <c r="B1174" s="29" t="s">
        <v>3</v>
      </c>
      <c r="C1174" s="29" t="s">
        <v>26</v>
      </c>
      <c r="D1174" s="30">
        <v>21.42</v>
      </c>
      <c r="E1174" s="36">
        <v>5.75</v>
      </c>
      <c r="F1174" s="36">
        <v>50.726895977346544</v>
      </c>
      <c r="G117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5" spans="1:7" x14ac:dyDescent="0.35">
      <c r="A1175" s="45">
        <v>45796</v>
      </c>
      <c r="B1175" s="29" t="s">
        <v>3</v>
      </c>
      <c r="C1175" s="29" t="s">
        <v>26</v>
      </c>
      <c r="D1175" s="30">
        <v>89.96</v>
      </c>
      <c r="E1175" s="36">
        <v>5.7833500000000004</v>
      </c>
      <c r="F1175" s="36">
        <v>50.520128788670149</v>
      </c>
      <c r="G117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6" spans="1:7" x14ac:dyDescent="0.35">
      <c r="A1176" s="49">
        <v>45790</v>
      </c>
      <c r="B1176" s="40" t="s">
        <v>8</v>
      </c>
      <c r="C1176" s="40" t="s">
        <v>27</v>
      </c>
      <c r="D1176" s="33">
        <v>154.041</v>
      </c>
      <c r="E1176" s="42">
        <v>5.7940500000000004</v>
      </c>
      <c r="F1176" s="56">
        <v>49.106017984976809</v>
      </c>
      <c r="G117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7" spans="1:7" x14ac:dyDescent="0.35">
      <c r="A1177" s="45">
        <v>45686</v>
      </c>
      <c r="B1177" s="29" t="s">
        <v>2</v>
      </c>
      <c r="C1177" s="29" t="s">
        <v>26</v>
      </c>
      <c r="D1177" s="30">
        <v>384</v>
      </c>
      <c r="E1177" s="31">
        <v>5.7967250000000003</v>
      </c>
      <c r="F1177" s="36">
        <v>49.44838730950471</v>
      </c>
      <c r="G117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8" spans="1:7" x14ac:dyDescent="0.35">
      <c r="A1178" s="46">
        <v>45897</v>
      </c>
      <c r="B1178" s="40" t="s">
        <v>4</v>
      </c>
      <c r="C1178" s="40" t="s">
        <v>26</v>
      </c>
      <c r="D1178" s="33">
        <v>199.97</v>
      </c>
      <c r="E1178" s="35">
        <v>5.81</v>
      </c>
      <c r="F1178" s="35">
        <v>49.75858676207514</v>
      </c>
      <c r="G117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79" spans="1:7" x14ac:dyDescent="0.35">
      <c r="A1179" s="45">
        <v>45904</v>
      </c>
      <c r="B1179" s="39" t="s">
        <v>3</v>
      </c>
      <c r="C1179" s="39" t="s">
        <v>26</v>
      </c>
      <c r="D1179" s="30">
        <v>100.19</v>
      </c>
      <c r="E1179" s="36">
        <v>5.82</v>
      </c>
      <c r="F1179" s="36">
        <v>47.276061743846476</v>
      </c>
      <c r="G117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0" spans="1:7" x14ac:dyDescent="0.35">
      <c r="A1180" s="45">
        <v>45976</v>
      </c>
      <c r="B1180" s="39" t="s">
        <v>4</v>
      </c>
      <c r="C1180" s="39" t="s">
        <v>26</v>
      </c>
      <c r="D1180" s="30">
        <v>95.34</v>
      </c>
      <c r="E1180" s="44">
        <v>5.83</v>
      </c>
      <c r="F1180" s="44">
        <v>50.642238979118332</v>
      </c>
      <c r="G118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1" spans="1:7" x14ac:dyDescent="0.35">
      <c r="A1181" s="46">
        <v>45854</v>
      </c>
      <c r="B1181" s="32" t="s">
        <v>3</v>
      </c>
      <c r="C1181" s="32" t="s">
        <v>26</v>
      </c>
      <c r="D1181" s="33">
        <v>86.26</v>
      </c>
      <c r="E1181" s="35">
        <v>5.91</v>
      </c>
      <c r="F1181" s="35">
        <v>48.420552212972886</v>
      </c>
      <c r="G118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2" spans="1:7" x14ac:dyDescent="0.35">
      <c r="A1182" s="45">
        <v>45953</v>
      </c>
      <c r="B1182" s="39" t="s">
        <v>2</v>
      </c>
      <c r="C1182" s="39" t="s">
        <v>26</v>
      </c>
      <c r="D1182" s="30">
        <v>422.12</v>
      </c>
      <c r="E1182" s="29">
        <v>5.97</v>
      </c>
      <c r="F1182" s="29">
        <v>49.1</v>
      </c>
      <c r="G118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3" spans="1:7" x14ac:dyDescent="0.35">
      <c r="A1183" s="45">
        <v>45954</v>
      </c>
      <c r="B1183" s="39" t="s">
        <v>5</v>
      </c>
      <c r="C1183" s="39" t="s">
        <v>26</v>
      </c>
      <c r="D1183" s="30">
        <v>177.09</v>
      </c>
      <c r="E1183" s="29">
        <v>5.98</v>
      </c>
      <c r="F1183" s="29">
        <v>54.3</v>
      </c>
      <c r="G118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4" spans="1:7" x14ac:dyDescent="0.35">
      <c r="A1184" s="45">
        <v>45770</v>
      </c>
      <c r="B1184" s="29" t="s">
        <v>4</v>
      </c>
      <c r="C1184" s="29" t="s">
        <v>26</v>
      </c>
      <c r="D1184" s="30">
        <v>73.42</v>
      </c>
      <c r="E1184" s="36">
        <v>5.9893250000000009</v>
      </c>
      <c r="F1184" s="36">
        <v>48.982605724299063</v>
      </c>
      <c r="G118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5" spans="1:7" x14ac:dyDescent="0.35">
      <c r="A1185" s="47">
        <v>45687</v>
      </c>
      <c r="B1185" s="29" t="s">
        <v>3</v>
      </c>
      <c r="C1185" s="29" t="s">
        <v>26</v>
      </c>
      <c r="D1185" s="30">
        <v>80.94</v>
      </c>
      <c r="E1185" s="31">
        <v>6.0160749999999998</v>
      </c>
      <c r="F1185" s="51">
        <v>49.258315831253128</v>
      </c>
      <c r="G118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6" spans="1:7" x14ac:dyDescent="0.35">
      <c r="A1186" s="47">
        <v>45727</v>
      </c>
      <c r="B1186" s="29" t="s">
        <v>3</v>
      </c>
      <c r="C1186" s="29" t="s">
        <v>26</v>
      </c>
      <c r="D1186" s="30">
        <v>21.64</v>
      </c>
      <c r="E1186" s="36">
        <v>6.0856250000000003</v>
      </c>
      <c r="F1186" s="36">
        <v>49.854532139278554</v>
      </c>
      <c r="G118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7" spans="1:7" x14ac:dyDescent="0.35">
      <c r="A1187" s="46">
        <v>45813</v>
      </c>
      <c r="B1187" s="32" t="s">
        <v>3</v>
      </c>
      <c r="C1187" s="32" t="s">
        <v>26</v>
      </c>
      <c r="D1187" s="33">
        <v>113.04</v>
      </c>
      <c r="E1187" s="35">
        <v>6.21</v>
      </c>
      <c r="F1187" s="35">
        <v>50.745998359983602</v>
      </c>
      <c r="G118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8" spans="1:7" x14ac:dyDescent="0.35">
      <c r="A1188" s="46">
        <v>45908</v>
      </c>
      <c r="B1188" s="40" t="s">
        <v>2</v>
      </c>
      <c r="C1188" s="40" t="s">
        <v>26</v>
      </c>
      <c r="D1188" s="33">
        <v>86.96</v>
      </c>
      <c r="E1188" s="34">
        <v>6.25</v>
      </c>
      <c r="F1188" s="35">
        <v>49.191946755407656</v>
      </c>
      <c r="G118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89" spans="1:7" x14ac:dyDescent="0.35">
      <c r="A1189" s="45">
        <v>45770</v>
      </c>
      <c r="B1189" s="29" t="s">
        <v>3</v>
      </c>
      <c r="C1189" s="29" t="s">
        <v>26</v>
      </c>
      <c r="D1189" s="30">
        <v>20.82</v>
      </c>
      <c r="E1189" s="36">
        <v>6.2568250000000001</v>
      </c>
      <c r="F1189" s="36">
        <v>47.40006537695448</v>
      </c>
      <c r="G118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0" spans="1:7" x14ac:dyDescent="0.35">
      <c r="A1190" s="46">
        <v>45938</v>
      </c>
      <c r="B1190" s="40" t="s">
        <v>4</v>
      </c>
      <c r="C1190" s="40" t="s">
        <v>26</v>
      </c>
      <c r="D1190" s="33">
        <v>205.8</v>
      </c>
      <c r="E1190" s="43">
        <v>6.27</v>
      </c>
      <c r="F1190" s="43">
        <v>49.268030836266135</v>
      </c>
      <c r="G119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1" spans="1:7" x14ac:dyDescent="0.35">
      <c r="A1191" s="46">
        <v>45798</v>
      </c>
      <c r="B1191" s="32" t="s">
        <v>4</v>
      </c>
      <c r="C1191" s="32" t="s">
        <v>26</v>
      </c>
      <c r="D1191" s="33">
        <v>187.42</v>
      </c>
      <c r="E1191" s="35">
        <v>6.3558000000000012</v>
      </c>
      <c r="F1191" s="35">
        <v>50.423376527092351</v>
      </c>
      <c r="G119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2" spans="1:7" x14ac:dyDescent="0.35">
      <c r="A1192" s="45">
        <v>46002</v>
      </c>
      <c r="B1192" s="39" t="s">
        <v>4</v>
      </c>
      <c r="C1192" s="39" t="s">
        <v>26</v>
      </c>
      <c r="D1192" s="30">
        <v>151.47</v>
      </c>
      <c r="E1192" s="29">
        <v>6.4</v>
      </c>
      <c r="F1192" s="29">
        <v>49.9</v>
      </c>
      <c r="G119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3" spans="1:7" x14ac:dyDescent="0.35">
      <c r="A1193" s="45">
        <v>45814</v>
      </c>
      <c r="B1193" s="29" t="s">
        <v>3</v>
      </c>
      <c r="C1193" s="29" t="s">
        <v>26</v>
      </c>
      <c r="D1193" s="30">
        <v>68.260000000000005</v>
      </c>
      <c r="E1193" s="36">
        <v>6.47</v>
      </c>
      <c r="F1193" s="36">
        <v>48.797771124417835</v>
      </c>
      <c r="G119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4" spans="1:7" x14ac:dyDescent="0.35">
      <c r="A1194" s="46">
        <v>45827</v>
      </c>
      <c r="B1194" s="32" t="s">
        <v>3</v>
      </c>
      <c r="C1194" s="32" t="s">
        <v>26</v>
      </c>
      <c r="D1194" s="33">
        <v>90.12</v>
      </c>
      <c r="E1194" s="35">
        <v>6.49</v>
      </c>
      <c r="F1194" s="35">
        <v>49.863679237463728</v>
      </c>
      <c r="G119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5" spans="1:7" x14ac:dyDescent="0.35">
      <c r="A1195" s="46">
        <v>45835</v>
      </c>
      <c r="B1195" s="32" t="s">
        <v>4</v>
      </c>
      <c r="C1195" s="32" t="s">
        <v>26</v>
      </c>
      <c r="D1195" s="33">
        <v>125.84</v>
      </c>
      <c r="E1195" s="35">
        <v>6.6366750000000003</v>
      </c>
      <c r="F1195" s="35">
        <v>50.385091094140584</v>
      </c>
      <c r="G119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6" spans="1:7" x14ac:dyDescent="0.35">
      <c r="A1196" s="45">
        <v>45845</v>
      </c>
      <c r="B1196" s="29" t="s">
        <v>8</v>
      </c>
      <c r="C1196" s="29" t="s">
        <v>27</v>
      </c>
      <c r="D1196" s="30">
        <v>235</v>
      </c>
      <c r="E1196" s="31">
        <v>6.8</v>
      </c>
      <c r="F1196" s="51">
        <v>50.390722466201666</v>
      </c>
      <c r="G119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7" spans="1:7" x14ac:dyDescent="0.35">
      <c r="A1197" s="45">
        <v>45892</v>
      </c>
      <c r="B1197" s="39" t="s">
        <v>2</v>
      </c>
      <c r="C1197" s="39" t="s">
        <v>26</v>
      </c>
      <c r="D1197" s="30">
        <v>235.95</v>
      </c>
      <c r="E1197" s="31">
        <v>6.87</v>
      </c>
      <c r="F1197" s="36">
        <v>50.226056226315322</v>
      </c>
      <c r="G119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8" spans="1:7" x14ac:dyDescent="0.35">
      <c r="A1198" s="45">
        <v>46066</v>
      </c>
      <c r="B1198" s="39" t="s">
        <v>4</v>
      </c>
      <c r="C1198" s="39" t="s">
        <v>26</v>
      </c>
      <c r="D1198" s="30">
        <v>74.14</v>
      </c>
      <c r="E1198" s="29">
        <v>6.9</v>
      </c>
      <c r="F1198" s="29">
        <v>49.2</v>
      </c>
      <c r="G119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199" spans="1:7" x14ac:dyDescent="0.35">
      <c r="A1199" s="46">
        <v>45944</v>
      </c>
      <c r="B1199" s="40" t="s">
        <v>3</v>
      </c>
      <c r="C1199" s="40" t="s">
        <v>26</v>
      </c>
      <c r="D1199" s="33">
        <v>70.680000000000007</v>
      </c>
      <c r="E1199" s="32">
        <v>7</v>
      </c>
      <c r="F1199" s="32">
        <v>48.9</v>
      </c>
      <c r="G119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0" spans="1:7" x14ac:dyDescent="0.35">
      <c r="A1200" s="46">
        <v>45994</v>
      </c>
      <c r="B1200" s="40" t="s">
        <v>4</v>
      </c>
      <c r="C1200" s="40" t="s">
        <v>26</v>
      </c>
      <c r="D1200" s="33">
        <v>73.17</v>
      </c>
      <c r="E1200" s="32">
        <v>7</v>
      </c>
      <c r="F1200" s="32">
        <v>49.7</v>
      </c>
      <c r="G120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1" spans="1:7" x14ac:dyDescent="0.35">
      <c r="A1201" s="45">
        <v>45749</v>
      </c>
      <c r="B1201" s="29" t="s">
        <v>7</v>
      </c>
      <c r="C1201" s="29" t="s">
        <v>26</v>
      </c>
      <c r="D1201" s="30">
        <v>49.95</v>
      </c>
      <c r="E1201" s="31">
        <v>7.2171500000000002</v>
      </c>
      <c r="F1201" s="36">
        <v>50.074874981985595</v>
      </c>
      <c r="G120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2" spans="1:7" x14ac:dyDescent="0.35">
      <c r="A1202" s="46">
        <v>45749</v>
      </c>
      <c r="B1202" s="32" t="s">
        <v>7</v>
      </c>
      <c r="C1202" s="32" t="s">
        <v>26</v>
      </c>
      <c r="D1202" s="33">
        <v>49.95</v>
      </c>
      <c r="E1202" s="34">
        <v>7.2171500000000002</v>
      </c>
      <c r="F1202" s="35">
        <v>50.074874981985595</v>
      </c>
      <c r="G120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3" spans="1:7" x14ac:dyDescent="0.35">
      <c r="A1203" s="48">
        <v>45742</v>
      </c>
      <c r="B1203" s="32" t="s">
        <v>5</v>
      </c>
      <c r="C1203" s="32" t="s">
        <v>26</v>
      </c>
      <c r="D1203" s="33">
        <v>34.049999999999997</v>
      </c>
      <c r="E1203" s="34">
        <v>7.2706500000000007</v>
      </c>
      <c r="F1203" s="52">
        <v>48.197679736524535</v>
      </c>
      <c r="G120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4" spans="1:7" x14ac:dyDescent="0.35">
      <c r="A1204" s="46">
        <v>45820</v>
      </c>
      <c r="B1204" s="32" t="s">
        <v>7</v>
      </c>
      <c r="C1204" s="32" t="s">
        <v>26</v>
      </c>
      <c r="D1204" s="33">
        <v>248.72</v>
      </c>
      <c r="E1204" s="34">
        <v>7.28</v>
      </c>
      <c r="F1204" s="35">
        <v>49.896037664066959</v>
      </c>
      <c r="G120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5" spans="1:7" x14ac:dyDescent="0.35">
      <c r="A1205" s="45">
        <v>45797</v>
      </c>
      <c r="B1205" s="29" t="s">
        <v>4</v>
      </c>
      <c r="C1205" s="29" t="s">
        <v>26</v>
      </c>
      <c r="D1205" s="30">
        <v>94.25</v>
      </c>
      <c r="E1205" s="36">
        <v>7.3375250000000003</v>
      </c>
      <c r="F1205" s="36">
        <v>49.880538446965907</v>
      </c>
      <c r="G120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6" spans="1:7" x14ac:dyDescent="0.35">
      <c r="A1206" s="46">
        <v>45980</v>
      </c>
      <c r="B1206" s="40" t="s">
        <v>5</v>
      </c>
      <c r="C1206" s="40" t="s">
        <v>26</v>
      </c>
      <c r="D1206" s="33">
        <v>108.67</v>
      </c>
      <c r="E1206" s="32">
        <v>7.34</v>
      </c>
      <c r="F1206" s="32">
        <v>48.8</v>
      </c>
      <c r="G120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7" spans="1:7" x14ac:dyDescent="0.35">
      <c r="A1207" s="45">
        <v>45982</v>
      </c>
      <c r="B1207" s="39" t="s">
        <v>21</v>
      </c>
      <c r="C1207" s="39" t="s">
        <v>27</v>
      </c>
      <c r="D1207" s="30">
        <v>123.14</v>
      </c>
      <c r="E1207" s="29">
        <v>7.37</v>
      </c>
      <c r="F1207" s="29">
        <v>47.6</v>
      </c>
      <c r="G120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8" spans="1:7" x14ac:dyDescent="0.35">
      <c r="A1208" s="45">
        <v>45939</v>
      </c>
      <c r="B1208" s="39" t="s">
        <v>7</v>
      </c>
      <c r="C1208" s="39" t="s">
        <v>26</v>
      </c>
      <c r="D1208" s="30">
        <v>49.13</v>
      </c>
      <c r="E1208" s="41">
        <v>7.38</v>
      </c>
      <c r="F1208" s="44">
        <v>48.35857047595232</v>
      </c>
      <c r="G120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09" spans="1:7" x14ac:dyDescent="0.35">
      <c r="A1209" s="45">
        <v>45936</v>
      </c>
      <c r="B1209" s="39" t="s">
        <v>3</v>
      </c>
      <c r="C1209" s="39" t="s">
        <v>26</v>
      </c>
      <c r="D1209" s="30">
        <v>92.74</v>
      </c>
      <c r="E1209" s="44">
        <v>7.46</v>
      </c>
      <c r="F1209" s="44">
        <v>48.287742586554884</v>
      </c>
      <c r="G120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0" spans="1:7" x14ac:dyDescent="0.35">
      <c r="A1210" s="45">
        <v>45835</v>
      </c>
      <c r="B1210" s="29" t="s">
        <v>3</v>
      </c>
      <c r="C1210" s="29" t="s">
        <v>26</v>
      </c>
      <c r="D1210" s="30">
        <v>69.66</v>
      </c>
      <c r="E1210" s="36">
        <v>8.0624500000000001</v>
      </c>
      <c r="F1210" s="36">
        <v>47.194087973642098</v>
      </c>
      <c r="G121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1" spans="1:7" x14ac:dyDescent="0.35">
      <c r="A1211" s="48">
        <v>45735</v>
      </c>
      <c r="B1211" s="32" t="s">
        <v>5</v>
      </c>
      <c r="C1211" s="32" t="s">
        <v>26</v>
      </c>
      <c r="D1211" s="33">
        <v>113.6</v>
      </c>
      <c r="E1211" s="34">
        <v>8.196200000000001</v>
      </c>
      <c r="F1211" s="52">
        <v>45.765658009968945</v>
      </c>
      <c r="G121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2" spans="1:7" x14ac:dyDescent="0.35">
      <c r="A1212" s="46">
        <v>45996</v>
      </c>
      <c r="B1212" s="40" t="s">
        <v>4</v>
      </c>
      <c r="C1212" s="40" t="s">
        <v>26</v>
      </c>
      <c r="D1212" s="33">
        <v>127.56</v>
      </c>
      <c r="E1212" s="32">
        <v>8.1999999999999993</v>
      </c>
      <c r="F1212" s="32">
        <v>49.6</v>
      </c>
      <c r="G121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3" spans="1:7" x14ac:dyDescent="0.35">
      <c r="A1213" s="46">
        <v>46048</v>
      </c>
      <c r="B1213" s="40" t="s">
        <v>3</v>
      </c>
      <c r="C1213" s="40" t="s">
        <v>26</v>
      </c>
      <c r="D1213" s="33">
        <v>46.44</v>
      </c>
      <c r="E1213" s="32">
        <v>8.1999999999999993</v>
      </c>
      <c r="F1213" s="32">
        <v>48.1</v>
      </c>
      <c r="G121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4" spans="1:7" x14ac:dyDescent="0.35">
      <c r="A1214" s="46">
        <v>45811</v>
      </c>
      <c r="B1214" s="32" t="s">
        <v>2</v>
      </c>
      <c r="C1214" s="32" t="s">
        <v>26</v>
      </c>
      <c r="D1214" s="33">
        <v>92.62</v>
      </c>
      <c r="E1214" s="34">
        <v>8.5</v>
      </c>
      <c r="F1214" s="35">
        <v>48.473037827028818</v>
      </c>
      <c r="G121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5" spans="1:7" x14ac:dyDescent="0.35">
      <c r="A1215" s="48">
        <v>45720</v>
      </c>
      <c r="B1215" s="32" t="s">
        <v>5</v>
      </c>
      <c r="C1215" s="32" t="s">
        <v>26</v>
      </c>
      <c r="D1215" s="33">
        <v>127.66</v>
      </c>
      <c r="E1215" s="34">
        <v>8.5493000000000006</v>
      </c>
      <c r="F1215" s="52">
        <v>48.822079991297862</v>
      </c>
      <c r="G121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6" spans="1:7" x14ac:dyDescent="0.35">
      <c r="A1216" s="46">
        <v>45894</v>
      </c>
      <c r="B1216" s="40" t="s">
        <v>3</v>
      </c>
      <c r="C1216" s="40" t="s">
        <v>26</v>
      </c>
      <c r="D1216" s="33">
        <v>44.68</v>
      </c>
      <c r="E1216" s="35">
        <v>8.7100000000000009</v>
      </c>
      <c r="F1216" s="35">
        <v>47.682249633399465</v>
      </c>
      <c r="G121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7" spans="1:7" x14ac:dyDescent="0.35">
      <c r="A1217" s="46">
        <v>45927</v>
      </c>
      <c r="B1217" s="40" t="s">
        <v>8</v>
      </c>
      <c r="C1217" s="40" t="s">
        <v>27</v>
      </c>
      <c r="D1217" s="33">
        <v>730.15300000000002</v>
      </c>
      <c r="E1217" s="32">
        <v>8.77</v>
      </c>
      <c r="F1217" s="32">
        <v>48.2</v>
      </c>
      <c r="G121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8" spans="1:7" x14ac:dyDescent="0.35">
      <c r="A1218" s="45">
        <v>45839</v>
      </c>
      <c r="B1218" s="29" t="s">
        <v>3</v>
      </c>
      <c r="C1218" s="29" t="s">
        <v>26</v>
      </c>
      <c r="D1218" s="30">
        <v>0</v>
      </c>
      <c r="E1218" s="36">
        <v>8.8596000000000004</v>
      </c>
      <c r="F1218" s="36">
        <v>45.61347943779905</v>
      </c>
      <c r="G121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19" spans="1:7" x14ac:dyDescent="0.35">
      <c r="A1219" s="45">
        <v>46003</v>
      </c>
      <c r="B1219" s="39" t="s">
        <v>3</v>
      </c>
      <c r="C1219" s="39" t="s">
        <v>26</v>
      </c>
      <c r="D1219" s="30">
        <v>109.26</v>
      </c>
      <c r="E1219" s="29">
        <v>8.9</v>
      </c>
      <c r="F1219" s="29">
        <v>54.2</v>
      </c>
      <c r="G121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0" spans="1:7" x14ac:dyDescent="0.35">
      <c r="A1220" s="46">
        <v>45917</v>
      </c>
      <c r="B1220" s="40" t="s">
        <v>8</v>
      </c>
      <c r="C1220" s="40" t="s">
        <v>27</v>
      </c>
      <c r="D1220" s="33">
        <v>112.452</v>
      </c>
      <c r="E1220" s="32">
        <v>8.9600000000000009</v>
      </c>
      <c r="F1220" s="32">
        <v>48.5</v>
      </c>
      <c r="G122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1" spans="1:7" x14ac:dyDescent="0.35">
      <c r="A1221" s="46">
        <v>45769</v>
      </c>
      <c r="B1221" s="32" t="s">
        <v>3</v>
      </c>
      <c r="C1221" s="32" t="s">
        <v>26</v>
      </c>
      <c r="D1221" s="33">
        <v>65.62</v>
      </c>
      <c r="E1221" s="35">
        <v>9.1378000000000004</v>
      </c>
      <c r="F1221" s="35">
        <v>46.775905250225662</v>
      </c>
      <c r="G122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2" spans="1:7" x14ac:dyDescent="0.35">
      <c r="A1222" s="46">
        <v>45939</v>
      </c>
      <c r="B1222" s="40" t="s">
        <v>5</v>
      </c>
      <c r="C1222" s="40" t="s">
        <v>26</v>
      </c>
      <c r="D1222" s="33">
        <v>31.15</v>
      </c>
      <c r="E1222" s="42">
        <v>9.2200000000000006</v>
      </c>
      <c r="F1222" s="56">
        <v>48.504209213371027</v>
      </c>
      <c r="G122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3" spans="1:7" x14ac:dyDescent="0.35">
      <c r="A1223" s="45">
        <v>46046</v>
      </c>
      <c r="B1223" s="39" t="s">
        <v>3</v>
      </c>
      <c r="C1223" s="39" t="s">
        <v>26</v>
      </c>
      <c r="D1223" s="30">
        <v>24.86</v>
      </c>
      <c r="E1223" s="29">
        <v>9.3000000000000007</v>
      </c>
      <c r="F1223" s="29">
        <v>47.1</v>
      </c>
      <c r="G122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4" spans="1:7" x14ac:dyDescent="0.35">
      <c r="A1224" s="45">
        <v>45798</v>
      </c>
      <c r="B1224" s="29" t="s">
        <v>3</v>
      </c>
      <c r="C1224" s="29" t="s">
        <v>26</v>
      </c>
      <c r="D1224" s="30">
        <v>20.440000000000001</v>
      </c>
      <c r="E1224" s="36">
        <v>9.4828750000000017</v>
      </c>
      <c r="F1224" s="36">
        <v>44.562087750200163</v>
      </c>
      <c r="G122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5" spans="1:7" x14ac:dyDescent="0.35">
      <c r="A1225" s="48">
        <v>45694</v>
      </c>
      <c r="B1225" s="32" t="s">
        <v>3</v>
      </c>
      <c r="C1225" s="32" t="s">
        <v>26</v>
      </c>
      <c r="D1225" s="33">
        <v>65.2</v>
      </c>
      <c r="E1225" s="38">
        <v>9.5791750000000011</v>
      </c>
      <c r="F1225" s="52">
        <v>46.641063004243634</v>
      </c>
      <c r="G122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6" spans="1:7" x14ac:dyDescent="0.35">
      <c r="A1226" s="46">
        <v>46062</v>
      </c>
      <c r="B1226" s="40" t="s">
        <v>4</v>
      </c>
      <c r="C1226" s="40" t="s">
        <v>26</v>
      </c>
      <c r="D1226" s="33">
        <v>67.56</v>
      </c>
      <c r="E1226" s="32">
        <v>9.6</v>
      </c>
      <c r="F1226" s="32">
        <v>48.1</v>
      </c>
      <c r="G122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7" spans="1:7" x14ac:dyDescent="0.35">
      <c r="A1227" s="47">
        <v>45735</v>
      </c>
      <c r="B1227" s="29" t="s">
        <v>3</v>
      </c>
      <c r="C1227" s="29" t="s">
        <v>26</v>
      </c>
      <c r="D1227" s="30">
        <v>83.98</v>
      </c>
      <c r="E1227" s="36">
        <v>9.7584</v>
      </c>
      <c r="F1227" s="36">
        <v>45.901043377563333</v>
      </c>
      <c r="G122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8" spans="1:7" x14ac:dyDescent="0.35">
      <c r="A1228" s="48">
        <v>45728</v>
      </c>
      <c r="B1228" s="32" t="s">
        <v>3</v>
      </c>
      <c r="C1228" s="32" t="s">
        <v>26</v>
      </c>
      <c r="D1228" s="33">
        <v>63.94</v>
      </c>
      <c r="E1228" s="35">
        <v>10.2934</v>
      </c>
      <c r="F1228" s="35">
        <v>46.446163199440448</v>
      </c>
      <c r="G122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29" spans="1:7" x14ac:dyDescent="0.35">
      <c r="A1229" s="48">
        <v>45721</v>
      </c>
      <c r="B1229" s="32" t="s">
        <v>3</v>
      </c>
      <c r="C1229" s="32" t="s">
        <v>26</v>
      </c>
      <c r="D1229" s="33">
        <v>29.428000000000001</v>
      </c>
      <c r="E1229" s="35">
        <v>10.849800000000002</v>
      </c>
      <c r="F1229" s="35">
        <v>45.867528460155782</v>
      </c>
      <c r="G122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0" spans="1:7" x14ac:dyDescent="0.35">
      <c r="A1230" s="47">
        <v>45724</v>
      </c>
      <c r="B1230" s="29" t="s">
        <v>3</v>
      </c>
      <c r="C1230" s="29" t="s">
        <v>26</v>
      </c>
      <c r="D1230" s="30">
        <v>70.680000000000007</v>
      </c>
      <c r="E1230" s="36">
        <v>11.253725000000001</v>
      </c>
      <c r="F1230" s="36">
        <v>43.36679557356608</v>
      </c>
      <c r="G123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1" spans="1:7" x14ac:dyDescent="0.35">
      <c r="A1231" s="45">
        <v>45843</v>
      </c>
      <c r="B1231" s="29" t="s">
        <v>3</v>
      </c>
      <c r="C1231" s="29" t="s">
        <v>26</v>
      </c>
      <c r="D1231" s="30">
        <v>22.04</v>
      </c>
      <c r="E1231" s="36">
        <v>11.422250000000002</v>
      </c>
      <c r="F1231" s="36">
        <v>42.69572906908256</v>
      </c>
      <c r="G123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2" spans="1:7" x14ac:dyDescent="0.35">
      <c r="A1232" s="46">
        <v>45834</v>
      </c>
      <c r="B1232" s="32" t="s">
        <v>3</v>
      </c>
      <c r="C1232" s="32" t="s">
        <v>26</v>
      </c>
      <c r="D1232" s="33">
        <v>63.38</v>
      </c>
      <c r="E1232" s="35">
        <v>11.76</v>
      </c>
      <c r="F1232" s="35">
        <v>44.7235802983582</v>
      </c>
      <c r="G123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3" spans="1:7" x14ac:dyDescent="0.35">
      <c r="A1233" s="48">
        <v>45702</v>
      </c>
      <c r="B1233" s="32" t="s">
        <v>5</v>
      </c>
      <c r="C1233" s="32" t="s">
        <v>26</v>
      </c>
      <c r="D1233" s="33">
        <v>137.74</v>
      </c>
      <c r="E1233" s="34">
        <v>11.906425</v>
      </c>
      <c r="F1233" s="52">
        <v>46.282837993716335</v>
      </c>
      <c r="G123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4" spans="1:7" x14ac:dyDescent="0.35">
      <c r="A1234" s="46">
        <v>45913</v>
      </c>
      <c r="B1234" s="40" t="s">
        <v>3</v>
      </c>
      <c r="C1234" s="40" t="s">
        <v>26</v>
      </c>
      <c r="D1234" s="33">
        <v>91.34</v>
      </c>
      <c r="E1234" s="35">
        <v>12.29</v>
      </c>
      <c r="F1234" s="35">
        <v>46.263455149501667</v>
      </c>
      <c r="G123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5" spans="1:7" x14ac:dyDescent="0.35">
      <c r="A1235" s="45">
        <v>45983</v>
      </c>
      <c r="B1235" s="39" t="s">
        <v>5</v>
      </c>
      <c r="C1235" s="39" t="s">
        <v>26</v>
      </c>
      <c r="D1235" s="30">
        <v>35.534999999999997</v>
      </c>
      <c r="E1235" s="41">
        <v>12.42</v>
      </c>
      <c r="F1235" s="55">
        <v>43.972077365056244</v>
      </c>
      <c r="G123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6" spans="1:7" x14ac:dyDescent="0.35">
      <c r="A1236" s="45">
        <v>45759</v>
      </c>
      <c r="B1236" s="29" t="s">
        <v>5</v>
      </c>
      <c r="C1236" s="29" t="s">
        <v>26</v>
      </c>
      <c r="D1236" s="30">
        <v>166.98</v>
      </c>
      <c r="E1236" s="31">
        <v>12.55645</v>
      </c>
      <c r="F1236" s="51">
        <v>46.029955900321539</v>
      </c>
      <c r="G123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7" spans="1:7" x14ac:dyDescent="0.35">
      <c r="A1237" s="46">
        <v>45759</v>
      </c>
      <c r="B1237" s="32" t="s">
        <v>5</v>
      </c>
      <c r="C1237" s="32" t="s">
        <v>26</v>
      </c>
      <c r="D1237" s="33">
        <v>233.1</v>
      </c>
      <c r="E1237" s="34">
        <v>12.55645</v>
      </c>
      <c r="F1237" s="52">
        <v>46.029955900321539</v>
      </c>
      <c r="G123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8" spans="1:7" x14ac:dyDescent="0.35">
      <c r="A1238" s="45">
        <v>45908</v>
      </c>
      <c r="B1238" s="39" t="s">
        <v>8</v>
      </c>
      <c r="C1238" s="39" t="s">
        <v>27</v>
      </c>
      <c r="D1238" s="30">
        <v>231.64500000000001</v>
      </c>
      <c r="E1238" s="29">
        <v>12.59</v>
      </c>
      <c r="F1238" s="29">
        <v>47.2</v>
      </c>
      <c r="G123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39" spans="1:7" x14ac:dyDescent="0.35">
      <c r="A1239" s="48">
        <v>45911</v>
      </c>
      <c r="B1239" s="40" t="s">
        <v>3</v>
      </c>
      <c r="C1239" s="40" t="s">
        <v>26</v>
      </c>
      <c r="D1239" s="33">
        <v>90.82</v>
      </c>
      <c r="E1239" s="35">
        <v>12.64</v>
      </c>
      <c r="F1239" s="54">
        <v>46.206567164179106</v>
      </c>
      <c r="G123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0" spans="1:7" x14ac:dyDescent="0.35">
      <c r="A1240" s="46">
        <v>45983</v>
      </c>
      <c r="B1240" s="40" t="s">
        <v>18</v>
      </c>
      <c r="C1240" s="40" t="s">
        <v>27</v>
      </c>
      <c r="D1240" s="33">
        <v>137.82</v>
      </c>
      <c r="E1240" s="32">
        <v>12.91</v>
      </c>
      <c r="F1240" s="32">
        <v>45.1</v>
      </c>
      <c r="G124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1" spans="1:7" x14ac:dyDescent="0.35">
      <c r="A1241" s="46">
        <v>45762</v>
      </c>
      <c r="B1241" s="32" t="s">
        <v>7</v>
      </c>
      <c r="C1241" s="32" t="s">
        <v>26</v>
      </c>
      <c r="D1241" s="33">
        <v>99.97</v>
      </c>
      <c r="E1241" s="34">
        <v>13.623775</v>
      </c>
      <c r="F1241" s="35">
        <v>45.925466270712718</v>
      </c>
      <c r="G124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2" spans="1:7" x14ac:dyDescent="0.35">
      <c r="A1242" s="45">
        <v>45920</v>
      </c>
      <c r="B1242" s="39" t="s">
        <v>7</v>
      </c>
      <c r="C1242" s="39" t="s">
        <v>26</v>
      </c>
      <c r="D1242" s="30">
        <v>0</v>
      </c>
      <c r="E1242" s="31">
        <v>13.65</v>
      </c>
      <c r="F1242" s="53">
        <v>46.262724180837829</v>
      </c>
      <c r="G124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3" spans="1:7" x14ac:dyDescent="0.35">
      <c r="A1243" s="45">
        <v>46008</v>
      </c>
      <c r="B1243" s="39" t="s">
        <v>5</v>
      </c>
      <c r="C1243" s="39" t="s">
        <v>26</v>
      </c>
      <c r="D1243" s="30">
        <v>107.19</v>
      </c>
      <c r="E1243" s="41">
        <v>13.68</v>
      </c>
      <c r="F1243" s="55">
        <v>44.17427585001311</v>
      </c>
      <c r="G124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4" spans="1:7" x14ac:dyDescent="0.35">
      <c r="A1244" s="46">
        <v>45940</v>
      </c>
      <c r="B1244" s="40" t="s">
        <v>7</v>
      </c>
      <c r="C1244" s="40" t="s">
        <v>26</v>
      </c>
      <c r="D1244" s="33">
        <v>98.75</v>
      </c>
      <c r="E1244" s="42">
        <v>15.5</v>
      </c>
      <c r="F1244" s="43">
        <v>44.173759788970401</v>
      </c>
      <c r="G124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5" spans="1:7" x14ac:dyDescent="0.35">
      <c r="A1245" s="46">
        <v>45909</v>
      </c>
      <c r="B1245" s="40" t="s">
        <v>4</v>
      </c>
      <c r="C1245" s="40" t="s">
        <v>26</v>
      </c>
      <c r="D1245" s="33">
        <v>75.19</v>
      </c>
      <c r="E1245" s="35">
        <v>15.96</v>
      </c>
      <c r="F1245" s="35">
        <v>44.320659102286001</v>
      </c>
      <c r="G124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6" spans="1:7" x14ac:dyDescent="0.35">
      <c r="A1246" s="45">
        <v>45905</v>
      </c>
      <c r="B1246" s="39" t="s">
        <v>8</v>
      </c>
      <c r="C1246" s="39" t="s">
        <v>27</v>
      </c>
      <c r="D1246" s="30">
        <v>587.78800000000001</v>
      </c>
      <c r="E1246" s="29">
        <v>16.760000000000002</v>
      </c>
      <c r="F1246" s="29">
        <v>43.4</v>
      </c>
      <c r="G124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7" spans="1:7" x14ac:dyDescent="0.35">
      <c r="A1247" s="46">
        <v>45906</v>
      </c>
      <c r="B1247" s="40" t="s">
        <v>8</v>
      </c>
      <c r="C1247" s="40" t="s">
        <v>27</v>
      </c>
      <c r="D1247" s="33">
        <v>145.51</v>
      </c>
      <c r="E1247" s="32">
        <v>16.760000000000002</v>
      </c>
      <c r="F1247" s="32">
        <v>43.4</v>
      </c>
      <c r="G124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8" spans="1:7" x14ac:dyDescent="0.35">
      <c r="A1248" s="49">
        <v>45792</v>
      </c>
      <c r="B1248" s="40" t="s">
        <v>8</v>
      </c>
      <c r="C1248" s="40" t="s">
        <v>27</v>
      </c>
      <c r="D1248" s="33">
        <v>212.98599999999999</v>
      </c>
      <c r="E1248" s="42">
        <v>17.494500000000002</v>
      </c>
      <c r="F1248" s="56">
        <v>42.911461589775563</v>
      </c>
      <c r="G124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49" spans="1:7" x14ac:dyDescent="0.35">
      <c r="A1249" s="48">
        <v>45737</v>
      </c>
      <c r="B1249" s="32" t="s">
        <v>3</v>
      </c>
      <c r="C1249" s="32" t="s">
        <v>26</v>
      </c>
      <c r="D1249" s="33">
        <v>43.38</v>
      </c>
      <c r="E1249" s="35">
        <v>17.762000000000004</v>
      </c>
      <c r="F1249" s="35">
        <v>37.853916283716273</v>
      </c>
      <c r="G124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50" spans="1:7" x14ac:dyDescent="0.35">
      <c r="A1250" s="46">
        <v>45902</v>
      </c>
      <c r="B1250" s="40" t="s">
        <v>3</v>
      </c>
      <c r="C1250" s="40" t="s">
        <v>26</v>
      </c>
      <c r="D1250" s="33">
        <v>90.66</v>
      </c>
      <c r="E1250" s="35">
        <v>20.05</v>
      </c>
      <c r="F1250" s="35">
        <v>41.064506620034976</v>
      </c>
      <c r="G125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51" spans="1:7" x14ac:dyDescent="0.35">
      <c r="A1251" s="45">
        <v>45901</v>
      </c>
      <c r="B1251" s="39" t="s">
        <v>3</v>
      </c>
      <c r="C1251" s="39" t="s">
        <v>26</v>
      </c>
      <c r="D1251" s="30">
        <v>46.72</v>
      </c>
      <c r="E1251" s="36">
        <v>23.56</v>
      </c>
      <c r="F1251" s="36">
        <v>38.161040404878456</v>
      </c>
      <c r="G125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T4</v>
      </c>
    </row>
    <row r="1252" spans="1:7" x14ac:dyDescent="0.35">
      <c r="A1252" s="46">
        <v>45901</v>
      </c>
      <c r="B1252" s="40" t="s">
        <v>8</v>
      </c>
      <c r="C1252" s="40" t="s">
        <v>27</v>
      </c>
      <c r="D1252" s="33">
        <v>0</v>
      </c>
      <c r="E1252" s="33">
        <v>2.0499999999999998</v>
      </c>
      <c r="F1252" s="32"/>
      <c r="G125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53" spans="1:7" x14ac:dyDescent="0.35">
      <c r="A1253" s="50">
        <v>45791</v>
      </c>
      <c r="B1253" s="39" t="s">
        <v>8</v>
      </c>
      <c r="C1253" s="39" t="s">
        <v>27</v>
      </c>
      <c r="D1253" s="30">
        <v>266.13</v>
      </c>
      <c r="E1253" s="29">
        <v>2.0499999999999998</v>
      </c>
      <c r="F1253" s="29"/>
      <c r="G1253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54" spans="1:7" x14ac:dyDescent="0.35">
      <c r="A1254" s="46">
        <v>45962</v>
      </c>
      <c r="B1254" s="40"/>
      <c r="C1254" s="40" t="s">
        <v>29</v>
      </c>
      <c r="D1254" s="33">
        <v>291.62</v>
      </c>
      <c r="E1254" s="43">
        <v>2.0499999999999998</v>
      </c>
      <c r="F1254" s="58"/>
      <c r="G1254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55" spans="1:7" x14ac:dyDescent="0.35">
      <c r="A1255" s="45">
        <v>45962</v>
      </c>
      <c r="B1255" s="39"/>
      <c r="C1255" s="39" t="s">
        <v>29</v>
      </c>
      <c r="D1255" s="30">
        <v>93.665999999999997</v>
      </c>
      <c r="E1255" s="44">
        <v>2.0499999999999998</v>
      </c>
      <c r="F1255" s="57"/>
      <c r="G1255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56" spans="1:7" x14ac:dyDescent="0.35">
      <c r="A1256" s="46">
        <v>45962</v>
      </c>
      <c r="B1256" s="40"/>
      <c r="C1256" s="40" t="s">
        <v>29</v>
      </c>
      <c r="D1256" s="33">
        <v>19.86</v>
      </c>
      <c r="E1256" s="43">
        <v>2.0499999999999998</v>
      </c>
      <c r="F1256" s="58"/>
      <c r="G1256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57" spans="1:7" x14ac:dyDescent="0.35">
      <c r="A1257" s="46">
        <v>45965</v>
      </c>
      <c r="B1257" s="40"/>
      <c r="C1257" s="40" t="s">
        <v>29</v>
      </c>
      <c r="D1257" s="33">
        <v>84.18</v>
      </c>
      <c r="E1257" s="43">
        <v>2.0499999999999998</v>
      </c>
      <c r="F1257" s="58"/>
      <c r="G1257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58" spans="1:7" x14ac:dyDescent="0.35">
      <c r="A1258" s="45">
        <v>45977</v>
      </c>
      <c r="B1258" s="39"/>
      <c r="C1258" s="39" t="s">
        <v>29</v>
      </c>
      <c r="D1258" s="30">
        <v>543.38</v>
      </c>
      <c r="E1258" s="29">
        <v>2.0499999999999998</v>
      </c>
      <c r="F1258" s="29"/>
      <c r="G1258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59" spans="1:7" x14ac:dyDescent="0.35">
      <c r="A1259" s="46">
        <v>45978</v>
      </c>
      <c r="B1259" s="40"/>
      <c r="C1259" s="40" t="s">
        <v>29</v>
      </c>
      <c r="D1259" s="33">
        <v>237.18</v>
      </c>
      <c r="E1259" s="32">
        <v>2.0499999999999998</v>
      </c>
      <c r="F1259" s="32"/>
      <c r="G1259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60" spans="1:7" x14ac:dyDescent="0.35">
      <c r="A1260" s="45">
        <v>45978</v>
      </c>
      <c r="B1260" s="39"/>
      <c r="C1260" s="39" t="s">
        <v>29</v>
      </c>
      <c r="D1260" s="30">
        <v>238.3</v>
      </c>
      <c r="E1260" s="29">
        <v>2.0499999999999998</v>
      </c>
      <c r="F1260" s="29"/>
      <c r="G1260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61" spans="1:7" x14ac:dyDescent="0.35">
      <c r="A1261" s="45">
        <v>45979</v>
      </c>
      <c r="B1261" s="39"/>
      <c r="C1261" s="39" t="s">
        <v>29</v>
      </c>
      <c r="D1261" s="30">
        <v>46.16</v>
      </c>
      <c r="E1261" s="29">
        <v>2.0499999999999998</v>
      </c>
      <c r="F1261" s="29"/>
      <c r="G1261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62" spans="1:7" x14ac:dyDescent="0.35">
      <c r="A1262" s="60">
        <v>45991</v>
      </c>
      <c r="B1262" s="61"/>
      <c r="C1262" s="61" t="s">
        <v>29</v>
      </c>
      <c r="D1262" s="62">
        <v>499.5</v>
      </c>
      <c r="E1262" s="63">
        <v>2.0499999999999998</v>
      </c>
      <c r="F1262" s="63"/>
      <c r="G1262" s="64" t="str">
        <f>IF(AND(VERIF[[#This Row],[%SiO2]]&gt;=0,VERIF[[#This Row],[%SiO2]]&lt;1.62),"T1",
           IF( AND(VERIF[[#This Row],[%SiO2]]&gt;=1.62,VERIF[[#This Row],[%SiO2]]&lt;2.43),"T2",
                  IF( AND(VERIF[[#This Row],[%SiO2]]&gt;=2.43,VERIF[[#This Row],[%SiO2]]&lt;=3.24),"T3","T4"))
)</f>
        <v>T2</v>
      </c>
    </row>
    <row r="1263" spans="1:7" x14ac:dyDescent="0.35">
      <c r="A1263" s="63" t="s">
        <v>31</v>
      </c>
      <c r="B1263" s="63"/>
      <c r="C1263" s="63"/>
      <c r="D1263" s="62">
        <f>SUBTOTAL(109,VERIF[TONC])</f>
        <v>258857.93700000021</v>
      </c>
      <c r="E1263" s="63"/>
      <c r="F1263" s="63">
        <f>SUBTOTAL(109,VERIF[%CaO2])</f>
        <v>65708.873025613153</v>
      </c>
      <c r="G1263" s="63"/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1FE0-4B53-49D8-9D6B-FCE9EC462D92}">
  <dimension ref="A1:B8"/>
  <sheetViews>
    <sheetView workbookViewId="0">
      <selection activeCell="G8" sqref="G8"/>
    </sheetView>
  </sheetViews>
  <sheetFormatPr baseColWidth="10" defaultRowHeight="14.5" x14ac:dyDescent="0.35"/>
  <cols>
    <col min="1" max="1" width="28.1796875" customWidth="1"/>
    <col min="2" max="2" width="24.26953125" customWidth="1"/>
    <col min="7" max="7" width="17.81640625" customWidth="1"/>
    <col min="8" max="8" width="20.453125" customWidth="1"/>
  </cols>
  <sheetData>
    <row r="1" spans="1:2" x14ac:dyDescent="0.35">
      <c r="A1" s="27" t="s">
        <v>26</v>
      </c>
      <c r="B1" s="27" t="s">
        <v>27</v>
      </c>
    </row>
    <row r="2" spans="1:2" x14ac:dyDescent="0.35">
      <c r="A2" s="26" t="s">
        <v>5</v>
      </c>
      <c r="B2" s="26" t="s">
        <v>8</v>
      </c>
    </row>
    <row r="3" spans="1:2" x14ac:dyDescent="0.35">
      <c r="A3" s="26" t="s">
        <v>3</v>
      </c>
      <c r="B3" s="26" t="s">
        <v>16</v>
      </c>
    </row>
    <row r="4" spans="1:2" x14ac:dyDescent="0.35">
      <c r="A4" s="26" t="s">
        <v>6</v>
      </c>
      <c r="B4" s="26" t="s">
        <v>17</v>
      </c>
    </row>
    <row r="5" spans="1:2" x14ac:dyDescent="0.35">
      <c r="A5" s="26" t="s">
        <v>2</v>
      </c>
      <c r="B5" s="26" t="s">
        <v>18</v>
      </c>
    </row>
    <row r="6" spans="1:2" x14ac:dyDescent="0.35">
      <c r="A6" s="26" t="s">
        <v>4</v>
      </c>
      <c r="B6" s="26"/>
    </row>
    <row r="7" spans="1:2" x14ac:dyDescent="0.35">
      <c r="A7" s="26" t="s">
        <v>9</v>
      </c>
      <c r="B7" s="26"/>
    </row>
    <row r="8" spans="1:2" x14ac:dyDescent="0.35">
      <c r="A8" s="26" t="s">
        <v>7</v>
      </c>
      <c r="B8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40C85588A2AA4699BFB9C691A75153" ma:contentTypeVersion="10" ma:contentTypeDescription="Crear nuevo documento." ma:contentTypeScope="" ma:versionID="eac27b04b72b153118b1ab21277d2feb">
  <xsd:schema xmlns:xsd="http://www.w3.org/2001/XMLSchema" xmlns:xs="http://www.w3.org/2001/XMLSchema" xmlns:p="http://schemas.microsoft.com/office/2006/metadata/properties" xmlns:ns3="ef4db60b-6119-48a7-b6b6-d4bc98755109" targetNamespace="http://schemas.microsoft.com/office/2006/metadata/properties" ma:root="true" ma:fieldsID="39b62623de1a7b18488e2ba281cf3794" ns3:_="">
    <xsd:import namespace="ef4db60b-6119-48a7-b6b6-d4bc987551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db60b-6119-48a7-b6b6-d4bc9875510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4db60b-6119-48a7-b6b6-d4bc98755109" xsi:nil="true"/>
  </documentManagement>
</p:properties>
</file>

<file path=customXml/itemProps1.xml><?xml version="1.0" encoding="utf-8"?>
<ds:datastoreItem xmlns:ds="http://schemas.openxmlformats.org/officeDocument/2006/customXml" ds:itemID="{16D521B3-9152-4A89-846A-34B8A5E998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773433-993C-4356-9803-EAAE427DA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4db60b-6119-48a7-b6b6-d4bc987551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D83D5F-4D4D-4E87-B03E-1831FD3C08B9}">
  <ds:schemaRefs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ef4db60b-6119-48a7-b6b6-d4bc9875510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Calidades_Proveedores</vt:lpstr>
      <vt:lpstr>Hoja2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Del Pilar Mesa Chaparro</dc:creator>
  <cp:lastModifiedBy>Practicante Cadena Abastecimiento</cp:lastModifiedBy>
  <dcterms:created xsi:type="dcterms:W3CDTF">2026-02-19T21:01:27Z</dcterms:created>
  <dcterms:modified xsi:type="dcterms:W3CDTF">2026-03-27T15:28:35Z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0x010100A040C85588A2AA4699BFB9C691A75153</vt:lpwstr>
  </property>
</Properties>
</file>